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ournament Setup" sheetId="2" r:id="rId2"/>
    <sheet name="Player Rounds" sheetId="3" r:id="rId3"/>
    <sheet name="Results" sheetId="4" r:id="rId4"/>
    <sheet name="Stand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120.83203125" customWidth="1"/>
  </cols>
  <sheetData>
    <row r="1">
      <c r="A1" t="str">
        <v>Trip History import — how to fill this in</v>
      </c>
    </row>
    <row r="2">
      <c r="A2" t="str">
        <v/>
      </c>
    </row>
    <row r="3">
      <c r="A3" t="str">
        <v>This file has 5 tabs. You fill in 2 of them; the other 2 calculate everything for you to check before you upload.</v>
      </c>
    </row>
    <row r="4">
      <c r="A4" t="str">
        <v/>
      </c>
    </row>
    <row r="5">
      <c r="A5" t="str">
        <v>1. Tournament Setup — one row per round (the rules).</v>
      </c>
    </row>
    <row r="6">
      <c r="A6" t="str">
        <v xml:space="preserve">   Round: 1, 2, 3… in the order they were played.</v>
      </c>
    </row>
    <row r="7">
      <c r="A7" t="str">
        <v xml:space="preserve">   Format: Singles, Fourball, Alternate Shot, Scramble or Stroke Play.</v>
      </c>
    </row>
    <row r="8">
      <c r="A8" t="str">
        <v xml:space="preserve">   Scoring: Match Play or Stroke Play.   Handicap: Net or Gross.   Allowance %: usually 100.</v>
      </c>
    </row>
    <row r="9">
      <c r="A9" t="str">
        <v xml:space="preserve">   Nassau: Yes or No. Yes = front 9, back 9 and 18 holes each pay the Points per Match.</v>
      </c>
    </row>
    <row r="10">
      <c r="A10" t="str">
        <v xml:space="preserve">   Team A / Team B: the two team names, spelled exactly the same everywhere.</v>
      </c>
    </row>
    <row r="11">
      <c r="A11" t="str">
        <v xml:space="preserve">   Par 1–18 and Hole Hcp 1–18: from the scorecard (Hole Hcp = the hole's handicap / stroke index, 1 = hardest).</v>
      </c>
    </row>
    <row r="12">
      <c r="A12" t="str">
        <v/>
      </c>
    </row>
    <row r="13">
      <c r="A13" t="str">
        <v>2. Player Rounds — one row for every player in every round (the scores).</v>
      </c>
    </row>
    <row r="14">
      <c r="A14" t="str">
        <v xml:space="preserve">   Match: number the matches in each round 1, 2, 3… Everyone in the same match number played together.</v>
      </c>
    </row>
    <row r="15">
      <c r="A15" t="str">
        <v xml:space="preserve">   Same match + same team = partners. Same match + other team = opponents. You never type who played who.</v>
      </c>
    </row>
    <row r="16">
      <c r="A16" t="str">
        <v xml:space="preserve">   Team: exactly as in Tournament Setup.   Player: the same spelling every round and every year.</v>
      </c>
    </row>
    <row r="17">
      <c r="A17" t="str">
        <v xml:space="preserve">   Handicap: the player's course handicap that day. Alternate Shot / Scramble: put the TEAM's handicap on both partners' rows.</v>
      </c>
    </row>
    <row r="18">
      <c r="A18" t="str">
        <v xml:space="preserve">   H1–H18: strokes on each hole. Alternate Shot / Scramble: put the team's score on both partners' rows.</v>
      </c>
    </row>
    <row r="19">
      <c r="A19" t="str">
        <v xml:space="preserve">   Leave the grey columns after H18 alone — they calculate.</v>
      </c>
    </row>
    <row r="20">
      <c r="A20" t="str">
        <v/>
      </c>
    </row>
    <row r="21">
      <c r="A21" t="str">
        <v>3. Results — list each match once (its Round and Match number). Everything else fills in by itself:</v>
      </c>
    </row>
    <row r="22">
      <c r="A22" t="str">
        <v xml:space="preserve">   who won each hole, the match result (2 UP, 3&amp;2, Halved), Nassau front / back / 18, and the points each team earned.</v>
      </c>
    </row>
    <row r="23">
      <c r="A23" t="str">
        <v/>
      </c>
    </row>
    <row r="24">
      <c r="A24" t="str">
        <v>4. Standings — every round's points, the totals and the winner. Check this matches what happened.</v>
      </c>
    </row>
    <row r="25">
      <c r="A25" t="str">
        <v/>
      </c>
    </row>
    <row r="26">
      <c r="A26" t="str">
        <v>5. Upload. The app works out every result again from the raw scores, compares it with your Results tab, and shows</v>
      </c>
    </row>
    <row r="27">
      <c r="A27" t="str">
        <v xml:space="preserve">   you a preview. Nothing is saved to History until you confirm. Any problem is listed in plain English.</v>
      </c>
    </row>
    <row r="28">
      <c r="A28" t="str">
        <v/>
      </c>
    </row>
    <row r="29">
      <c r="A29" t="str">
        <v>Rules: no blank holes, no extra columns, no renamed columns, one row per player per round. The sample year is made up —</v>
      </c>
    </row>
    <row r="30">
      <c r="A30" t="str">
        <v>replace it with yours (delete the sample rows first).</v>
      </c>
    </row>
  </sheetData>
  <ignoredErrors>
    <ignoredError numberStoredAsText="1" sqref="A1:A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  <col min="26" max="26" width="9.83203125" customWidth="1"/>
    <col min="27" max="27" width="9.83203125" customWidth="1"/>
    <col min="28" max="28" width="9.83203125" customWidth="1"/>
    <col min="29" max="29" width="9.83203125" customWidth="1"/>
    <col min="30" max="30" width="9.83203125" customWidth="1"/>
    <col min="31" max="31" width="9.83203125" customWidth="1"/>
    <col min="32" max="32" width="9.83203125" customWidth="1"/>
    <col min="33" max="33" width="9.83203125" customWidth="1"/>
    <col min="34" max="34" width="9.83203125" customWidth="1"/>
    <col min="35" max="35" width="9.83203125" customWidth="1"/>
    <col min="36" max="36" width="9.83203125" customWidth="1"/>
    <col min="37" max="37" width="9.83203125" customWidth="1"/>
    <col min="38" max="38" width="9.83203125" customWidth="1"/>
    <col min="39" max="39" width="9.83203125" customWidth="1"/>
    <col min="40" max="40" width="9.83203125" customWidth="1"/>
    <col min="41" max="41" width="9.83203125" customWidth="1"/>
    <col min="42" max="42" width="9.83203125" customWidth="1"/>
    <col min="43" max="43" width="9.83203125" customWidth="1"/>
    <col min="44" max="44" width="9.83203125" customWidth="1"/>
    <col min="45" max="45" width="9.83203125" customWidth="1"/>
    <col min="46" max="46" width="9.83203125" customWidth="1"/>
    <col min="47" max="47" width="9.83203125" customWidth="1"/>
  </cols>
  <sheetData>
    <row r="1">
      <c r="A1" t="str">
        <v>Round</v>
      </c>
      <c r="B1" t="str">
        <v>Date (YYYY-MM-DD)</v>
      </c>
      <c r="C1" t="str">
        <v>Course</v>
      </c>
      <c r="D1" t="str">
        <v>Format</v>
      </c>
      <c r="E1" t="str">
        <v>Scoring</v>
      </c>
      <c r="F1" t="str">
        <v>Handicap</v>
      </c>
      <c r="G1" t="str">
        <v>Allowance %</v>
      </c>
      <c r="H1" t="str">
        <v>Nassau</v>
      </c>
      <c r="I1" t="str">
        <v>Points per Match</v>
      </c>
      <c r="J1" t="str">
        <v>Team A</v>
      </c>
      <c r="K1" t="str">
        <v>Team B</v>
      </c>
      <c r="L1" t="str">
        <v>Par 1</v>
      </c>
      <c r="M1" t="str">
        <v>Par 2</v>
      </c>
      <c r="N1" t="str">
        <v>Par 3</v>
      </c>
      <c r="O1" t="str">
        <v>Par 4</v>
      </c>
      <c r="P1" t="str">
        <v>Par 5</v>
      </c>
      <c r="Q1" t="str">
        <v>Par 6</v>
      </c>
      <c r="R1" t="str">
        <v>Par 7</v>
      </c>
      <c r="S1" t="str">
        <v>Par 8</v>
      </c>
      <c r="T1" t="str">
        <v>Par 9</v>
      </c>
      <c r="U1" t="str">
        <v>Par 10</v>
      </c>
      <c r="V1" t="str">
        <v>Par 11</v>
      </c>
      <c r="W1" t="str">
        <v>Par 12</v>
      </c>
      <c r="X1" t="str">
        <v>Par 13</v>
      </c>
      <c r="Y1" t="str">
        <v>Par 14</v>
      </c>
      <c r="Z1" t="str">
        <v>Par 15</v>
      </c>
      <c r="AA1" t="str">
        <v>Par 16</v>
      </c>
      <c r="AB1" t="str">
        <v>Par 17</v>
      </c>
      <c r="AC1" t="str">
        <v>Par 18</v>
      </c>
      <c r="AD1" t="str">
        <v>Hole Hcp 1</v>
      </c>
      <c r="AE1" t="str">
        <v>Hole Hcp 2</v>
      </c>
      <c r="AF1" t="str">
        <v>Hole Hcp 3</v>
      </c>
      <c r="AG1" t="str">
        <v>Hole Hcp 4</v>
      </c>
      <c r="AH1" t="str">
        <v>Hole Hcp 5</v>
      </c>
      <c r="AI1" t="str">
        <v>Hole Hcp 6</v>
      </c>
      <c r="AJ1" t="str">
        <v>Hole Hcp 7</v>
      </c>
      <c r="AK1" t="str">
        <v>Hole Hcp 8</v>
      </c>
      <c r="AL1" t="str">
        <v>Hole Hcp 9</v>
      </c>
      <c r="AM1" t="str">
        <v>Hole Hcp 10</v>
      </c>
      <c r="AN1" t="str">
        <v>Hole Hcp 11</v>
      </c>
      <c r="AO1" t="str">
        <v>Hole Hcp 12</v>
      </c>
      <c r="AP1" t="str">
        <v>Hole Hcp 13</v>
      </c>
      <c r="AQ1" t="str">
        <v>Hole Hcp 14</v>
      </c>
      <c r="AR1" t="str">
        <v>Hole Hcp 15</v>
      </c>
      <c r="AS1" t="str">
        <v>Hole Hcp 16</v>
      </c>
      <c r="AT1" t="str">
        <v>Hole Hcp 17</v>
      </c>
      <c r="AU1" t="str">
        <v>Hole Hcp 18</v>
      </c>
    </row>
    <row r="2">
      <c r="A2">
        <v>1</v>
      </c>
      <c r="B2" t="str">
        <v>2025-05-15</v>
      </c>
      <c r="C2" t="str">
        <v>Sample Golf Club</v>
      </c>
      <c r="D2" t="str">
        <v>Fourball</v>
      </c>
      <c r="E2" t="str">
        <v>Match Play</v>
      </c>
      <c r="F2" t="str">
        <v>Net</v>
      </c>
      <c r="G2">
        <v>100</v>
      </c>
      <c r="H2" t="str">
        <v>Yes</v>
      </c>
      <c r="I2">
        <v>1</v>
      </c>
      <c r="J2" t="str">
        <v>Pines</v>
      </c>
      <c r="K2" t="str">
        <v>Palms</v>
      </c>
      <c r="L2">
        <v>4</v>
      </c>
      <c r="M2">
        <v>4</v>
      </c>
      <c r="N2">
        <v>3</v>
      </c>
      <c r="O2">
        <v>5</v>
      </c>
      <c r="P2">
        <v>4</v>
      </c>
      <c r="Q2">
        <v>4</v>
      </c>
      <c r="R2">
        <v>3</v>
      </c>
      <c r="S2">
        <v>4</v>
      </c>
      <c r="T2">
        <v>5</v>
      </c>
      <c r="U2">
        <v>4</v>
      </c>
      <c r="V2">
        <v>3</v>
      </c>
      <c r="W2">
        <v>4</v>
      </c>
      <c r="X2">
        <v>5</v>
      </c>
      <c r="Y2">
        <v>4</v>
      </c>
      <c r="Z2">
        <v>4</v>
      </c>
      <c r="AA2">
        <v>3</v>
      </c>
      <c r="AB2">
        <v>4</v>
      </c>
      <c r="AC2">
        <v>5</v>
      </c>
      <c r="AD2">
        <v>7</v>
      </c>
      <c r="AE2">
        <v>3</v>
      </c>
      <c r="AF2">
        <v>15</v>
      </c>
      <c r="AG2">
        <v>11</v>
      </c>
      <c r="AH2">
        <v>1</v>
      </c>
      <c r="AI2">
        <v>9</v>
      </c>
      <c r="AJ2">
        <v>17</v>
      </c>
      <c r="AK2">
        <v>5</v>
      </c>
      <c r="AL2">
        <v>13</v>
      </c>
      <c r="AM2">
        <v>8</v>
      </c>
      <c r="AN2">
        <v>16</v>
      </c>
      <c r="AO2">
        <v>2</v>
      </c>
      <c r="AP2">
        <v>12</v>
      </c>
      <c r="AQ2">
        <v>6</v>
      </c>
      <c r="AR2">
        <v>10</v>
      </c>
      <c r="AS2">
        <v>18</v>
      </c>
      <c r="AT2">
        <v>4</v>
      </c>
      <c r="AU2">
        <v>14</v>
      </c>
    </row>
    <row r="3">
      <c r="A3">
        <v>2</v>
      </c>
      <c r="B3" t="str">
        <v>2025-05-16</v>
      </c>
      <c r="C3" t="str">
        <v>Sample Golf Club</v>
      </c>
      <c r="D3" t="str">
        <v>Singles</v>
      </c>
      <c r="E3" t="str">
        <v>Match Play</v>
      </c>
      <c r="F3" t="str">
        <v>Net</v>
      </c>
      <c r="G3">
        <v>100</v>
      </c>
      <c r="H3" t="str">
        <v>No</v>
      </c>
      <c r="I3">
        <v>1</v>
      </c>
      <c r="J3" t="str">
        <v>Pines</v>
      </c>
      <c r="K3" t="str">
        <v>Palms</v>
      </c>
      <c r="L3">
        <v>4</v>
      </c>
      <c r="M3">
        <v>4</v>
      </c>
      <c r="N3">
        <v>3</v>
      </c>
      <c r="O3">
        <v>5</v>
      </c>
      <c r="P3">
        <v>4</v>
      </c>
      <c r="Q3">
        <v>4</v>
      </c>
      <c r="R3">
        <v>3</v>
      </c>
      <c r="S3">
        <v>4</v>
      </c>
      <c r="T3">
        <v>5</v>
      </c>
      <c r="U3">
        <v>4</v>
      </c>
      <c r="V3">
        <v>3</v>
      </c>
      <c r="W3">
        <v>4</v>
      </c>
      <c r="X3">
        <v>5</v>
      </c>
      <c r="Y3">
        <v>4</v>
      </c>
      <c r="Z3">
        <v>4</v>
      </c>
      <c r="AA3">
        <v>3</v>
      </c>
      <c r="AB3">
        <v>4</v>
      </c>
      <c r="AC3">
        <v>5</v>
      </c>
      <c r="AD3">
        <v>7</v>
      </c>
      <c r="AE3">
        <v>3</v>
      </c>
      <c r="AF3">
        <v>15</v>
      </c>
      <c r="AG3">
        <v>11</v>
      </c>
      <c r="AH3">
        <v>1</v>
      </c>
      <c r="AI3">
        <v>9</v>
      </c>
      <c r="AJ3">
        <v>17</v>
      </c>
      <c r="AK3">
        <v>5</v>
      </c>
      <c r="AL3">
        <v>13</v>
      </c>
      <c r="AM3">
        <v>8</v>
      </c>
      <c r="AN3">
        <v>16</v>
      </c>
      <c r="AO3">
        <v>2</v>
      </c>
      <c r="AP3">
        <v>12</v>
      </c>
      <c r="AQ3">
        <v>6</v>
      </c>
      <c r="AR3">
        <v>10</v>
      </c>
      <c r="AS3">
        <v>18</v>
      </c>
      <c r="AT3">
        <v>4</v>
      </c>
      <c r="AU3">
        <v>14</v>
      </c>
    </row>
  </sheetData>
  <ignoredErrors>
    <ignoredError numberStoredAsText="1" sqref="A1:A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01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18.83203125" customWidth="1"/>
    <col min="5" max="5" width="9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6.83203125" customWidth="1"/>
    <col min="43" max="43" width="6.83203125" customWidth="1"/>
  </cols>
  <sheetData>
    <row r="1">
      <c r="A1" t="str">
        <v>Round</v>
      </c>
      <c r="B1" t="str">
        <v>Match</v>
      </c>
      <c r="C1" t="str">
        <v>Team</v>
      </c>
      <c r="D1" t="str">
        <v>Player</v>
      </c>
      <c r="E1" t="str">
        <v>Handicap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Gross</v>
      </c>
      <c r="Y1" t="str">
        <v>Strokes in Match</v>
      </c>
      <c r="Z1" t="str">
        <v>Net 1</v>
      </c>
      <c r="AA1" t="str">
        <v>Net 2</v>
      </c>
      <c r="AB1" t="str">
        <v>Net 3</v>
      </c>
      <c r="AC1" t="str">
        <v>Net 4</v>
      </c>
      <c r="AD1" t="str">
        <v>Net 5</v>
      </c>
      <c r="AE1" t="str">
        <v>Net 6</v>
      </c>
      <c r="AF1" t="str">
        <v>Net 7</v>
      </c>
      <c r="AG1" t="str">
        <v>Net 8</v>
      </c>
      <c r="AH1" t="str">
        <v>Net 9</v>
      </c>
      <c r="AI1" t="str">
        <v>Net 10</v>
      </c>
      <c r="AJ1" t="str">
        <v>Net 11</v>
      </c>
      <c r="AK1" t="str">
        <v>Net 12</v>
      </c>
      <c r="AL1" t="str">
        <v>Net 13</v>
      </c>
      <c r="AM1" t="str">
        <v>Net 14</v>
      </c>
      <c r="AN1" t="str">
        <v>Net 15</v>
      </c>
      <c r="AO1" t="str">
        <v>Net 16</v>
      </c>
      <c r="AP1" t="str">
        <v>Net 17</v>
      </c>
      <c r="AQ1" t="str">
        <v>Net 18</v>
      </c>
    </row>
    <row r="2">
      <c r="A2">
        <v>1</v>
      </c>
      <c r="B2">
        <v>1</v>
      </c>
      <c r="C2" t="str">
        <v>Pines</v>
      </c>
      <c r="D2" t="str">
        <v>Alex Brooks</v>
      </c>
      <c r="E2">
        <v>6</v>
      </c>
      <c r="F2">
        <v>3</v>
      </c>
      <c r="G2">
        <v>6</v>
      </c>
      <c r="H2">
        <v>3</v>
      </c>
      <c r="I2">
        <v>7</v>
      </c>
      <c r="J2">
        <v>5</v>
      </c>
      <c r="K2">
        <v>3</v>
      </c>
      <c r="L2">
        <v>5</v>
      </c>
      <c r="M2">
        <v>4</v>
      </c>
      <c r="N2">
        <v>7</v>
      </c>
      <c r="O2">
        <v>5</v>
      </c>
      <c r="P2">
        <v>2</v>
      </c>
      <c r="Q2">
        <v>6</v>
      </c>
      <c r="R2">
        <v>5</v>
      </c>
      <c r="S2">
        <v>6</v>
      </c>
      <c r="T2">
        <v>5</v>
      </c>
      <c r="U2">
        <v>2</v>
      </c>
      <c r="V2">
        <v>6</v>
      </c>
      <c r="W2">
        <v>5</v>
      </c>
      <c r="X2" t="e">
        <f>IF(OR($A2="",$D2=""),"",SUM(F2:W2))</f>
      </c>
      <c r="Y2" t="e">
        <f>IF(OR($A2="",$D2=""),"",IF(INDEX('Tournament Setup'!$F:$F,MATCH($A2,'Tournament Setup'!$A:$A,0))="Net",ROUND(($E2-_xlfn.MINIFS($E$2:$E$401,$A$2:$A$401,$A2,$B$2:$B$401,$B2))*INDEX('Tournament Setup'!$G:$G,MATCH($A2,'Tournament Setup'!$A:$A,0))/100,0),0))</f>
      </c>
      <c r="Z2" t="e">
        <f>IF(OR(OR($A2="",$D2=""),F2=""),"",F2-(INT($Y2/18)+IF(INDEX('Tournament Setup'!$AD:$AD,MATCH($A2,'Tournament Setup'!$A:$A,0))&lt;=MOD($Y2,18),1,0)))</f>
      </c>
      <c r="AA2" t="e">
        <f>IF(OR(OR($A2="",$D2=""),G2=""),"",G2-(INT($Y2/18)+IF(INDEX('Tournament Setup'!$AE:$AE,MATCH($A2,'Tournament Setup'!$A:$A,0))&lt;=MOD($Y2,18),1,0)))</f>
      </c>
      <c r="AB2" t="e">
        <f>IF(OR(OR($A2="",$D2=""),H2=""),"",H2-(INT($Y2/18)+IF(INDEX('Tournament Setup'!$AF:$AF,MATCH($A2,'Tournament Setup'!$A:$A,0))&lt;=MOD($Y2,18),1,0)))</f>
      </c>
      <c r="AC2" t="e">
        <f>IF(OR(OR($A2="",$D2=""),I2=""),"",I2-(INT($Y2/18)+IF(INDEX('Tournament Setup'!$AG:$AG,MATCH($A2,'Tournament Setup'!$A:$A,0))&lt;=MOD($Y2,18),1,0)))</f>
      </c>
      <c r="AD2" t="e">
        <f>IF(OR(OR($A2="",$D2=""),J2=""),"",J2-(INT($Y2/18)+IF(INDEX('Tournament Setup'!$AH:$AH,MATCH($A2,'Tournament Setup'!$A:$A,0))&lt;=MOD($Y2,18),1,0)))</f>
      </c>
      <c r="AE2" t="e">
        <f>IF(OR(OR($A2="",$D2=""),K2=""),"",K2-(INT($Y2/18)+IF(INDEX('Tournament Setup'!$AI:$AI,MATCH($A2,'Tournament Setup'!$A:$A,0))&lt;=MOD($Y2,18),1,0)))</f>
      </c>
      <c r="AF2" t="e">
        <f>IF(OR(OR($A2="",$D2=""),L2=""),"",L2-(INT($Y2/18)+IF(INDEX('Tournament Setup'!$AJ:$AJ,MATCH($A2,'Tournament Setup'!$A:$A,0))&lt;=MOD($Y2,18),1,0)))</f>
      </c>
      <c r="AG2" t="e">
        <f>IF(OR(OR($A2="",$D2=""),M2=""),"",M2-(INT($Y2/18)+IF(INDEX('Tournament Setup'!$AK:$AK,MATCH($A2,'Tournament Setup'!$A:$A,0))&lt;=MOD($Y2,18),1,0)))</f>
      </c>
      <c r="AH2" t="e">
        <f>IF(OR(OR($A2="",$D2=""),N2=""),"",N2-(INT($Y2/18)+IF(INDEX('Tournament Setup'!$AL:$AL,MATCH($A2,'Tournament Setup'!$A:$A,0))&lt;=MOD($Y2,18),1,0)))</f>
      </c>
      <c r="AI2" t="e">
        <f>IF(OR(OR($A2="",$D2=""),O2=""),"",O2-(INT($Y2/18)+IF(INDEX('Tournament Setup'!$AM:$AM,MATCH($A2,'Tournament Setup'!$A:$A,0))&lt;=MOD($Y2,18),1,0)))</f>
      </c>
      <c r="AJ2" t="e">
        <f>IF(OR(OR($A2="",$D2=""),P2=""),"",P2-(INT($Y2/18)+IF(INDEX('Tournament Setup'!$AN:$AN,MATCH($A2,'Tournament Setup'!$A:$A,0))&lt;=MOD($Y2,18),1,0)))</f>
      </c>
      <c r="AK2" t="e">
        <f>IF(OR(OR($A2="",$D2=""),Q2=""),"",Q2-(INT($Y2/18)+IF(INDEX('Tournament Setup'!$AO:$AO,MATCH($A2,'Tournament Setup'!$A:$A,0))&lt;=MOD($Y2,18),1,0)))</f>
      </c>
      <c r="AL2" t="e">
        <f>IF(OR(OR($A2="",$D2=""),R2=""),"",R2-(INT($Y2/18)+IF(INDEX('Tournament Setup'!$AP:$AP,MATCH($A2,'Tournament Setup'!$A:$A,0))&lt;=MOD($Y2,18),1,0)))</f>
      </c>
      <c r="AM2" t="e">
        <f>IF(OR(OR($A2="",$D2=""),S2=""),"",S2-(INT($Y2/18)+IF(INDEX('Tournament Setup'!$AQ:$AQ,MATCH($A2,'Tournament Setup'!$A:$A,0))&lt;=MOD($Y2,18),1,0)))</f>
      </c>
      <c r="AN2" t="e">
        <f>IF(OR(OR($A2="",$D2=""),T2=""),"",T2-(INT($Y2/18)+IF(INDEX('Tournament Setup'!$AR:$AR,MATCH($A2,'Tournament Setup'!$A:$A,0))&lt;=MOD($Y2,18),1,0)))</f>
      </c>
      <c r="AO2" t="e">
        <f>IF(OR(OR($A2="",$D2=""),U2=""),"",U2-(INT($Y2/18)+IF(INDEX('Tournament Setup'!$AS:$AS,MATCH($A2,'Tournament Setup'!$A:$A,0))&lt;=MOD($Y2,18),1,0)))</f>
      </c>
      <c r="AP2" t="e">
        <f>IF(OR(OR($A2="",$D2=""),V2=""),"",V2-(INT($Y2/18)+IF(INDEX('Tournament Setup'!$AT:$AT,MATCH($A2,'Tournament Setup'!$A:$A,0))&lt;=MOD($Y2,18),1,0)))</f>
      </c>
      <c r="AQ2" t="e">
        <f>IF(OR(OR($A2="",$D2=""),W2=""),"",W2-(INT($Y2/18)+IF(INDEX('Tournament Setup'!$AU:$AU,MATCH($A2,'Tournament Setup'!$A:$A,0))&lt;=MOD($Y2,18),1,0)))</f>
      </c>
    </row>
    <row r="3">
      <c r="A3">
        <v>1</v>
      </c>
      <c r="B3">
        <v>1</v>
      </c>
      <c r="C3" t="str">
        <v>Pines</v>
      </c>
      <c r="D3" t="str">
        <v>Riley Foster</v>
      </c>
      <c r="E3">
        <v>12</v>
      </c>
      <c r="F3">
        <v>6</v>
      </c>
      <c r="G3">
        <v>3</v>
      </c>
      <c r="H3">
        <v>6</v>
      </c>
      <c r="I3">
        <v>5</v>
      </c>
      <c r="J3">
        <v>7</v>
      </c>
      <c r="K3">
        <v>5</v>
      </c>
      <c r="L3">
        <v>3</v>
      </c>
      <c r="M3">
        <v>6</v>
      </c>
      <c r="N3">
        <v>6</v>
      </c>
      <c r="O3">
        <v>6</v>
      </c>
      <c r="P3">
        <v>5</v>
      </c>
      <c r="Q3">
        <v>3</v>
      </c>
      <c r="R3">
        <v>8</v>
      </c>
      <c r="S3">
        <v>4</v>
      </c>
      <c r="T3">
        <v>7</v>
      </c>
      <c r="U3">
        <v>4</v>
      </c>
      <c r="V3">
        <v>4</v>
      </c>
      <c r="W3">
        <v>7</v>
      </c>
      <c r="X3" t="e">
        <f>IF(OR($A3="",$D3=""),"",SUM(F3:W3))</f>
      </c>
      <c r="Y3" t="e">
        <f>IF(OR($A3="",$D3=""),"",IF(INDEX('Tournament Setup'!$F:$F,MATCH($A3,'Tournament Setup'!$A:$A,0))="Net",ROUND(($E3-_xlfn.MINIFS($E$2:$E$401,$A$2:$A$401,$A3,$B$2:$B$401,$B3))*INDEX('Tournament Setup'!$G:$G,MATCH($A3,'Tournament Setup'!$A:$A,0))/100,0),0))</f>
      </c>
      <c r="Z3" t="e">
        <f>IF(OR(OR($A3="",$D3=""),F3=""),"",F3-(INT($Y3/18)+IF(INDEX('Tournament Setup'!$AD:$AD,MATCH($A3,'Tournament Setup'!$A:$A,0))&lt;=MOD($Y3,18),1,0)))</f>
      </c>
      <c r="AA3" t="e">
        <f>IF(OR(OR($A3="",$D3=""),G3=""),"",G3-(INT($Y3/18)+IF(INDEX('Tournament Setup'!$AE:$AE,MATCH($A3,'Tournament Setup'!$A:$A,0))&lt;=MOD($Y3,18),1,0)))</f>
      </c>
      <c r="AB3" t="e">
        <f>IF(OR(OR($A3="",$D3=""),H3=""),"",H3-(INT($Y3/18)+IF(INDEX('Tournament Setup'!$AF:$AF,MATCH($A3,'Tournament Setup'!$A:$A,0))&lt;=MOD($Y3,18),1,0)))</f>
      </c>
      <c r="AC3" t="e">
        <f>IF(OR(OR($A3="",$D3=""),I3=""),"",I3-(INT($Y3/18)+IF(INDEX('Tournament Setup'!$AG:$AG,MATCH($A3,'Tournament Setup'!$A:$A,0))&lt;=MOD($Y3,18),1,0)))</f>
      </c>
      <c r="AD3" t="e">
        <f>IF(OR(OR($A3="",$D3=""),J3=""),"",J3-(INT($Y3/18)+IF(INDEX('Tournament Setup'!$AH:$AH,MATCH($A3,'Tournament Setup'!$A:$A,0))&lt;=MOD($Y3,18),1,0)))</f>
      </c>
      <c r="AE3" t="e">
        <f>IF(OR(OR($A3="",$D3=""),K3=""),"",K3-(INT($Y3/18)+IF(INDEX('Tournament Setup'!$AI:$AI,MATCH($A3,'Tournament Setup'!$A:$A,0))&lt;=MOD($Y3,18),1,0)))</f>
      </c>
      <c r="AF3" t="e">
        <f>IF(OR(OR($A3="",$D3=""),L3=""),"",L3-(INT($Y3/18)+IF(INDEX('Tournament Setup'!$AJ:$AJ,MATCH($A3,'Tournament Setup'!$A:$A,0))&lt;=MOD($Y3,18),1,0)))</f>
      </c>
      <c r="AG3" t="e">
        <f>IF(OR(OR($A3="",$D3=""),M3=""),"",M3-(INT($Y3/18)+IF(INDEX('Tournament Setup'!$AK:$AK,MATCH($A3,'Tournament Setup'!$A:$A,0))&lt;=MOD($Y3,18),1,0)))</f>
      </c>
      <c r="AH3" t="e">
        <f>IF(OR(OR($A3="",$D3=""),N3=""),"",N3-(INT($Y3/18)+IF(INDEX('Tournament Setup'!$AL:$AL,MATCH($A3,'Tournament Setup'!$A:$A,0))&lt;=MOD($Y3,18),1,0)))</f>
      </c>
      <c r="AI3" t="e">
        <f>IF(OR(OR($A3="",$D3=""),O3=""),"",O3-(INT($Y3/18)+IF(INDEX('Tournament Setup'!$AM:$AM,MATCH($A3,'Tournament Setup'!$A:$A,0))&lt;=MOD($Y3,18),1,0)))</f>
      </c>
      <c r="AJ3" t="e">
        <f>IF(OR(OR($A3="",$D3=""),P3=""),"",P3-(INT($Y3/18)+IF(INDEX('Tournament Setup'!$AN:$AN,MATCH($A3,'Tournament Setup'!$A:$A,0))&lt;=MOD($Y3,18),1,0)))</f>
      </c>
      <c r="AK3" t="e">
        <f>IF(OR(OR($A3="",$D3=""),Q3=""),"",Q3-(INT($Y3/18)+IF(INDEX('Tournament Setup'!$AO:$AO,MATCH($A3,'Tournament Setup'!$A:$A,0))&lt;=MOD($Y3,18),1,0)))</f>
      </c>
      <c r="AL3" t="e">
        <f>IF(OR(OR($A3="",$D3=""),R3=""),"",R3-(INT($Y3/18)+IF(INDEX('Tournament Setup'!$AP:$AP,MATCH($A3,'Tournament Setup'!$A:$A,0))&lt;=MOD($Y3,18),1,0)))</f>
      </c>
      <c r="AM3" t="e">
        <f>IF(OR(OR($A3="",$D3=""),S3=""),"",S3-(INT($Y3/18)+IF(INDEX('Tournament Setup'!$AQ:$AQ,MATCH($A3,'Tournament Setup'!$A:$A,0))&lt;=MOD($Y3,18),1,0)))</f>
      </c>
      <c r="AN3" t="e">
        <f>IF(OR(OR($A3="",$D3=""),T3=""),"",T3-(INT($Y3/18)+IF(INDEX('Tournament Setup'!$AR:$AR,MATCH($A3,'Tournament Setup'!$A:$A,0))&lt;=MOD($Y3,18),1,0)))</f>
      </c>
      <c r="AO3" t="e">
        <f>IF(OR(OR($A3="",$D3=""),U3=""),"",U3-(INT($Y3/18)+IF(INDEX('Tournament Setup'!$AS:$AS,MATCH($A3,'Tournament Setup'!$A:$A,0))&lt;=MOD($Y3,18),1,0)))</f>
      </c>
      <c r="AP3" t="e">
        <f>IF(OR(OR($A3="",$D3=""),V3=""),"",V3-(INT($Y3/18)+IF(INDEX('Tournament Setup'!$AT:$AT,MATCH($A3,'Tournament Setup'!$A:$A,0))&lt;=MOD($Y3,18),1,0)))</f>
      </c>
      <c r="AQ3" t="e">
        <f>IF(OR(OR($A3="",$D3=""),W3=""),"",W3-(INT($Y3/18)+IF(INDEX('Tournament Setup'!$AU:$AU,MATCH($A3,'Tournament Setup'!$A:$A,0))&lt;=MOD($Y3,18),1,0)))</f>
      </c>
    </row>
    <row r="4">
      <c r="A4">
        <v>1</v>
      </c>
      <c r="B4">
        <v>1</v>
      </c>
      <c r="C4" t="str">
        <v>Palms</v>
      </c>
      <c r="D4" t="str">
        <v>Taylor Diaz</v>
      </c>
      <c r="E4">
        <v>8</v>
      </c>
      <c r="F4">
        <v>6</v>
      </c>
      <c r="G4">
        <v>4</v>
      </c>
      <c r="H4">
        <v>5</v>
      </c>
      <c r="I4">
        <v>6</v>
      </c>
      <c r="J4">
        <v>3</v>
      </c>
      <c r="K4">
        <v>6</v>
      </c>
      <c r="L4">
        <v>3</v>
      </c>
      <c r="M4">
        <v>6</v>
      </c>
      <c r="N4">
        <v>6</v>
      </c>
      <c r="O4">
        <v>3</v>
      </c>
      <c r="P4">
        <v>5</v>
      </c>
      <c r="Q4">
        <v>4</v>
      </c>
      <c r="R4">
        <v>7</v>
      </c>
      <c r="S4">
        <v>5</v>
      </c>
      <c r="T4">
        <v>3</v>
      </c>
      <c r="U4">
        <v>5</v>
      </c>
      <c r="V4">
        <v>4</v>
      </c>
      <c r="W4">
        <v>7</v>
      </c>
      <c r="X4" t="e">
        <f>IF(OR($A4="",$D4=""),"",SUM(F4:W4))</f>
      </c>
      <c r="Y4" t="e">
        <f>IF(OR($A4="",$D4=""),"",IF(INDEX('Tournament Setup'!$F:$F,MATCH($A4,'Tournament Setup'!$A:$A,0))="Net",ROUND(($E4-_xlfn.MINIFS($E$2:$E$401,$A$2:$A$401,$A4,$B$2:$B$401,$B4))*INDEX('Tournament Setup'!$G:$G,MATCH($A4,'Tournament Setup'!$A:$A,0))/100,0),0))</f>
      </c>
      <c r="Z4" t="e">
        <f>IF(OR(OR($A4="",$D4=""),F4=""),"",F4-(INT($Y4/18)+IF(INDEX('Tournament Setup'!$AD:$AD,MATCH($A4,'Tournament Setup'!$A:$A,0))&lt;=MOD($Y4,18),1,0)))</f>
      </c>
      <c r="AA4" t="e">
        <f>IF(OR(OR($A4="",$D4=""),G4=""),"",G4-(INT($Y4/18)+IF(INDEX('Tournament Setup'!$AE:$AE,MATCH($A4,'Tournament Setup'!$A:$A,0))&lt;=MOD($Y4,18),1,0)))</f>
      </c>
      <c r="AB4" t="e">
        <f>IF(OR(OR($A4="",$D4=""),H4=""),"",H4-(INT($Y4/18)+IF(INDEX('Tournament Setup'!$AF:$AF,MATCH($A4,'Tournament Setup'!$A:$A,0))&lt;=MOD($Y4,18),1,0)))</f>
      </c>
      <c r="AC4" t="e">
        <f>IF(OR(OR($A4="",$D4=""),I4=""),"",I4-(INT($Y4/18)+IF(INDEX('Tournament Setup'!$AG:$AG,MATCH($A4,'Tournament Setup'!$A:$A,0))&lt;=MOD($Y4,18),1,0)))</f>
      </c>
      <c r="AD4" t="e">
        <f>IF(OR(OR($A4="",$D4=""),J4=""),"",J4-(INT($Y4/18)+IF(INDEX('Tournament Setup'!$AH:$AH,MATCH($A4,'Tournament Setup'!$A:$A,0))&lt;=MOD($Y4,18),1,0)))</f>
      </c>
      <c r="AE4" t="e">
        <f>IF(OR(OR($A4="",$D4=""),K4=""),"",K4-(INT($Y4/18)+IF(INDEX('Tournament Setup'!$AI:$AI,MATCH($A4,'Tournament Setup'!$A:$A,0))&lt;=MOD($Y4,18),1,0)))</f>
      </c>
      <c r="AF4" t="e">
        <f>IF(OR(OR($A4="",$D4=""),L4=""),"",L4-(INT($Y4/18)+IF(INDEX('Tournament Setup'!$AJ:$AJ,MATCH($A4,'Tournament Setup'!$A:$A,0))&lt;=MOD($Y4,18),1,0)))</f>
      </c>
      <c r="AG4" t="e">
        <f>IF(OR(OR($A4="",$D4=""),M4=""),"",M4-(INT($Y4/18)+IF(INDEX('Tournament Setup'!$AK:$AK,MATCH($A4,'Tournament Setup'!$A:$A,0))&lt;=MOD($Y4,18),1,0)))</f>
      </c>
      <c r="AH4" t="e">
        <f>IF(OR(OR($A4="",$D4=""),N4=""),"",N4-(INT($Y4/18)+IF(INDEX('Tournament Setup'!$AL:$AL,MATCH($A4,'Tournament Setup'!$A:$A,0))&lt;=MOD($Y4,18),1,0)))</f>
      </c>
      <c r="AI4" t="e">
        <f>IF(OR(OR($A4="",$D4=""),O4=""),"",O4-(INT($Y4/18)+IF(INDEX('Tournament Setup'!$AM:$AM,MATCH($A4,'Tournament Setup'!$A:$A,0))&lt;=MOD($Y4,18),1,0)))</f>
      </c>
      <c r="AJ4" t="e">
        <f>IF(OR(OR($A4="",$D4=""),P4=""),"",P4-(INT($Y4/18)+IF(INDEX('Tournament Setup'!$AN:$AN,MATCH($A4,'Tournament Setup'!$A:$A,0))&lt;=MOD($Y4,18),1,0)))</f>
      </c>
      <c r="AK4" t="e">
        <f>IF(OR(OR($A4="",$D4=""),Q4=""),"",Q4-(INT($Y4/18)+IF(INDEX('Tournament Setup'!$AO:$AO,MATCH($A4,'Tournament Setup'!$A:$A,0))&lt;=MOD($Y4,18),1,0)))</f>
      </c>
      <c r="AL4" t="e">
        <f>IF(OR(OR($A4="",$D4=""),R4=""),"",R4-(INT($Y4/18)+IF(INDEX('Tournament Setup'!$AP:$AP,MATCH($A4,'Tournament Setup'!$A:$A,0))&lt;=MOD($Y4,18),1,0)))</f>
      </c>
      <c r="AM4" t="e">
        <f>IF(OR(OR($A4="",$D4=""),S4=""),"",S4-(INT($Y4/18)+IF(INDEX('Tournament Setup'!$AQ:$AQ,MATCH($A4,'Tournament Setup'!$A:$A,0))&lt;=MOD($Y4,18),1,0)))</f>
      </c>
      <c r="AN4" t="e">
        <f>IF(OR(OR($A4="",$D4=""),T4=""),"",T4-(INT($Y4/18)+IF(INDEX('Tournament Setup'!$AR:$AR,MATCH($A4,'Tournament Setup'!$A:$A,0))&lt;=MOD($Y4,18),1,0)))</f>
      </c>
      <c r="AO4" t="e">
        <f>IF(OR(OR($A4="",$D4=""),U4=""),"",U4-(INT($Y4/18)+IF(INDEX('Tournament Setup'!$AS:$AS,MATCH($A4,'Tournament Setup'!$A:$A,0))&lt;=MOD($Y4,18),1,0)))</f>
      </c>
      <c r="AP4" t="e">
        <f>IF(OR(OR($A4="",$D4=""),V4=""),"",V4-(INT($Y4/18)+IF(INDEX('Tournament Setup'!$AT:$AT,MATCH($A4,'Tournament Setup'!$A:$A,0))&lt;=MOD($Y4,18),1,0)))</f>
      </c>
      <c r="AQ4" t="e">
        <f>IF(OR(OR($A4="",$D4=""),W4=""),"",W4-(INT($Y4/18)+IF(INDEX('Tournament Setup'!$AU:$AU,MATCH($A4,'Tournament Setup'!$A:$A,0))&lt;=MOD($Y4,18),1,0)))</f>
      </c>
    </row>
    <row r="5">
      <c r="A5">
        <v>1</v>
      </c>
      <c r="B5">
        <v>1</v>
      </c>
      <c r="C5" t="str">
        <v>Palms</v>
      </c>
      <c r="D5" t="str">
        <v>Morgan Ellis</v>
      </c>
      <c r="E5">
        <v>10</v>
      </c>
      <c r="F5">
        <v>3</v>
      </c>
      <c r="G5">
        <v>6</v>
      </c>
      <c r="H5">
        <v>3</v>
      </c>
      <c r="I5">
        <v>7</v>
      </c>
      <c r="J5">
        <v>5</v>
      </c>
      <c r="K5">
        <v>3</v>
      </c>
      <c r="L5">
        <v>5</v>
      </c>
      <c r="M5">
        <v>4</v>
      </c>
      <c r="N5">
        <v>7</v>
      </c>
      <c r="O5">
        <v>5</v>
      </c>
      <c r="P5">
        <v>2</v>
      </c>
      <c r="Q5">
        <v>6</v>
      </c>
      <c r="R5">
        <v>5</v>
      </c>
      <c r="S5">
        <v>6</v>
      </c>
      <c r="T5">
        <v>5</v>
      </c>
      <c r="U5">
        <v>2</v>
      </c>
      <c r="V5">
        <v>6</v>
      </c>
      <c r="W5">
        <v>5</v>
      </c>
      <c r="X5" t="e">
        <f>IF(OR($A5="",$D5=""),"",SUM(F5:W5))</f>
      </c>
      <c r="Y5" t="e">
        <f>IF(OR($A5="",$D5=""),"",IF(INDEX('Tournament Setup'!$F:$F,MATCH($A5,'Tournament Setup'!$A:$A,0))="Net",ROUND(($E5-_xlfn.MINIFS($E$2:$E$401,$A$2:$A$401,$A5,$B$2:$B$401,$B5))*INDEX('Tournament Setup'!$G:$G,MATCH($A5,'Tournament Setup'!$A:$A,0))/100,0),0))</f>
      </c>
      <c r="Z5" t="e">
        <f>IF(OR(OR($A5="",$D5=""),F5=""),"",F5-(INT($Y5/18)+IF(INDEX('Tournament Setup'!$AD:$AD,MATCH($A5,'Tournament Setup'!$A:$A,0))&lt;=MOD($Y5,18),1,0)))</f>
      </c>
      <c r="AA5" t="e">
        <f>IF(OR(OR($A5="",$D5=""),G5=""),"",G5-(INT($Y5/18)+IF(INDEX('Tournament Setup'!$AE:$AE,MATCH($A5,'Tournament Setup'!$A:$A,0))&lt;=MOD($Y5,18),1,0)))</f>
      </c>
      <c r="AB5" t="e">
        <f>IF(OR(OR($A5="",$D5=""),H5=""),"",H5-(INT($Y5/18)+IF(INDEX('Tournament Setup'!$AF:$AF,MATCH($A5,'Tournament Setup'!$A:$A,0))&lt;=MOD($Y5,18),1,0)))</f>
      </c>
      <c r="AC5" t="e">
        <f>IF(OR(OR($A5="",$D5=""),I5=""),"",I5-(INT($Y5/18)+IF(INDEX('Tournament Setup'!$AG:$AG,MATCH($A5,'Tournament Setup'!$A:$A,0))&lt;=MOD($Y5,18),1,0)))</f>
      </c>
      <c r="AD5" t="e">
        <f>IF(OR(OR($A5="",$D5=""),J5=""),"",J5-(INT($Y5/18)+IF(INDEX('Tournament Setup'!$AH:$AH,MATCH($A5,'Tournament Setup'!$A:$A,0))&lt;=MOD($Y5,18),1,0)))</f>
      </c>
      <c r="AE5" t="e">
        <f>IF(OR(OR($A5="",$D5=""),K5=""),"",K5-(INT($Y5/18)+IF(INDEX('Tournament Setup'!$AI:$AI,MATCH($A5,'Tournament Setup'!$A:$A,0))&lt;=MOD($Y5,18),1,0)))</f>
      </c>
      <c r="AF5" t="e">
        <f>IF(OR(OR($A5="",$D5=""),L5=""),"",L5-(INT($Y5/18)+IF(INDEX('Tournament Setup'!$AJ:$AJ,MATCH($A5,'Tournament Setup'!$A:$A,0))&lt;=MOD($Y5,18),1,0)))</f>
      </c>
      <c r="AG5" t="e">
        <f>IF(OR(OR($A5="",$D5=""),M5=""),"",M5-(INT($Y5/18)+IF(INDEX('Tournament Setup'!$AK:$AK,MATCH($A5,'Tournament Setup'!$A:$A,0))&lt;=MOD($Y5,18),1,0)))</f>
      </c>
      <c r="AH5" t="e">
        <f>IF(OR(OR($A5="",$D5=""),N5=""),"",N5-(INT($Y5/18)+IF(INDEX('Tournament Setup'!$AL:$AL,MATCH($A5,'Tournament Setup'!$A:$A,0))&lt;=MOD($Y5,18),1,0)))</f>
      </c>
      <c r="AI5" t="e">
        <f>IF(OR(OR($A5="",$D5=""),O5=""),"",O5-(INT($Y5/18)+IF(INDEX('Tournament Setup'!$AM:$AM,MATCH($A5,'Tournament Setup'!$A:$A,0))&lt;=MOD($Y5,18),1,0)))</f>
      </c>
      <c r="AJ5" t="e">
        <f>IF(OR(OR($A5="",$D5=""),P5=""),"",P5-(INT($Y5/18)+IF(INDEX('Tournament Setup'!$AN:$AN,MATCH($A5,'Tournament Setup'!$A:$A,0))&lt;=MOD($Y5,18),1,0)))</f>
      </c>
      <c r="AK5" t="e">
        <f>IF(OR(OR($A5="",$D5=""),Q5=""),"",Q5-(INT($Y5/18)+IF(INDEX('Tournament Setup'!$AO:$AO,MATCH($A5,'Tournament Setup'!$A:$A,0))&lt;=MOD($Y5,18),1,0)))</f>
      </c>
      <c r="AL5" t="e">
        <f>IF(OR(OR($A5="",$D5=""),R5=""),"",R5-(INT($Y5/18)+IF(INDEX('Tournament Setup'!$AP:$AP,MATCH($A5,'Tournament Setup'!$A:$A,0))&lt;=MOD($Y5,18),1,0)))</f>
      </c>
      <c r="AM5" t="e">
        <f>IF(OR(OR($A5="",$D5=""),S5=""),"",S5-(INT($Y5/18)+IF(INDEX('Tournament Setup'!$AQ:$AQ,MATCH($A5,'Tournament Setup'!$A:$A,0))&lt;=MOD($Y5,18),1,0)))</f>
      </c>
      <c r="AN5" t="e">
        <f>IF(OR(OR($A5="",$D5=""),T5=""),"",T5-(INT($Y5/18)+IF(INDEX('Tournament Setup'!$AR:$AR,MATCH($A5,'Tournament Setup'!$A:$A,0))&lt;=MOD($Y5,18),1,0)))</f>
      </c>
      <c r="AO5" t="e">
        <f>IF(OR(OR($A5="",$D5=""),U5=""),"",U5-(INT($Y5/18)+IF(INDEX('Tournament Setup'!$AS:$AS,MATCH($A5,'Tournament Setup'!$A:$A,0))&lt;=MOD($Y5,18),1,0)))</f>
      </c>
      <c r="AP5" t="e">
        <f>IF(OR(OR($A5="",$D5=""),V5=""),"",V5-(INT($Y5/18)+IF(INDEX('Tournament Setup'!$AT:$AT,MATCH($A5,'Tournament Setup'!$A:$A,0))&lt;=MOD($Y5,18),1,0)))</f>
      </c>
      <c r="AQ5" t="e">
        <f>IF(OR(OR($A5="",$D5=""),W5=""),"",W5-(INT($Y5/18)+IF(INDEX('Tournament Setup'!$AU:$AU,MATCH($A5,'Tournament Setup'!$A:$A,0))&lt;=MOD($Y5,18),1,0)))</f>
      </c>
    </row>
    <row r="6">
      <c r="A6">
        <v>1</v>
      </c>
      <c r="B6">
        <v>2</v>
      </c>
      <c r="C6" t="str">
        <v>Pines</v>
      </c>
      <c r="D6" t="str">
        <v>Jordan Hayes</v>
      </c>
      <c r="E6">
        <v>9</v>
      </c>
      <c r="F6">
        <v>6</v>
      </c>
      <c r="G6">
        <v>5</v>
      </c>
      <c r="H6">
        <v>2</v>
      </c>
      <c r="I6">
        <v>7</v>
      </c>
      <c r="J6">
        <v>4</v>
      </c>
      <c r="K6">
        <v>6</v>
      </c>
      <c r="L6">
        <v>4</v>
      </c>
      <c r="M6">
        <v>3</v>
      </c>
      <c r="N6">
        <v>7</v>
      </c>
      <c r="O6">
        <v>4</v>
      </c>
      <c r="P6">
        <v>5</v>
      </c>
      <c r="Q6">
        <v>5</v>
      </c>
      <c r="R6">
        <v>4</v>
      </c>
      <c r="S6">
        <v>6</v>
      </c>
      <c r="T6">
        <v>4</v>
      </c>
      <c r="U6">
        <v>5</v>
      </c>
      <c r="V6">
        <v>5</v>
      </c>
      <c r="W6">
        <v>4</v>
      </c>
      <c r="X6" t="e">
        <f>IF(OR($A6="",$D6=""),"",SUM(F6:W6))</f>
      </c>
      <c r="Y6" t="e">
        <f>IF(OR($A6="",$D6=""),"",IF(INDEX('Tournament Setup'!$F:$F,MATCH($A6,'Tournament Setup'!$A:$A,0))="Net",ROUND(($E6-_xlfn.MINIFS($E$2:$E$401,$A$2:$A$401,$A6,$B$2:$B$401,$B6))*INDEX('Tournament Setup'!$G:$G,MATCH($A6,'Tournament Setup'!$A:$A,0))/100,0),0))</f>
      </c>
      <c r="Z6" t="e">
        <f>IF(OR(OR($A6="",$D6=""),F6=""),"",F6-(INT($Y6/18)+IF(INDEX('Tournament Setup'!$AD:$AD,MATCH($A6,'Tournament Setup'!$A:$A,0))&lt;=MOD($Y6,18),1,0)))</f>
      </c>
      <c r="AA6" t="e">
        <f>IF(OR(OR($A6="",$D6=""),G6=""),"",G6-(INT($Y6/18)+IF(INDEX('Tournament Setup'!$AE:$AE,MATCH($A6,'Tournament Setup'!$A:$A,0))&lt;=MOD($Y6,18),1,0)))</f>
      </c>
      <c r="AB6" t="e">
        <f>IF(OR(OR($A6="",$D6=""),H6=""),"",H6-(INT($Y6/18)+IF(INDEX('Tournament Setup'!$AF:$AF,MATCH($A6,'Tournament Setup'!$A:$A,0))&lt;=MOD($Y6,18),1,0)))</f>
      </c>
      <c r="AC6" t="e">
        <f>IF(OR(OR($A6="",$D6=""),I6=""),"",I6-(INT($Y6/18)+IF(INDEX('Tournament Setup'!$AG:$AG,MATCH($A6,'Tournament Setup'!$A:$A,0))&lt;=MOD($Y6,18),1,0)))</f>
      </c>
      <c r="AD6" t="e">
        <f>IF(OR(OR($A6="",$D6=""),J6=""),"",J6-(INT($Y6/18)+IF(INDEX('Tournament Setup'!$AH:$AH,MATCH($A6,'Tournament Setup'!$A:$A,0))&lt;=MOD($Y6,18),1,0)))</f>
      </c>
      <c r="AE6" t="e">
        <f>IF(OR(OR($A6="",$D6=""),K6=""),"",K6-(INT($Y6/18)+IF(INDEX('Tournament Setup'!$AI:$AI,MATCH($A6,'Tournament Setup'!$A:$A,0))&lt;=MOD($Y6,18),1,0)))</f>
      </c>
      <c r="AF6" t="e">
        <f>IF(OR(OR($A6="",$D6=""),L6=""),"",L6-(INT($Y6/18)+IF(INDEX('Tournament Setup'!$AJ:$AJ,MATCH($A6,'Tournament Setup'!$A:$A,0))&lt;=MOD($Y6,18),1,0)))</f>
      </c>
      <c r="AG6" t="e">
        <f>IF(OR(OR($A6="",$D6=""),M6=""),"",M6-(INT($Y6/18)+IF(INDEX('Tournament Setup'!$AK:$AK,MATCH($A6,'Tournament Setup'!$A:$A,0))&lt;=MOD($Y6,18),1,0)))</f>
      </c>
      <c r="AH6" t="e">
        <f>IF(OR(OR($A6="",$D6=""),N6=""),"",N6-(INT($Y6/18)+IF(INDEX('Tournament Setup'!$AL:$AL,MATCH($A6,'Tournament Setup'!$A:$A,0))&lt;=MOD($Y6,18),1,0)))</f>
      </c>
      <c r="AI6" t="e">
        <f>IF(OR(OR($A6="",$D6=""),O6=""),"",O6-(INT($Y6/18)+IF(INDEX('Tournament Setup'!$AM:$AM,MATCH($A6,'Tournament Setup'!$A:$A,0))&lt;=MOD($Y6,18),1,0)))</f>
      </c>
      <c r="AJ6" t="e">
        <f>IF(OR(OR($A6="",$D6=""),P6=""),"",P6-(INT($Y6/18)+IF(INDEX('Tournament Setup'!$AN:$AN,MATCH($A6,'Tournament Setup'!$A:$A,0))&lt;=MOD($Y6,18),1,0)))</f>
      </c>
      <c r="AK6" t="e">
        <f>IF(OR(OR($A6="",$D6=""),Q6=""),"",Q6-(INT($Y6/18)+IF(INDEX('Tournament Setup'!$AO:$AO,MATCH($A6,'Tournament Setup'!$A:$A,0))&lt;=MOD($Y6,18),1,0)))</f>
      </c>
      <c r="AL6" t="e">
        <f>IF(OR(OR($A6="",$D6=""),R6=""),"",R6-(INT($Y6/18)+IF(INDEX('Tournament Setup'!$AP:$AP,MATCH($A6,'Tournament Setup'!$A:$A,0))&lt;=MOD($Y6,18),1,0)))</f>
      </c>
      <c r="AM6" t="e">
        <f>IF(OR(OR($A6="",$D6=""),S6=""),"",S6-(INT($Y6/18)+IF(INDEX('Tournament Setup'!$AQ:$AQ,MATCH($A6,'Tournament Setup'!$A:$A,0))&lt;=MOD($Y6,18),1,0)))</f>
      </c>
      <c r="AN6" t="e">
        <f>IF(OR(OR($A6="",$D6=""),T6=""),"",T6-(INT($Y6/18)+IF(INDEX('Tournament Setup'!$AR:$AR,MATCH($A6,'Tournament Setup'!$A:$A,0))&lt;=MOD($Y6,18),1,0)))</f>
      </c>
      <c r="AO6" t="e">
        <f>IF(OR(OR($A6="",$D6=""),U6=""),"",U6-(INT($Y6/18)+IF(INDEX('Tournament Setup'!$AS:$AS,MATCH($A6,'Tournament Setup'!$A:$A,0))&lt;=MOD($Y6,18),1,0)))</f>
      </c>
      <c r="AP6" t="e">
        <f>IF(OR(OR($A6="",$D6=""),V6=""),"",V6-(INT($Y6/18)+IF(INDEX('Tournament Setup'!$AT:$AT,MATCH($A6,'Tournament Setup'!$A:$A,0))&lt;=MOD($Y6,18),1,0)))</f>
      </c>
      <c r="AQ6" t="e">
        <f>IF(OR(OR($A6="",$D6=""),W6=""),"",W6-(INT($Y6/18)+IF(INDEX('Tournament Setup'!$AU:$AU,MATCH($A6,'Tournament Setup'!$A:$A,0))&lt;=MOD($Y6,18),1,0)))</f>
      </c>
    </row>
    <row r="7">
      <c r="A7">
        <v>1</v>
      </c>
      <c r="B7">
        <v>2</v>
      </c>
      <c r="C7" t="str">
        <v>Pines</v>
      </c>
      <c r="D7" t="str">
        <v>Casey Lopez</v>
      </c>
      <c r="E7">
        <v>15</v>
      </c>
      <c r="F7">
        <v>5</v>
      </c>
      <c r="G7">
        <v>6</v>
      </c>
      <c r="H7">
        <v>5</v>
      </c>
      <c r="I7">
        <v>4</v>
      </c>
      <c r="J7">
        <v>7</v>
      </c>
      <c r="K7">
        <v>4</v>
      </c>
      <c r="L7">
        <v>6</v>
      </c>
      <c r="M7">
        <v>5</v>
      </c>
      <c r="N7">
        <v>5</v>
      </c>
      <c r="O7">
        <v>6</v>
      </c>
      <c r="P7">
        <v>4</v>
      </c>
      <c r="Q7">
        <v>6</v>
      </c>
      <c r="R7">
        <v>7</v>
      </c>
      <c r="S7">
        <v>3</v>
      </c>
      <c r="T7">
        <v>7</v>
      </c>
      <c r="U7">
        <v>3</v>
      </c>
      <c r="V7">
        <v>7</v>
      </c>
      <c r="W7">
        <v>6</v>
      </c>
      <c r="X7" t="e">
        <f>IF(OR($A7="",$D7=""),"",SUM(F7:W7))</f>
      </c>
      <c r="Y7" t="e">
        <f>IF(OR($A7="",$D7=""),"",IF(INDEX('Tournament Setup'!$F:$F,MATCH($A7,'Tournament Setup'!$A:$A,0))="Net",ROUND(($E7-_xlfn.MINIFS($E$2:$E$401,$A$2:$A$401,$A7,$B$2:$B$401,$B7))*INDEX('Tournament Setup'!$G:$G,MATCH($A7,'Tournament Setup'!$A:$A,0))/100,0),0))</f>
      </c>
      <c r="Z7" t="e">
        <f>IF(OR(OR($A7="",$D7=""),F7=""),"",F7-(INT($Y7/18)+IF(INDEX('Tournament Setup'!$AD:$AD,MATCH($A7,'Tournament Setup'!$A:$A,0))&lt;=MOD($Y7,18),1,0)))</f>
      </c>
      <c r="AA7" t="e">
        <f>IF(OR(OR($A7="",$D7=""),G7=""),"",G7-(INT($Y7/18)+IF(INDEX('Tournament Setup'!$AE:$AE,MATCH($A7,'Tournament Setup'!$A:$A,0))&lt;=MOD($Y7,18),1,0)))</f>
      </c>
      <c r="AB7" t="e">
        <f>IF(OR(OR($A7="",$D7=""),H7=""),"",H7-(INT($Y7/18)+IF(INDEX('Tournament Setup'!$AF:$AF,MATCH($A7,'Tournament Setup'!$A:$A,0))&lt;=MOD($Y7,18),1,0)))</f>
      </c>
      <c r="AC7" t="e">
        <f>IF(OR(OR($A7="",$D7=""),I7=""),"",I7-(INT($Y7/18)+IF(INDEX('Tournament Setup'!$AG:$AG,MATCH($A7,'Tournament Setup'!$A:$A,0))&lt;=MOD($Y7,18),1,0)))</f>
      </c>
      <c r="AD7" t="e">
        <f>IF(OR(OR($A7="",$D7=""),J7=""),"",J7-(INT($Y7/18)+IF(INDEX('Tournament Setup'!$AH:$AH,MATCH($A7,'Tournament Setup'!$A:$A,0))&lt;=MOD($Y7,18),1,0)))</f>
      </c>
      <c r="AE7" t="e">
        <f>IF(OR(OR($A7="",$D7=""),K7=""),"",K7-(INT($Y7/18)+IF(INDEX('Tournament Setup'!$AI:$AI,MATCH($A7,'Tournament Setup'!$A:$A,0))&lt;=MOD($Y7,18),1,0)))</f>
      </c>
      <c r="AF7" t="e">
        <f>IF(OR(OR($A7="",$D7=""),L7=""),"",L7-(INT($Y7/18)+IF(INDEX('Tournament Setup'!$AJ:$AJ,MATCH($A7,'Tournament Setup'!$A:$A,0))&lt;=MOD($Y7,18),1,0)))</f>
      </c>
      <c r="AG7" t="e">
        <f>IF(OR(OR($A7="",$D7=""),M7=""),"",M7-(INT($Y7/18)+IF(INDEX('Tournament Setup'!$AK:$AK,MATCH($A7,'Tournament Setup'!$A:$A,0))&lt;=MOD($Y7,18),1,0)))</f>
      </c>
      <c r="AH7" t="e">
        <f>IF(OR(OR($A7="",$D7=""),N7=""),"",N7-(INT($Y7/18)+IF(INDEX('Tournament Setup'!$AL:$AL,MATCH($A7,'Tournament Setup'!$A:$A,0))&lt;=MOD($Y7,18),1,0)))</f>
      </c>
      <c r="AI7" t="e">
        <f>IF(OR(OR($A7="",$D7=""),O7=""),"",O7-(INT($Y7/18)+IF(INDEX('Tournament Setup'!$AM:$AM,MATCH($A7,'Tournament Setup'!$A:$A,0))&lt;=MOD($Y7,18),1,0)))</f>
      </c>
      <c r="AJ7" t="e">
        <f>IF(OR(OR($A7="",$D7=""),P7=""),"",P7-(INT($Y7/18)+IF(INDEX('Tournament Setup'!$AN:$AN,MATCH($A7,'Tournament Setup'!$A:$A,0))&lt;=MOD($Y7,18),1,0)))</f>
      </c>
      <c r="AK7" t="e">
        <f>IF(OR(OR($A7="",$D7=""),Q7=""),"",Q7-(INT($Y7/18)+IF(INDEX('Tournament Setup'!$AO:$AO,MATCH($A7,'Tournament Setup'!$A:$A,0))&lt;=MOD($Y7,18),1,0)))</f>
      </c>
      <c r="AL7" t="e">
        <f>IF(OR(OR($A7="",$D7=""),R7=""),"",R7-(INT($Y7/18)+IF(INDEX('Tournament Setup'!$AP:$AP,MATCH($A7,'Tournament Setup'!$A:$A,0))&lt;=MOD($Y7,18),1,0)))</f>
      </c>
      <c r="AM7" t="e">
        <f>IF(OR(OR($A7="",$D7=""),S7=""),"",S7-(INT($Y7/18)+IF(INDEX('Tournament Setup'!$AQ:$AQ,MATCH($A7,'Tournament Setup'!$A:$A,0))&lt;=MOD($Y7,18),1,0)))</f>
      </c>
      <c r="AN7" t="e">
        <f>IF(OR(OR($A7="",$D7=""),T7=""),"",T7-(INT($Y7/18)+IF(INDEX('Tournament Setup'!$AR:$AR,MATCH($A7,'Tournament Setup'!$A:$A,0))&lt;=MOD($Y7,18),1,0)))</f>
      </c>
      <c r="AO7" t="e">
        <f>IF(OR(OR($A7="",$D7=""),U7=""),"",U7-(INT($Y7/18)+IF(INDEX('Tournament Setup'!$AS:$AS,MATCH($A7,'Tournament Setup'!$A:$A,0))&lt;=MOD($Y7,18),1,0)))</f>
      </c>
      <c r="AP7" t="e">
        <f>IF(OR(OR($A7="",$D7=""),V7=""),"",V7-(INT($Y7/18)+IF(INDEX('Tournament Setup'!$AT:$AT,MATCH($A7,'Tournament Setup'!$A:$A,0))&lt;=MOD($Y7,18),1,0)))</f>
      </c>
      <c r="AQ7" t="e">
        <f>IF(OR(OR($A7="",$D7=""),W7=""),"",W7-(INT($Y7/18)+IF(INDEX('Tournament Setup'!$AU:$AU,MATCH($A7,'Tournament Setup'!$A:$A,0))&lt;=MOD($Y7,18),1,0)))</f>
      </c>
    </row>
    <row r="8">
      <c r="A8">
        <v>1</v>
      </c>
      <c r="B8">
        <v>2</v>
      </c>
      <c r="C8" t="str">
        <v>Palms</v>
      </c>
      <c r="D8" t="str">
        <v>Drew Keller</v>
      </c>
      <c r="E8">
        <v>4</v>
      </c>
      <c r="F8">
        <v>5</v>
      </c>
      <c r="G8">
        <v>3</v>
      </c>
      <c r="H8">
        <v>5</v>
      </c>
      <c r="I8">
        <v>5</v>
      </c>
      <c r="J8">
        <v>6</v>
      </c>
      <c r="K8">
        <v>5</v>
      </c>
      <c r="L8">
        <v>2</v>
      </c>
      <c r="M8">
        <v>6</v>
      </c>
      <c r="N8">
        <v>5</v>
      </c>
      <c r="O8">
        <v>6</v>
      </c>
      <c r="P8">
        <v>4</v>
      </c>
      <c r="Q8">
        <v>3</v>
      </c>
      <c r="R8">
        <v>7</v>
      </c>
      <c r="S8">
        <v>4</v>
      </c>
      <c r="T8">
        <v>6</v>
      </c>
      <c r="U8">
        <v>4</v>
      </c>
      <c r="V8">
        <v>3</v>
      </c>
      <c r="W8">
        <v>7</v>
      </c>
      <c r="X8" t="e">
        <f>IF(OR($A8="",$D8=""),"",SUM(F8:W8))</f>
      </c>
      <c r="Y8" t="e">
        <f>IF(OR($A8="",$D8=""),"",IF(INDEX('Tournament Setup'!$F:$F,MATCH($A8,'Tournament Setup'!$A:$A,0))="Net",ROUND(($E8-_xlfn.MINIFS($E$2:$E$401,$A$2:$A$401,$A8,$B$2:$B$401,$B8))*INDEX('Tournament Setup'!$G:$G,MATCH($A8,'Tournament Setup'!$A:$A,0))/100,0),0))</f>
      </c>
      <c r="Z8" t="e">
        <f>IF(OR(OR($A8="",$D8=""),F8=""),"",F8-(INT($Y8/18)+IF(INDEX('Tournament Setup'!$AD:$AD,MATCH($A8,'Tournament Setup'!$A:$A,0))&lt;=MOD($Y8,18),1,0)))</f>
      </c>
      <c r="AA8" t="e">
        <f>IF(OR(OR($A8="",$D8=""),G8=""),"",G8-(INT($Y8/18)+IF(INDEX('Tournament Setup'!$AE:$AE,MATCH($A8,'Tournament Setup'!$A:$A,0))&lt;=MOD($Y8,18),1,0)))</f>
      </c>
      <c r="AB8" t="e">
        <f>IF(OR(OR($A8="",$D8=""),H8=""),"",H8-(INT($Y8/18)+IF(INDEX('Tournament Setup'!$AF:$AF,MATCH($A8,'Tournament Setup'!$A:$A,0))&lt;=MOD($Y8,18),1,0)))</f>
      </c>
      <c r="AC8" t="e">
        <f>IF(OR(OR($A8="",$D8=""),I8=""),"",I8-(INT($Y8/18)+IF(INDEX('Tournament Setup'!$AG:$AG,MATCH($A8,'Tournament Setup'!$A:$A,0))&lt;=MOD($Y8,18),1,0)))</f>
      </c>
      <c r="AD8" t="e">
        <f>IF(OR(OR($A8="",$D8=""),J8=""),"",J8-(INT($Y8/18)+IF(INDEX('Tournament Setup'!$AH:$AH,MATCH($A8,'Tournament Setup'!$A:$A,0))&lt;=MOD($Y8,18),1,0)))</f>
      </c>
      <c r="AE8" t="e">
        <f>IF(OR(OR($A8="",$D8=""),K8=""),"",K8-(INT($Y8/18)+IF(INDEX('Tournament Setup'!$AI:$AI,MATCH($A8,'Tournament Setup'!$A:$A,0))&lt;=MOD($Y8,18),1,0)))</f>
      </c>
      <c r="AF8" t="e">
        <f>IF(OR(OR($A8="",$D8=""),L8=""),"",L8-(INT($Y8/18)+IF(INDEX('Tournament Setup'!$AJ:$AJ,MATCH($A8,'Tournament Setup'!$A:$A,0))&lt;=MOD($Y8,18),1,0)))</f>
      </c>
      <c r="AG8" t="e">
        <f>IF(OR(OR($A8="",$D8=""),M8=""),"",M8-(INT($Y8/18)+IF(INDEX('Tournament Setup'!$AK:$AK,MATCH($A8,'Tournament Setup'!$A:$A,0))&lt;=MOD($Y8,18),1,0)))</f>
      </c>
      <c r="AH8" t="e">
        <f>IF(OR(OR($A8="",$D8=""),N8=""),"",N8-(INT($Y8/18)+IF(INDEX('Tournament Setup'!$AL:$AL,MATCH($A8,'Tournament Setup'!$A:$A,0))&lt;=MOD($Y8,18),1,0)))</f>
      </c>
      <c r="AI8" t="e">
        <f>IF(OR(OR($A8="",$D8=""),O8=""),"",O8-(INT($Y8/18)+IF(INDEX('Tournament Setup'!$AM:$AM,MATCH($A8,'Tournament Setup'!$A:$A,0))&lt;=MOD($Y8,18),1,0)))</f>
      </c>
      <c r="AJ8" t="e">
        <f>IF(OR(OR($A8="",$D8=""),P8=""),"",P8-(INT($Y8/18)+IF(INDEX('Tournament Setup'!$AN:$AN,MATCH($A8,'Tournament Setup'!$A:$A,0))&lt;=MOD($Y8,18),1,0)))</f>
      </c>
      <c r="AK8" t="e">
        <f>IF(OR(OR($A8="",$D8=""),Q8=""),"",Q8-(INT($Y8/18)+IF(INDEX('Tournament Setup'!$AO:$AO,MATCH($A8,'Tournament Setup'!$A:$A,0))&lt;=MOD($Y8,18),1,0)))</f>
      </c>
      <c r="AL8" t="e">
        <f>IF(OR(OR($A8="",$D8=""),R8=""),"",R8-(INT($Y8/18)+IF(INDEX('Tournament Setup'!$AP:$AP,MATCH($A8,'Tournament Setup'!$A:$A,0))&lt;=MOD($Y8,18),1,0)))</f>
      </c>
      <c r="AM8" t="e">
        <f>IF(OR(OR($A8="",$D8=""),S8=""),"",S8-(INT($Y8/18)+IF(INDEX('Tournament Setup'!$AQ:$AQ,MATCH($A8,'Tournament Setup'!$A:$A,0))&lt;=MOD($Y8,18),1,0)))</f>
      </c>
      <c r="AN8" t="e">
        <f>IF(OR(OR($A8="",$D8=""),T8=""),"",T8-(INT($Y8/18)+IF(INDEX('Tournament Setup'!$AR:$AR,MATCH($A8,'Tournament Setup'!$A:$A,0))&lt;=MOD($Y8,18),1,0)))</f>
      </c>
      <c r="AO8" t="e">
        <f>IF(OR(OR($A8="",$D8=""),U8=""),"",U8-(INT($Y8/18)+IF(INDEX('Tournament Setup'!$AS:$AS,MATCH($A8,'Tournament Setup'!$A:$A,0))&lt;=MOD($Y8,18),1,0)))</f>
      </c>
      <c r="AP8" t="e">
        <f>IF(OR(OR($A8="",$D8=""),V8=""),"",V8-(INT($Y8/18)+IF(INDEX('Tournament Setup'!$AT:$AT,MATCH($A8,'Tournament Setup'!$A:$A,0))&lt;=MOD($Y8,18),1,0)))</f>
      </c>
      <c r="AQ8" t="e">
        <f>IF(OR(OR($A8="",$D8=""),W8=""),"",W8-(INT($Y8/18)+IF(INDEX('Tournament Setup'!$AU:$AU,MATCH($A8,'Tournament Setup'!$A:$A,0))&lt;=MOD($Y8,18),1,0)))</f>
      </c>
    </row>
    <row r="9">
      <c r="A9">
        <v>1</v>
      </c>
      <c r="B9">
        <v>2</v>
      </c>
      <c r="C9" t="str">
        <v>Palms</v>
      </c>
      <c r="D9" t="str">
        <v>Quinn Shaw</v>
      </c>
      <c r="E9">
        <v>14</v>
      </c>
      <c r="F9">
        <v>7</v>
      </c>
      <c r="G9">
        <v>5</v>
      </c>
      <c r="H9">
        <v>3</v>
      </c>
      <c r="I9">
        <v>7</v>
      </c>
      <c r="J9">
        <v>5</v>
      </c>
      <c r="K9">
        <v>6</v>
      </c>
      <c r="L9">
        <v>5</v>
      </c>
      <c r="M9">
        <v>3</v>
      </c>
      <c r="N9">
        <v>8</v>
      </c>
      <c r="O9">
        <v>4</v>
      </c>
      <c r="P9">
        <v>6</v>
      </c>
      <c r="Q9">
        <v>5</v>
      </c>
      <c r="R9">
        <v>5</v>
      </c>
      <c r="S9">
        <v>6</v>
      </c>
      <c r="T9">
        <v>5</v>
      </c>
      <c r="U9">
        <v>5</v>
      </c>
      <c r="V9">
        <v>6</v>
      </c>
      <c r="W9">
        <v>4</v>
      </c>
      <c r="X9" t="e">
        <f>IF(OR($A9="",$D9=""),"",SUM(F9:W9))</f>
      </c>
      <c r="Y9" t="e">
        <f>IF(OR($A9="",$D9=""),"",IF(INDEX('Tournament Setup'!$F:$F,MATCH($A9,'Tournament Setup'!$A:$A,0))="Net",ROUND(($E9-_xlfn.MINIFS($E$2:$E$401,$A$2:$A$401,$A9,$B$2:$B$401,$B9))*INDEX('Tournament Setup'!$G:$G,MATCH($A9,'Tournament Setup'!$A:$A,0))/100,0),0))</f>
      </c>
      <c r="Z9" t="e">
        <f>IF(OR(OR($A9="",$D9=""),F9=""),"",F9-(INT($Y9/18)+IF(INDEX('Tournament Setup'!$AD:$AD,MATCH($A9,'Tournament Setup'!$A:$A,0))&lt;=MOD($Y9,18),1,0)))</f>
      </c>
      <c r="AA9" t="e">
        <f>IF(OR(OR($A9="",$D9=""),G9=""),"",G9-(INT($Y9/18)+IF(INDEX('Tournament Setup'!$AE:$AE,MATCH($A9,'Tournament Setup'!$A:$A,0))&lt;=MOD($Y9,18),1,0)))</f>
      </c>
      <c r="AB9" t="e">
        <f>IF(OR(OR($A9="",$D9=""),H9=""),"",H9-(INT($Y9/18)+IF(INDEX('Tournament Setup'!$AF:$AF,MATCH($A9,'Tournament Setup'!$A:$A,0))&lt;=MOD($Y9,18),1,0)))</f>
      </c>
      <c r="AC9" t="e">
        <f>IF(OR(OR($A9="",$D9=""),I9=""),"",I9-(INT($Y9/18)+IF(INDEX('Tournament Setup'!$AG:$AG,MATCH($A9,'Tournament Setup'!$A:$A,0))&lt;=MOD($Y9,18),1,0)))</f>
      </c>
      <c r="AD9" t="e">
        <f>IF(OR(OR($A9="",$D9=""),J9=""),"",J9-(INT($Y9/18)+IF(INDEX('Tournament Setup'!$AH:$AH,MATCH($A9,'Tournament Setup'!$A:$A,0))&lt;=MOD($Y9,18),1,0)))</f>
      </c>
      <c r="AE9" t="e">
        <f>IF(OR(OR($A9="",$D9=""),K9=""),"",K9-(INT($Y9/18)+IF(INDEX('Tournament Setup'!$AI:$AI,MATCH($A9,'Tournament Setup'!$A:$A,0))&lt;=MOD($Y9,18),1,0)))</f>
      </c>
      <c r="AF9" t="e">
        <f>IF(OR(OR($A9="",$D9=""),L9=""),"",L9-(INT($Y9/18)+IF(INDEX('Tournament Setup'!$AJ:$AJ,MATCH($A9,'Tournament Setup'!$A:$A,0))&lt;=MOD($Y9,18),1,0)))</f>
      </c>
      <c r="AG9" t="e">
        <f>IF(OR(OR($A9="",$D9=""),M9=""),"",M9-(INT($Y9/18)+IF(INDEX('Tournament Setup'!$AK:$AK,MATCH($A9,'Tournament Setup'!$A:$A,0))&lt;=MOD($Y9,18),1,0)))</f>
      </c>
      <c r="AH9" t="e">
        <f>IF(OR(OR($A9="",$D9=""),N9=""),"",N9-(INT($Y9/18)+IF(INDEX('Tournament Setup'!$AL:$AL,MATCH($A9,'Tournament Setup'!$A:$A,0))&lt;=MOD($Y9,18),1,0)))</f>
      </c>
      <c r="AI9" t="e">
        <f>IF(OR(OR($A9="",$D9=""),O9=""),"",O9-(INT($Y9/18)+IF(INDEX('Tournament Setup'!$AM:$AM,MATCH($A9,'Tournament Setup'!$A:$A,0))&lt;=MOD($Y9,18),1,0)))</f>
      </c>
      <c r="AJ9" t="e">
        <f>IF(OR(OR($A9="",$D9=""),P9=""),"",P9-(INT($Y9/18)+IF(INDEX('Tournament Setup'!$AN:$AN,MATCH($A9,'Tournament Setup'!$A:$A,0))&lt;=MOD($Y9,18),1,0)))</f>
      </c>
      <c r="AK9" t="e">
        <f>IF(OR(OR($A9="",$D9=""),Q9=""),"",Q9-(INT($Y9/18)+IF(INDEX('Tournament Setup'!$AO:$AO,MATCH($A9,'Tournament Setup'!$A:$A,0))&lt;=MOD($Y9,18),1,0)))</f>
      </c>
      <c r="AL9" t="e">
        <f>IF(OR(OR($A9="",$D9=""),R9=""),"",R9-(INT($Y9/18)+IF(INDEX('Tournament Setup'!$AP:$AP,MATCH($A9,'Tournament Setup'!$A:$A,0))&lt;=MOD($Y9,18),1,0)))</f>
      </c>
      <c r="AM9" t="e">
        <f>IF(OR(OR($A9="",$D9=""),S9=""),"",S9-(INT($Y9/18)+IF(INDEX('Tournament Setup'!$AQ:$AQ,MATCH($A9,'Tournament Setup'!$A:$A,0))&lt;=MOD($Y9,18),1,0)))</f>
      </c>
      <c r="AN9" t="e">
        <f>IF(OR(OR($A9="",$D9=""),T9=""),"",T9-(INT($Y9/18)+IF(INDEX('Tournament Setup'!$AR:$AR,MATCH($A9,'Tournament Setup'!$A:$A,0))&lt;=MOD($Y9,18),1,0)))</f>
      </c>
      <c r="AO9" t="e">
        <f>IF(OR(OR($A9="",$D9=""),U9=""),"",U9-(INT($Y9/18)+IF(INDEX('Tournament Setup'!$AS:$AS,MATCH($A9,'Tournament Setup'!$A:$A,0))&lt;=MOD($Y9,18),1,0)))</f>
      </c>
      <c r="AP9" t="e">
        <f>IF(OR(OR($A9="",$D9=""),V9=""),"",V9-(INT($Y9/18)+IF(INDEX('Tournament Setup'!$AT:$AT,MATCH($A9,'Tournament Setup'!$A:$A,0))&lt;=MOD($Y9,18),1,0)))</f>
      </c>
      <c r="AQ9" t="e">
        <f>IF(OR(OR($A9="",$D9=""),W9=""),"",W9-(INT($Y9/18)+IF(INDEX('Tournament Setup'!$AU:$AU,MATCH($A9,'Tournament Setup'!$A:$A,0))&lt;=MOD($Y9,18),1,0)))</f>
      </c>
    </row>
    <row r="10">
      <c r="A10">
        <v>2</v>
      </c>
      <c r="B10">
        <v>1</v>
      </c>
      <c r="C10" t="str">
        <v>Pines</v>
      </c>
      <c r="D10" t="str">
        <v>Alex Brooks</v>
      </c>
      <c r="E10">
        <v>6</v>
      </c>
      <c r="F10">
        <v>5</v>
      </c>
      <c r="G10">
        <v>3</v>
      </c>
      <c r="H10">
        <v>5</v>
      </c>
      <c r="I10">
        <v>5</v>
      </c>
      <c r="J10">
        <v>6</v>
      </c>
      <c r="K10">
        <v>5</v>
      </c>
      <c r="L10">
        <v>2</v>
      </c>
      <c r="M10">
        <v>6</v>
      </c>
      <c r="N10">
        <v>5</v>
      </c>
      <c r="O10">
        <v>6</v>
      </c>
      <c r="P10">
        <v>4</v>
      </c>
      <c r="Q10">
        <v>3</v>
      </c>
      <c r="R10">
        <v>7</v>
      </c>
      <c r="S10">
        <v>4</v>
      </c>
      <c r="T10">
        <v>6</v>
      </c>
      <c r="U10">
        <v>4</v>
      </c>
      <c r="V10">
        <v>3</v>
      </c>
      <c r="W10">
        <v>7</v>
      </c>
      <c r="X10" t="e">
        <f>IF(OR($A10="",$D10=""),"",SUM(F10:W10))</f>
      </c>
      <c r="Y10" t="e">
        <f>IF(OR($A10="",$D10=""),"",IF(INDEX('Tournament Setup'!$F:$F,MATCH($A10,'Tournament Setup'!$A:$A,0))="Net",ROUND(($E10-_xlfn.MINIFS($E$2:$E$401,$A$2:$A$401,$A10,$B$2:$B$401,$B10))*INDEX('Tournament Setup'!$G:$G,MATCH($A10,'Tournament Setup'!$A:$A,0))/100,0),0))</f>
      </c>
      <c r="Z10" t="e">
        <f>IF(OR(OR($A10="",$D10=""),F10=""),"",F10-(INT($Y10/18)+IF(INDEX('Tournament Setup'!$AD:$AD,MATCH($A10,'Tournament Setup'!$A:$A,0))&lt;=MOD($Y10,18),1,0)))</f>
      </c>
      <c r="AA10" t="e">
        <f>IF(OR(OR($A10="",$D10=""),G10=""),"",G10-(INT($Y10/18)+IF(INDEX('Tournament Setup'!$AE:$AE,MATCH($A10,'Tournament Setup'!$A:$A,0))&lt;=MOD($Y10,18),1,0)))</f>
      </c>
      <c r="AB10" t="e">
        <f>IF(OR(OR($A10="",$D10=""),H10=""),"",H10-(INT($Y10/18)+IF(INDEX('Tournament Setup'!$AF:$AF,MATCH($A10,'Tournament Setup'!$A:$A,0))&lt;=MOD($Y10,18),1,0)))</f>
      </c>
      <c r="AC10" t="e">
        <f>IF(OR(OR($A10="",$D10=""),I10=""),"",I10-(INT($Y10/18)+IF(INDEX('Tournament Setup'!$AG:$AG,MATCH($A10,'Tournament Setup'!$A:$A,0))&lt;=MOD($Y10,18),1,0)))</f>
      </c>
      <c r="AD10" t="e">
        <f>IF(OR(OR($A10="",$D10=""),J10=""),"",J10-(INT($Y10/18)+IF(INDEX('Tournament Setup'!$AH:$AH,MATCH($A10,'Tournament Setup'!$A:$A,0))&lt;=MOD($Y10,18),1,0)))</f>
      </c>
      <c r="AE10" t="e">
        <f>IF(OR(OR($A10="",$D10=""),K10=""),"",K10-(INT($Y10/18)+IF(INDEX('Tournament Setup'!$AI:$AI,MATCH($A10,'Tournament Setup'!$A:$A,0))&lt;=MOD($Y10,18),1,0)))</f>
      </c>
      <c r="AF10" t="e">
        <f>IF(OR(OR($A10="",$D10=""),L10=""),"",L10-(INT($Y10/18)+IF(INDEX('Tournament Setup'!$AJ:$AJ,MATCH($A10,'Tournament Setup'!$A:$A,0))&lt;=MOD($Y10,18),1,0)))</f>
      </c>
      <c r="AG10" t="e">
        <f>IF(OR(OR($A10="",$D10=""),M10=""),"",M10-(INT($Y10/18)+IF(INDEX('Tournament Setup'!$AK:$AK,MATCH($A10,'Tournament Setup'!$A:$A,0))&lt;=MOD($Y10,18),1,0)))</f>
      </c>
      <c r="AH10" t="e">
        <f>IF(OR(OR($A10="",$D10=""),N10=""),"",N10-(INT($Y10/18)+IF(INDEX('Tournament Setup'!$AL:$AL,MATCH($A10,'Tournament Setup'!$A:$A,0))&lt;=MOD($Y10,18),1,0)))</f>
      </c>
      <c r="AI10" t="e">
        <f>IF(OR(OR($A10="",$D10=""),O10=""),"",O10-(INT($Y10/18)+IF(INDEX('Tournament Setup'!$AM:$AM,MATCH($A10,'Tournament Setup'!$A:$A,0))&lt;=MOD($Y10,18),1,0)))</f>
      </c>
      <c r="AJ10" t="e">
        <f>IF(OR(OR($A10="",$D10=""),P10=""),"",P10-(INT($Y10/18)+IF(INDEX('Tournament Setup'!$AN:$AN,MATCH($A10,'Tournament Setup'!$A:$A,0))&lt;=MOD($Y10,18),1,0)))</f>
      </c>
      <c r="AK10" t="e">
        <f>IF(OR(OR($A10="",$D10=""),Q10=""),"",Q10-(INT($Y10/18)+IF(INDEX('Tournament Setup'!$AO:$AO,MATCH($A10,'Tournament Setup'!$A:$A,0))&lt;=MOD($Y10,18),1,0)))</f>
      </c>
      <c r="AL10" t="e">
        <f>IF(OR(OR($A10="",$D10=""),R10=""),"",R10-(INT($Y10/18)+IF(INDEX('Tournament Setup'!$AP:$AP,MATCH($A10,'Tournament Setup'!$A:$A,0))&lt;=MOD($Y10,18),1,0)))</f>
      </c>
      <c r="AM10" t="e">
        <f>IF(OR(OR($A10="",$D10=""),S10=""),"",S10-(INT($Y10/18)+IF(INDEX('Tournament Setup'!$AQ:$AQ,MATCH($A10,'Tournament Setup'!$A:$A,0))&lt;=MOD($Y10,18),1,0)))</f>
      </c>
      <c r="AN10" t="e">
        <f>IF(OR(OR($A10="",$D10=""),T10=""),"",T10-(INT($Y10/18)+IF(INDEX('Tournament Setup'!$AR:$AR,MATCH($A10,'Tournament Setup'!$A:$A,0))&lt;=MOD($Y10,18),1,0)))</f>
      </c>
      <c r="AO10" t="e">
        <f>IF(OR(OR($A10="",$D10=""),U10=""),"",U10-(INT($Y10/18)+IF(INDEX('Tournament Setup'!$AS:$AS,MATCH($A10,'Tournament Setup'!$A:$A,0))&lt;=MOD($Y10,18),1,0)))</f>
      </c>
      <c r="AP10" t="e">
        <f>IF(OR(OR($A10="",$D10=""),V10=""),"",V10-(INT($Y10/18)+IF(INDEX('Tournament Setup'!$AT:$AT,MATCH($A10,'Tournament Setup'!$A:$A,0))&lt;=MOD($Y10,18),1,0)))</f>
      </c>
      <c r="AQ10" t="e">
        <f>IF(OR(OR($A10="",$D10=""),W10=""),"",W10-(INT($Y10/18)+IF(INDEX('Tournament Setup'!$AU:$AU,MATCH($A10,'Tournament Setup'!$A:$A,0))&lt;=MOD($Y10,18),1,0)))</f>
      </c>
    </row>
    <row r="11">
      <c r="A11">
        <v>2</v>
      </c>
      <c r="B11">
        <v>1</v>
      </c>
      <c r="C11" t="str">
        <v>Palms</v>
      </c>
      <c r="D11" t="str">
        <v>Taylor Diaz</v>
      </c>
      <c r="E11">
        <v>8</v>
      </c>
      <c r="F11">
        <v>3</v>
      </c>
      <c r="G11">
        <v>6</v>
      </c>
      <c r="H11">
        <v>3</v>
      </c>
      <c r="I11">
        <v>7</v>
      </c>
      <c r="J11">
        <v>5</v>
      </c>
      <c r="K11">
        <v>3</v>
      </c>
      <c r="L11">
        <v>5</v>
      </c>
      <c r="M11">
        <v>4</v>
      </c>
      <c r="N11">
        <v>7</v>
      </c>
      <c r="O11">
        <v>5</v>
      </c>
      <c r="P11">
        <v>2</v>
      </c>
      <c r="Q11">
        <v>6</v>
      </c>
      <c r="R11">
        <v>5</v>
      </c>
      <c r="S11">
        <v>6</v>
      </c>
      <c r="T11">
        <v>5</v>
      </c>
      <c r="U11">
        <v>2</v>
      </c>
      <c r="V11">
        <v>6</v>
      </c>
      <c r="W11">
        <v>5</v>
      </c>
      <c r="X11" t="e">
        <f>IF(OR($A11="",$D11=""),"",SUM(F11:W11))</f>
      </c>
      <c r="Y11" t="e">
        <f>IF(OR($A11="",$D11=""),"",IF(INDEX('Tournament Setup'!$F:$F,MATCH($A11,'Tournament Setup'!$A:$A,0))="Net",ROUND(($E11-_xlfn.MINIFS($E$2:$E$401,$A$2:$A$401,$A11,$B$2:$B$401,$B11))*INDEX('Tournament Setup'!$G:$G,MATCH($A11,'Tournament Setup'!$A:$A,0))/100,0),0))</f>
      </c>
      <c r="Z11" t="e">
        <f>IF(OR(OR($A11="",$D11=""),F11=""),"",F11-(INT($Y11/18)+IF(INDEX('Tournament Setup'!$AD:$AD,MATCH($A11,'Tournament Setup'!$A:$A,0))&lt;=MOD($Y11,18),1,0)))</f>
      </c>
      <c r="AA11" t="e">
        <f>IF(OR(OR($A11="",$D11=""),G11=""),"",G11-(INT($Y11/18)+IF(INDEX('Tournament Setup'!$AE:$AE,MATCH($A11,'Tournament Setup'!$A:$A,0))&lt;=MOD($Y11,18),1,0)))</f>
      </c>
      <c r="AB11" t="e">
        <f>IF(OR(OR($A11="",$D11=""),H11=""),"",H11-(INT($Y11/18)+IF(INDEX('Tournament Setup'!$AF:$AF,MATCH($A11,'Tournament Setup'!$A:$A,0))&lt;=MOD($Y11,18),1,0)))</f>
      </c>
      <c r="AC11" t="e">
        <f>IF(OR(OR($A11="",$D11=""),I11=""),"",I11-(INT($Y11/18)+IF(INDEX('Tournament Setup'!$AG:$AG,MATCH($A11,'Tournament Setup'!$A:$A,0))&lt;=MOD($Y11,18),1,0)))</f>
      </c>
      <c r="AD11" t="e">
        <f>IF(OR(OR($A11="",$D11=""),J11=""),"",J11-(INT($Y11/18)+IF(INDEX('Tournament Setup'!$AH:$AH,MATCH($A11,'Tournament Setup'!$A:$A,0))&lt;=MOD($Y11,18),1,0)))</f>
      </c>
      <c r="AE11" t="e">
        <f>IF(OR(OR($A11="",$D11=""),K11=""),"",K11-(INT($Y11/18)+IF(INDEX('Tournament Setup'!$AI:$AI,MATCH($A11,'Tournament Setup'!$A:$A,0))&lt;=MOD($Y11,18),1,0)))</f>
      </c>
      <c r="AF11" t="e">
        <f>IF(OR(OR($A11="",$D11=""),L11=""),"",L11-(INT($Y11/18)+IF(INDEX('Tournament Setup'!$AJ:$AJ,MATCH($A11,'Tournament Setup'!$A:$A,0))&lt;=MOD($Y11,18),1,0)))</f>
      </c>
      <c r="AG11" t="e">
        <f>IF(OR(OR($A11="",$D11=""),M11=""),"",M11-(INT($Y11/18)+IF(INDEX('Tournament Setup'!$AK:$AK,MATCH($A11,'Tournament Setup'!$A:$A,0))&lt;=MOD($Y11,18),1,0)))</f>
      </c>
      <c r="AH11" t="e">
        <f>IF(OR(OR($A11="",$D11=""),N11=""),"",N11-(INT($Y11/18)+IF(INDEX('Tournament Setup'!$AL:$AL,MATCH($A11,'Tournament Setup'!$A:$A,0))&lt;=MOD($Y11,18),1,0)))</f>
      </c>
      <c r="AI11" t="e">
        <f>IF(OR(OR($A11="",$D11=""),O11=""),"",O11-(INT($Y11/18)+IF(INDEX('Tournament Setup'!$AM:$AM,MATCH($A11,'Tournament Setup'!$A:$A,0))&lt;=MOD($Y11,18),1,0)))</f>
      </c>
      <c r="AJ11" t="e">
        <f>IF(OR(OR($A11="",$D11=""),P11=""),"",P11-(INT($Y11/18)+IF(INDEX('Tournament Setup'!$AN:$AN,MATCH($A11,'Tournament Setup'!$A:$A,0))&lt;=MOD($Y11,18),1,0)))</f>
      </c>
      <c r="AK11" t="e">
        <f>IF(OR(OR($A11="",$D11=""),Q11=""),"",Q11-(INT($Y11/18)+IF(INDEX('Tournament Setup'!$AO:$AO,MATCH($A11,'Tournament Setup'!$A:$A,0))&lt;=MOD($Y11,18),1,0)))</f>
      </c>
      <c r="AL11" t="e">
        <f>IF(OR(OR($A11="",$D11=""),R11=""),"",R11-(INT($Y11/18)+IF(INDEX('Tournament Setup'!$AP:$AP,MATCH($A11,'Tournament Setup'!$A:$A,0))&lt;=MOD($Y11,18),1,0)))</f>
      </c>
      <c r="AM11" t="e">
        <f>IF(OR(OR($A11="",$D11=""),S11=""),"",S11-(INT($Y11/18)+IF(INDEX('Tournament Setup'!$AQ:$AQ,MATCH($A11,'Tournament Setup'!$A:$A,0))&lt;=MOD($Y11,18),1,0)))</f>
      </c>
      <c r="AN11" t="e">
        <f>IF(OR(OR($A11="",$D11=""),T11=""),"",T11-(INT($Y11/18)+IF(INDEX('Tournament Setup'!$AR:$AR,MATCH($A11,'Tournament Setup'!$A:$A,0))&lt;=MOD($Y11,18),1,0)))</f>
      </c>
      <c r="AO11" t="e">
        <f>IF(OR(OR($A11="",$D11=""),U11=""),"",U11-(INT($Y11/18)+IF(INDEX('Tournament Setup'!$AS:$AS,MATCH($A11,'Tournament Setup'!$A:$A,0))&lt;=MOD($Y11,18),1,0)))</f>
      </c>
      <c r="AP11" t="e">
        <f>IF(OR(OR($A11="",$D11=""),V11=""),"",V11-(INT($Y11/18)+IF(INDEX('Tournament Setup'!$AT:$AT,MATCH($A11,'Tournament Setup'!$A:$A,0))&lt;=MOD($Y11,18),1,0)))</f>
      </c>
      <c r="AQ11" t="e">
        <f>IF(OR(OR($A11="",$D11=""),W11=""),"",W11-(INT($Y11/18)+IF(INDEX('Tournament Setup'!$AU:$AU,MATCH($A11,'Tournament Setup'!$A:$A,0))&lt;=MOD($Y11,18),1,0)))</f>
      </c>
    </row>
    <row r="12">
      <c r="A12">
        <v>2</v>
      </c>
      <c r="B12">
        <v>2</v>
      </c>
      <c r="C12" t="str">
        <v>Pines</v>
      </c>
      <c r="D12" t="str">
        <v>Riley Foster</v>
      </c>
      <c r="E12">
        <v>12</v>
      </c>
      <c r="F12">
        <v>7</v>
      </c>
      <c r="G12">
        <v>5</v>
      </c>
      <c r="H12">
        <v>3</v>
      </c>
      <c r="I12">
        <v>7</v>
      </c>
      <c r="J12">
        <v>5</v>
      </c>
      <c r="K12">
        <v>6</v>
      </c>
      <c r="L12">
        <v>5</v>
      </c>
      <c r="M12">
        <v>3</v>
      </c>
      <c r="N12">
        <v>8</v>
      </c>
      <c r="O12">
        <v>4</v>
      </c>
      <c r="P12">
        <v>6</v>
      </c>
      <c r="Q12">
        <v>5</v>
      </c>
      <c r="R12">
        <v>5</v>
      </c>
      <c r="S12">
        <v>6</v>
      </c>
      <c r="T12">
        <v>5</v>
      </c>
      <c r="U12">
        <v>5</v>
      </c>
      <c r="V12">
        <v>6</v>
      </c>
      <c r="W12">
        <v>4</v>
      </c>
      <c r="X12" t="e">
        <f>IF(OR($A12="",$D12=""),"",SUM(F12:W12))</f>
      </c>
      <c r="Y12" t="e">
        <f>IF(OR($A12="",$D12=""),"",IF(INDEX('Tournament Setup'!$F:$F,MATCH($A12,'Tournament Setup'!$A:$A,0))="Net",ROUND(($E12-_xlfn.MINIFS($E$2:$E$401,$A$2:$A$401,$A12,$B$2:$B$401,$B12))*INDEX('Tournament Setup'!$G:$G,MATCH($A12,'Tournament Setup'!$A:$A,0))/100,0),0))</f>
      </c>
      <c r="Z12" t="e">
        <f>IF(OR(OR($A12="",$D12=""),F12=""),"",F12-(INT($Y12/18)+IF(INDEX('Tournament Setup'!$AD:$AD,MATCH($A12,'Tournament Setup'!$A:$A,0))&lt;=MOD($Y12,18),1,0)))</f>
      </c>
      <c r="AA12" t="e">
        <f>IF(OR(OR($A12="",$D12=""),G12=""),"",G12-(INT($Y12/18)+IF(INDEX('Tournament Setup'!$AE:$AE,MATCH($A12,'Tournament Setup'!$A:$A,0))&lt;=MOD($Y12,18),1,0)))</f>
      </c>
      <c r="AB12" t="e">
        <f>IF(OR(OR($A12="",$D12=""),H12=""),"",H12-(INT($Y12/18)+IF(INDEX('Tournament Setup'!$AF:$AF,MATCH($A12,'Tournament Setup'!$A:$A,0))&lt;=MOD($Y12,18),1,0)))</f>
      </c>
      <c r="AC12" t="e">
        <f>IF(OR(OR($A12="",$D12=""),I12=""),"",I12-(INT($Y12/18)+IF(INDEX('Tournament Setup'!$AG:$AG,MATCH($A12,'Tournament Setup'!$A:$A,0))&lt;=MOD($Y12,18),1,0)))</f>
      </c>
      <c r="AD12" t="e">
        <f>IF(OR(OR($A12="",$D12=""),J12=""),"",J12-(INT($Y12/18)+IF(INDEX('Tournament Setup'!$AH:$AH,MATCH($A12,'Tournament Setup'!$A:$A,0))&lt;=MOD($Y12,18),1,0)))</f>
      </c>
      <c r="AE12" t="e">
        <f>IF(OR(OR($A12="",$D12=""),K12=""),"",K12-(INT($Y12/18)+IF(INDEX('Tournament Setup'!$AI:$AI,MATCH($A12,'Tournament Setup'!$A:$A,0))&lt;=MOD($Y12,18),1,0)))</f>
      </c>
      <c r="AF12" t="e">
        <f>IF(OR(OR($A12="",$D12=""),L12=""),"",L12-(INT($Y12/18)+IF(INDEX('Tournament Setup'!$AJ:$AJ,MATCH($A12,'Tournament Setup'!$A:$A,0))&lt;=MOD($Y12,18),1,0)))</f>
      </c>
      <c r="AG12" t="e">
        <f>IF(OR(OR($A12="",$D12=""),M12=""),"",M12-(INT($Y12/18)+IF(INDEX('Tournament Setup'!$AK:$AK,MATCH($A12,'Tournament Setup'!$A:$A,0))&lt;=MOD($Y12,18),1,0)))</f>
      </c>
      <c r="AH12" t="e">
        <f>IF(OR(OR($A12="",$D12=""),N12=""),"",N12-(INT($Y12/18)+IF(INDEX('Tournament Setup'!$AL:$AL,MATCH($A12,'Tournament Setup'!$A:$A,0))&lt;=MOD($Y12,18),1,0)))</f>
      </c>
      <c r="AI12" t="e">
        <f>IF(OR(OR($A12="",$D12=""),O12=""),"",O12-(INT($Y12/18)+IF(INDEX('Tournament Setup'!$AM:$AM,MATCH($A12,'Tournament Setup'!$A:$A,0))&lt;=MOD($Y12,18),1,0)))</f>
      </c>
      <c r="AJ12" t="e">
        <f>IF(OR(OR($A12="",$D12=""),P12=""),"",P12-(INT($Y12/18)+IF(INDEX('Tournament Setup'!$AN:$AN,MATCH($A12,'Tournament Setup'!$A:$A,0))&lt;=MOD($Y12,18),1,0)))</f>
      </c>
      <c r="AK12" t="e">
        <f>IF(OR(OR($A12="",$D12=""),Q12=""),"",Q12-(INT($Y12/18)+IF(INDEX('Tournament Setup'!$AO:$AO,MATCH($A12,'Tournament Setup'!$A:$A,0))&lt;=MOD($Y12,18),1,0)))</f>
      </c>
      <c r="AL12" t="e">
        <f>IF(OR(OR($A12="",$D12=""),R12=""),"",R12-(INT($Y12/18)+IF(INDEX('Tournament Setup'!$AP:$AP,MATCH($A12,'Tournament Setup'!$A:$A,0))&lt;=MOD($Y12,18),1,0)))</f>
      </c>
      <c r="AM12" t="e">
        <f>IF(OR(OR($A12="",$D12=""),S12=""),"",S12-(INT($Y12/18)+IF(INDEX('Tournament Setup'!$AQ:$AQ,MATCH($A12,'Tournament Setup'!$A:$A,0))&lt;=MOD($Y12,18),1,0)))</f>
      </c>
      <c r="AN12" t="e">
        <f>IF(OR(OR($A12="",$D12=""),T12=""),"",T12-(INT($Y12/18)+IF(INDEX('Tournament Setup'!$AR:$AR,MATCH($A12,'Tournament Setup'!$A:$A,0))&lt;=MOD($Y12,18),1,0)))</f>
      </c>
      <c r="AO12" t="e">
        <f>IF(OR(OR($A12="",$D12=""),U12=""),"",U12-(INT($Y12/18)+IF(INDEX('Tournament Setup'!$AS:$AS,MATCH($A12,'Tournament Setup'!$A:$A,0))&lt;=MOD($Y12,18),1,0)))</f>
      </c>
      <c r="AP12" t="e">
        <f>IF(OR(OR($A12="",$D12=""),V12=""),"",V12-(INT($Y12/18)+IF(INDEX('Tournament Setup'!$AT:$AT,MATCH($A12,'Tournament Setup'!$A:$A,0))&lt;=MOD($Y12,18),1,0)))</f>
      </c>
      <c r="AQ12" t="e">
        <f>IF(OR(OR($A12="",$D12=""),W12=""),"",W12-(INT($Y12/18)+IF(INDEX('Tournament Setup'!$AU:$AU,MATCH($A12,'Tournament Setup'!$A:$A,0))&lt;=MOD($Y12,18),1,0)))</f>
      </c>
    </row>
    <row r="13">
      <c r="A13">
        <v>2</v>
      </c>
      <c r="B13">
        <v>2</v>
      </c>
      <c r="C13" t="str">
        <v>Palms</v>
      </c>
      <c r="D13" t="str">
        <v>Morgan Ellis</v>
      </c>
      <c r="E13">
        <v>10</v>
      </c>
      <c r="F13">
        <v>5</v>
      </c>
      <c r="G13">
        <v>3</v>
      </c>
      <c r="H13">
        <v>5</v>
      </c>
      <c r="I13">
        <v>5</v>
      </c>
      <c r="J13">
        <v>6</v>
      </c>
      <c r="K13">
        <v>5</v>
      </c>
      <c r="L13">
        <v>2</v>
      </c>
      <c r="M13">
        <v>6</v>
      </c>
      <c r="N13">
        <v>5</v>
      </c>
      <c r="O13">
        <v>6</v>
      </c>
      <c r="P13">
        <v>4</v>
      </c>
      <c r="Q13">
        <v>3</v>
      </c>
      <c r="R13">
        <v>7</v>
      </c>
      <c r="S13">
        <v>4</v>
      </c>
      <c r="T13">
        <v>6</v>
      </c>
      <c r="U13">
        <v>4</v>
      </c>
      <c r="V13">
        <v>3</v>
      </c>
      <c r="W13">
        <v>7</v>
      </c>
      <c r="X13" t="e">
        <f>IF(OR($A13="",$D13=""),"",SUM(F13:W13))</f>
      </c>
      <c r="Y13" t="e">
        <f>IF(OR($A13="",$D13=""),"",IF(INDEX('Tournament Setup'!$F:$F,MATCH($A13,'Tournament Setup'!$A:$A,0))="Net",ROUND(($E13-_xlfn.MINIFS($E$2:$E$401,$A$2:$A$401,$A13,$B$2:$B$401,$B13))*INDEX('Tournament Setup'!$G:$G,MATCH($A13,'Tournament Setup'!$A:$A,0))/100,0),0))</f>
      </c>
      <c r="Z13" t="e">
        <f>IF(OR(OR($A13="",$D13=""),F13=""),"",F13-(INT($Y13/18)+IF(INDEX('Tournament Setup'!$AD:$AD,MATCH($A13,'Tournament Setup'!$A:$A,0))&lt;=MOD($Y13,18),1,0)))</f>
      </c>
      <c r="AA13" t="e">
        <f>IF(OR(OR($A13="",$D13=""),G13=""),"",G13-(INT($Y13/18)+IF(INDEX('Tournament Setup'!$AE:$AE,MATCH($A13,'Tournament Setup'!$A:$A,0))&lt;=MOD($Y13,18),1,0)))</f>
      </c>
      <c r="AB13" t="e">
        <f>IF(OR(OR($A13="",$D13=""),H13=""),"",H13-(INT($Y13/18)+IF(INDEX('Tournament Setup'!$AF:$AF,MATCH($A13,'Tournament Setup'!$A:$A,0))&lt;=MOD($Y13,18),1,0)))</f>
      </c>
      <c r="AC13" t="e">
        <f>IF(OR(OR($A13="",$D13=""),I13=""),"",I13-(INT($Y13/18)+IF(INDEX('Tournament Setup'!$AG:$AG,MATCH($A13,'Tournament Setup'!$A:$A,0))&lt;=MOD($Y13,18),1,0)))</f>
      </c>
      <c r="AD13" t="e">
        <f>IF(OR(OR($A13="",$D13=""),J13=""),"",J13-(INT($Y13/18)+IF(INDEX('Tournament Setup'!$AH:$AH,MATCH($A13,'Tournament Setup'!$A:$A,0))&lt;=MOD($Y13,18),1,0)))</f>
      </c>
      <c r="AE13" t="e">
        <f>IF(OR(OR($A13="",$D13=""),K13=""),"",K13-(INT($Y13/18)+IF(INDEX('Tournament Setup'!$AI:$AI,MATCH($A13,'Tournament Setup'!$A:$A,0))&lt;=MOD($Y13,18),1,0)))</f>
      </c>
      <c r="AF13" t="e">
        <f>IF(OR(OR($A13="",$D13=""),L13=""),"",L13-(INT($Y13/18)+IF(INDEX('Tournament Setup'!$AJ:$AJ,MATCH($A13,'Tournament Setup'!$A:$A,0))&lt;=MOD($Y13,18),1,0)))</f>
      </c>
      <c r="AG13" t="e">
        <f>IF(OR(OR($A13="",$D13=""),M13=""),"",M13-(INT($Y13/18)+IF(INDEX('Tournament Setup'!$AK:$AK,MATCH($A13,'Tournament Setup'!$A:$A,0))&lt;=MOD($Y13,18),1,0)))</f>
      </c>
      <c r="AH13" t="e">
        <f>IF(OR(OR($A13="",$D13=""),N13=""),"",N13-(INT($Y13/18)+IF(INDEX('Tournament Setup'!$AL:$AL,MATCH($A13,'Tournament Setup'!$A:$A,0))&lt;=MOD($Y13,18),1,0)))</f>
      </c>
      <c r="AI13" t="e">
        <f>IF(OR(OR($A13="",$D13=""),O13=""),"",O13-(INT($Y13/18)+IF(INDEX('Tournament Setup'!$AM:$AM,MATCH($A13,'Tournament Setup'!$A:$A,0))&lt;=MOD($Y13,18),1,0)))</f>
      </c>
      <c r="AJ13" t="e">
        <f>IF(OR(OR($A13="",$D13=""),P13=""),"",P13-(INT($Y13/18)+IF(INDEX('Tournament Setup'!$AN:$AN,MATCH($A13,'Tournament Setup'!$A:$A,0))&lt;=MOD($Y13,18),1,0)))</f>
      </c>
      <c r="AK13" t="e">
        <f>IF(OR(OR($A13="",$D13=""),Q13=""),"",Q13-(INT($Y13/18)+IF(INDEX('Tournament Setup'!$AO:$AO,MATCH($A13,'Tournament Setup'!$A:$A,0))&lt;=MOD($Y13,18),1,0)))</f>
      </c>
      <c r="AL13" t="e">
        <f>IF(OR(OR($A13="",$D13=""),R13=""),"",R13-(INT($Y13/18)+IF(INDEX('Tournament Setup'!$AP:$AP,MATCH($A13,'Tournament Setup'!$A:$A,0))&lt;=MOD($Y13,18),1,0)))</f>
      </c>
      <c r="AM13" t="e">
        <f>IF(OR(OR($A13="",$D13=""),S13=""),"",S13-(INT($Y13/18)+IF(INDEX('Tournament Setup'!$AQ:$AQ,MATCH($A13,'Tournament Setup'!$A:$A,0))&lt;=MOD($Y13,18),1,0)))</f>
      </c>
      <c r="AN13" t="e">
        <f>IF(OR(OR($A13="",$D13=""),T13=""),"",T13-(INT($Y13/18)+IF(INDEX('Tournament Setup'!$AR:$AR,MATCH($A13,'Tournament Setup'!$A:$A,0))&lt;=MOD($Y13,18),1,0)))</f>
      </c>
      <c r="AO13" t="e">
        <f>IF(OR(OR($A13="",$D13=""),U13=""),"",U13-(INT($Y13/18)+IF(INDEX('Tournament Setup'!$AS:$AS,MATCH($A13,'Tournament Setup'!$A:$A,0))&lt;=MOD($Y13,18),1,0)))</f>
      </c>
      <c r="AP13" t="e">
        <f>IF(OR(OR($A13="",$D13=""),V13=""),"",V13-(INT($Y13/18)+IF(INDEX('Tournament Setup'!$AT:$AT,MATCH($A13,'Tournament Setup'!$A:$A,0))&lt;=MOD($Y13,18),1,0)))</f>
      </c>
      <c r="AQ13" t="e">
        <f>IF(OR(OR($A13="",$D13=""),W13=""),"",W13-(INT($Y13/18)+IF(INDEX('Tournament Setup'!$AU:$AU,MATCH($A13,'Tournament Setup'!$A:$A,0))&lt;=MOD($Y13,18),1,0)))</f>
      </c>
    </row>
    <row r="14">
      <c r="A14">
        <v>2</v>
      </c>
      <c r="B14">
        <v>3</v>
      </c>
      <c r="C14" t="str">
        <v>Pines</v>
      </c>
      <c r="D14" t="str">
        <v>Jordan Hayes</v>
      </c>
      <c r="E14">
        <v>9</v>
      </c>
      <c r="F14">
        <v>4</v>
      </c>
      <c r="G14">
        <v>6</v>
      </c>
      <c r="H14">
        <v>4</v>
      </c>
      <c r="I14">
        <v>4</v>
      </c>
      <c r="J14">
        <v>6</v>
      </c>
      <c r="K14">
        <v>4</v>
      </c>
      <c r="L14">
        <v>5</v>
      </c>
      <c r="M14">
        <v>5</v>
      </c>
      <c r="N14">
        <v>4</v>
      </c>
      <c r="O14">
        <v>6</v>
      </c>
      <c r="P14">
        <v>3</v>
      </c>
      <c r="Q14">
        <v>6</v>
      </c>
      <c r="R14">
        <v>6</v>
      </c>
      <c r="S14">
        <v>3</v>
      </c>
      <c r="T14">
        <v>6</v>
      </c>
      <c r="U14">
        <v>3</v>
      </c>
      <c r="V14">
        <v>6</v>
      </c>
      <c r="W14">
        <v>6</v>
      </c>
      <c r="X14" t="e">
        <f>IF(OR($A14="",$D14=""),"",SUM(F14:W14))</f>
      </c>
      <c r="Y14" t="e">
        <f>IF(OR($A14="",$D14=""),"",IF(INDEX('Tournament Setup'!$F:$F,MATCH($A14,'Tournament Setup'!$A:$A,0))="Net",ROUND(($E14-_xlfn.MINIFS($E$2:$E$401,$A$2:$A$401,$A14,$B$2:$B$401,$B14))*INDEX('Tournament Setup'!$G:$G,MATCH($A14,'Tournament Setup'!$A:$A,0))/100,0),0))</f>
      </c>
      <c r="Z14" t="e">
        <f>IF(OR(OR($A14="",$D14=""),F14=""),"",F14-(INT($Y14/18)+IF(INDEX('Tournament Setup'!$AD:$AD,MATCH($A14,'Tournament Setup'!$A:$A,0))&lt;=MOD($Y14,18),1,0)))</f>
      </c>
      <c r="AA14" t="e">
        <f>IF(OR(OR($A14="",$D14=""),G14=""),"",G14-(INT($Y14/18)+IF(INDEX('Tournament Setup'!$AE:$AE,MATCH($A14,'Tournament Setup'!$A:$A,0))&lt;=MOD($Y14,18),1,0)))</f>
      </c>
      <c r="AB14" t="e">
        <f>IF(OR(OR($A14="",$D14=""),H14=""),"",H14-(INT($Y14/18)+IF(INDEX('Tournament Setup'!$AF:$AF,MATCH($A14,'Tournament Setup'!$A:$A,0))&lt;=MOD($Y14,18),1,0)))</f>
      </c>
      <c r="AC14" t="e">
        <f>IF(OR(OR($A14="",$D14=""),I14=""),"",I14-(INT($Y14/18)+IF(INDEX('Tournament Setup'!$AG:$AG,MATCH($A14,'Tournament Setup'!$A:$A,0))&lt;=MOD($Y14,18),1,0)))</f>
      </c>
      <c r="AD14" t="e">
        <f>IF(OR(OR($A14="",$D14=""),J14=""),"",J14-(INT($Y14/18)+IF(INDEX('Tournament Setup'!$AH:$AH,MATCH($A14,'Tournament Setup'!$A:$A,0))&lt;=MOD($Y14,18),1,0)))</f>
      </c>
      <c r="AE14" t="e">
        <f>IF(OR(OR($A14="",$D14=""),K14=""),"",K14-(INT($Y14/18)+IF(INDEX('Tournament Setup'!$AI:$AI,MATCH($A14,'Tournament Setup'!$A:$A,0))&lt;=MOD($Y14,18),1,0)))</f>
      </c>
      <c r="AF14" t="e">
        <f>IF(OR(OR($A14="",$D14=""),L14=""),"",L14-(INT($Y14/18)+IF(INDEX('Tournament Setup'!$AJ:$AJ,MATCH($A14,'Tournament Setup'!$A:$A,0))&lt;=MOD($Y14,18),1,0)))</f>
      </c>
      <c r="AG14" t="e">
        <f>IF(OR(OR($A14="",$D14=""),M14=""),"",M14-(INT($Y14/18)+IF(INDEX('Tournament Setup'!$AK:$AK,MATCH($A14,'Tournament Setup'!$A:$A,0))&lt;=MOD($Y14,18),1,0)))</f>
      </c>
      <c r="AH14" t="e">
        <f>IF(OR(OR($A14="",$D14=""),N14=""),"",N14-(INT($Y14/18)+IF(INDEX('Tournament Setup'!$AL:$AL,MATCH($A14,'Tournament Setup'!$A:$A,0))&lt;=MOD($Y14,18),1,0)))</f>
      </c>
      <c r="AI14" t="e">
        <f>IF(OR(OR($A14="",$D14=""),O14=""),"",O14-(INT($Y14/18)+IF(INDEX('Tournament Setup'!$AM:$AM,MATCH($A14,'Tournament Setup'!$A:$A,0))&lt;=MOD($Y14,18),1,0)))</f>
      </c>
      <c r="AJ14" t="e">
        <f>IF(OR(OR($A14="",$D14=""),P14=""),"",P14-(INT($Y14/18)+IF(INDEX('Tournament Setup'!$AN:$AN,MATCH($A14,'Tournament Setup'!$A:$A,0))&lt;=MOD($Y14,18),1,0)))</f>
      </c>
      <c r="AK14" t="e">
        <f>IF(OR(OR($A14="",$D14=""),Q14=""),"",Q14-(INT($Y14/18)+IF(INDEX('Tournament Setup'!$AO:$AO,MATCH($A14,'Tournament Setup'!$A:$A,0))&lt;=MOD($Y14,18),1,0)))</f>
      </c>
      <c r="AL14" t="e">
        <f>IF(OR(OR($A14="",$D14=""),R14=""),"",R14-(INT($Y14/18)+IF(INDEX('Tournament Setup'!$AP:$AP,MATCH($A14,'Tournament Setup'!$A:$A,0))&lt;=MOD($Y14,18),1,0)))</f>
      </c>
      <c r="AM14" t="e">
        <f>IF(OR(OR($A14="",$D14=""),S14=""),"",S14-(INT($Y14/18)+IF(INDEX('Tournament Setup'!$AQ:$AQ,MATCH($A14,'Tournament Setup'!$A:$A,0))&lt;=MOD($Y14,18),1,0)))</f>
      </c>
      <c r="AN14" t="e">
        <f>IF(OR(OR($A14="",$D14=""),T14=""),"",T14-(INT($Y14/18)+IF(INDEX('Tournament Setup'!$AR:$AR,MATCH($A14,'Tournament Setup'!$A:$A,0))&lt;=MOD($Y14,18),1,0)))</f>
      </c>
      <c r="AO14" t="e">
        <f>IF(OR(OR($A14="",$D14=""),U14=""),"",U14-(INT($Y14/18)+IF(INDEX('Tournament Setup'!$AS:$AS,MATCH($A14,'Tournament Setup'!$A:$A,0))&lt;=MOD($Y14,18),1,0)))</f>
      </c>
      <c r="AP14" t="e">
        <f>IF(OR(OR($A14="",$D14=""),V14=""),"",V14-(INT($Y14/18)+IF(INDEX('Tournament Setup'!$AT:$AT,MATCH($A14,'Tournament Setup'!$A:$A,0))&lt;=MOD($Y14,18),1,0)))</f>
      </c>
      <c r="AQ14" t="e">
        <f>IF(OR(OR($A14="",$D14=""),W14=""),"",W14-(INT($Y14/18)+IF(INDEX('Tournament Setup'!$AU:$AU,MATCH($A14,'Tournament Setup'!$A:$A,0))&lt;=MOD($Y14,18),1,0)))</f>
      </c>
    </row>
    <row r="15">
      <c r="A15">
        <v>2</v>
      </c>
      <c r="B15">
        <v>3</v>
      </c>
      <c r="C15" t="str">
        <v>Palms</v>
      </c>
      <c r="D15" t="str">
        <v>Drew Keller</v>
      </c>
      <c r="E15">
        <v>4</v>
      </c>
      <c r="F15">
        <v>6</v>
      </c>
      <c r="G15">
        <v>5</v>
      </c>
      <c r="H15">
        <v>2</v>
      </c>
      <c r="I15">
        <v>7</v>
      </c>
      <c r="J15">
        <v>4</v>
      </c>
      <c r="K15">
        <v>6</v>
      </c>
      <c r="L15">
        <v>4</v>
      </c>
      <c r="M15">
        <v>3</v>
      </c>
      <c r="N15">
        <v>7</v>
      </c>
      <c r="O15">
        <v>4</v>
      </c>
      <c r="P15">
        <v>5</v>
      </c>
      <c r="Q15">
        <v>5</v>
      </c>
      <c r="R15">
        <v>4</v>
      </c>
      <c r="S15">
        <v>6</v>
      </c>
      <c r="T15">
        <v>4</v>
      </c>
      <c r="U15">
        <v>5</v>
      </c>
      <c r="V15">
        <v>5</v>
      </c>
      <c r="W15">
        <v>4</v>
      </c>
      <c r="X15" t="e">
        <f>IF(OR($A15="",$D15=""),"",SUM(F15:W15))</f>
      </c>
      <c r="Y15" t="e">
        <f>IF(OR($A15="",$D15=""),"",IF(INDEX('Tournament Setup'!$F:$F,MATCH($A15,'Tournament Setup'!$A:$A,0))="Net",ROUND(($E15-_xlfn.MINIFS($E$2:$E$401,$A$2:$A$401,$A15,$B$2:$B$401,$B15))*INDEX('Tournament Setup'!$G:$G,MATCH($A15,'Tournament Setup'!$A:$A,0))/100,0),0))</f>
      </c>
      <c r="Z15" t="e">
        <f>IF(OR(OR($A15="",$D15=""),F15=""),"",F15-(INT($Y15/18)+IF(INDEX('Tournament Setup'!$AD:$AD,MATCH($A15,'Tournament Setup'!$A:$A,0))&lt;=MOD($Y15,18),1,0)))</f>
      </c>
      <c r="AA15" t="e">
        <f>IF(OR(OR($A15="",$D15=""),G15=""),"",G15-(INT($Y15/18)+IF(INDEX('Tournament Setup'!$AE:$AE,MATCH($A15,'Tournament Setup'!$A:$A,0))&lt;=MOD($Y15,18),1,0)))</f>
      </c>
      <c r="AB15" t="e">
        <f>IF(OR(OR($A15="",$D15=""),H15=""),"",H15-(INT($Y15/18)+IF(INDEX('Tournament Setup'!$AF:$AF,MATCH($A15,'Tournament Setup'!$A:$A,0))&lt;=MOD($Y15,18),1,0)))</f>
      </c>
      <c r="AC15" t="e">
        <f>IF(OR(OR($A15="",$D15=""),I15=""),"",I15-(INT($Y15/18)+IF(INDEX('Tournament Setup'!$AG:$AG,MATCH($A15,'Tournament Setup'!$A:$A,0))&lt;=MOD($Y15,18),1,0)))</f>
      </c>
      <c r="AD15" t="e">
        <f>IF(OR(OR($A15="",$D15=""),J15=""),"",J15-(INT($Y15/18)+IF(INDEX('Tournament Setup'!$AH:$AH,MATCH($A15,'Tournament Setup'!$A:$A,0))&lt;=MOD($Y15,18),1,0)))</f>
      </c>
      <c r="AE15" t="e">
        <f>IF(OR(OR($A15="",$D15=""),K15=""),"",K15-(INT($Y15/18)+IF(INDEX('Tournament Setup'!$AI:$AI,MATCH($A15,'Tournament Setup'!$A:$A,0))&lt;=MOD($Y15,18),1,0)))</f>
      </c>
      <c r="AF15" t="e">
        <f>IF(OR(OR($A15="",$D15=""),L15=""),"",L15-(INT($Y15/18)+IF(INDEX('Tournament Setup'!$AJ:$AJ,MATCH($A15,'Tournament Setup'!$A:$A,0))&lt;=MOD($Y15,18),1,0)))</f>
      </c>
      <c r="AG15" t="e">
        <f>IF(OR(OR($A15="",$D15=""),M15=""),"",M15-(INT($Y15/18)+IF(INDEX('Tournament Setup'!$AK:$AK,MATCH($A15,'Tournament Setup'!$A:$A,0))&lt;=MOD($Y15,18),1,0)))</f>
      </c>
      <c r="AH15" t="e">
        <f>IF(OR(OR($A15="",$D15=""),N15=""),"",N15-(INT($Y15/18)+IF(INDEX('Tournament Setup'!$AL:$AL,MATCH($A15,'Tournament Setup'!$A:$A,0))&lt;=MOD($Y15,18),1,0)))</f>
      </c>
      <c r="AI15" t="e">
        <f>IF(OR(OR($A15="",$D15=""),O15=""),"",O15-(INT($Y15/18)+IF(INDEX('Tournament Setup'!$AM:$AM,MATCH($A15,'Tournament Setup'!$A:$A,0))&lt;=MOD($Y15,18),1,0)))</f>
      </c>
      <c r="AJ15" t="e">
        <f>IF(OR(OR($A15="",$D15=""),P15=""),"",P15-(INT($Y15/18)+IF(INDEX('Tournament Setup'!$AN:$AN,MATCH($A15,'Tournament Setup'!$A:$A,0))&lt;=MOD($Y15,18),1,0)))</f>
      </c>
      <c r="AK15" t="e">
        <f>IF(OR(OR($A15="",$D15=""),Q15=""),"",Q15-(INT($Y15/18)+IF(INDEX('Tournament Setup'!$AO:$AO,MATCH($A15,'Tournament Setup'!$A:$A,0))&lt;=MOD($Y15,18),1,0)))</f>
      </c>
      <c r="AL15" t="e">
        <f>IF(OR(OR($A15="",$D15=""),R15=""),"",R15-(INT($Y15/18)+IF(INDEX('Tournament Setup'!$AP:$AP,MATCH($A15,'Tournament Setup'!$A:$A,0))&lt;=MOD($Y15,18),1,0)))</f>
      </c>
      <c r="AM15" t="e">
        <f>IF(OR(OR($A15="",$D15=""),S15=""),"",S15-(INT($Y15/18)+IF(INDEX('Tournament Setup'!$AQ:$AQ,MATCH($A15,'Tournament Setup'!$A:$A,0))&lt;=MOD($Y15,18),1,0)))</f>
      </c>
      <c r="AN15" t="e">
        <f>IF(OR(OR($A15="",$D15=""),T15=""),"",T15-(INT($Y15/18)+IF(INDEX('Tournament Setup'!$AR:$AR,MATCH($A15,'Tournament Setup'!$A:$A,0))&lt;=MOD($Y15,18),1,0)))</f>
      </c>
      <c r="AO15" t="e">
        <f>IF(OR(OR($A15="",$D15=""),U15=""),"",U15-(INT($Y15/18)+IF(INDEX('Tournament Setup'!$AS:$AS,MATCH($A15,'Tournament Setup'!$A:$A,0))&lt;=MOD($Y15,18),1,0)))</f>
      </c>
      <c r="AP15" t="e">
        <f>IF(OR(OR($A15="",$D15=""),V15=""),"",V15-(INT($Y15/18)+IF(INDEX('Tournament Setup'!$AT:$AT,MATCH($A15,'Tournament Setup'!$A:$A,0))&lt;=MOD($Y15,18),1,0)))</f>
      </c>
      <c r="AQ15" t="e">
        <f>IF(OR(OR($A15="",$D15=""),W15=""),"",W15-(INT($Y15/18)+IF(INDEX('Tournament Setup'!$AU:$AU,MATCH($A15,'Tournament Setup'!$A:$A,0))&lt;=MOD($Y15,18),1,0)))</f>
      </c>
    </row>
    <row r="16">
      <c r="A16">
        <v>2</v>
      </c>
      <c r="B16">
        <v>4</v>
      </c>
      <c r="C16" t="str">
        <v>Pines</v>
      </c>
      <c r="D16" t="str">
        <v>Casey Lopez</v>
      </c>
      <c r="E16">
        <v>15</v>
      </c>
      <c r="F16">
        <v>7</v>
      </c>
      <c r="G16">
        <v>4</v>
      </c>
      <c r="H16">
        <v>6</v>
      </c>
      <c r="I16">
        <v>6</v>
      </c>
      <c r="J16">
        <v>4</v>
      </c>
      <c r="K16">
        <v>6</v>
      </c>
      <c r="L16">
        <v>4</v>
      </c>
      <c r="M16">
        <v>6</v>
      </c>
      <c r="N16">
        <v>7</v>
      </c>
      <c r="O16">
        <v>3</v>
      </c>
      <c r="P16">
        <v>6</v>
      </c>
      <c r="Q16">
        <v>4</v>
      </c>
      <c r="R16">
        <v>8</v>
      </c>
      <c r="S16">
        <v>5</v>
      </c>
      <c r="T16">
        <v>4</v>
      </c>
      <c r="U16">
        <v>5</v>
      </c>
      <c r="V16">
        <v>5</v>
      </c>
      <c r="W16">
        <v>7</v>
      </c>
      <c r="X16" t="e">
        <f>IF(OR($A16="",$D16=""),"",SUM(F16:W16))</f>
      </c>
      <c r="Y16" t="e">
        <f>IF(OR($A16="",$D16=""),"",IF(INDEX('Tournament Setup'!$F:$F,MATCH($A16,'Tournament Setup'!$A:$A,0))="Net",ROUND(($E16-_xlfn.MINIFS($E$2:$E$401,$A$2:$A$401,$A16,$B$2:$B$401,$B16))*INDEX('Tournament Setup'!$G:$G,MATCH($A16,'Tournament Setup'!$A:$A,0))/100,0),0))</f>
      </c>
      <c r="Z16" t="e">
        <f>IF(OR(OR($A16="",$D16=""),F16=""),"",F16-(INT($Y16/18)+IF(INDEX('Tournament Setup'!$AD:$AD,MATCH($A16,'Tournament Setup'!$A:$A,0))&lt;=MOD($Y16,18),1,0)))</f>
      </c>
      <c r="AA16" t="e">
        <f>IF(OR(OR($A16="",$D16=""),G16=""),"",G16-(INT($Y16/18)+IF(INDEX('Tournament Setup'!$AE:$AE,MATCH($A16,'Tournament Setup'!$A:$A,0))&lt;=MOD($Y16,18),1,0)))</f>
      </c>
      <c r="AB16" t="e">
        <f>IF(OR(OR($A16="",$D16=""),H16=""),"",H16-(INT($Y16/18)+IF(INDEX('Tournament Setup'!$AF:$AF,MATCH($A16,'Tournament Setup'!$A:$A,0))&lt;=MOD($Y16,18),1,0)))</f>
      </c>
      <c r="AC16" t="e">
        <f>IF(OR(OR($A16="",$D16=""),I16=""),"",I16-(INT($Y16/18)+IF(INDEX('Tournament Setup'!$AG:$AG,MATCH($A16,'Tournament Setup'!$A:$A,0))&lt;=MOD($Y16,18),1,0)))</f>
      </c>
      <c r="AD16" t="e">
        <f>IF(OR(OR($A16="",$D16=""),J16=""),"",J16-(INT($Y16/18)+IF(INDEX('Tournament Setup'!$AH:$AH,MATCH($A16,'Tournament Setup'!$A:$A,0))&lt;=MOD($Y16,18),1,0)))</f>
      </c>
      <c r="AE16" t="e">
        <f>IF(OR(OR($A16="",$D16=""),K16=""),"",K16-(INT($Y16/18)+IF(INDEX('Tournament Setup'!$AI:$AI,MATCH($A16,'Tournament Setup'!$A:$A,0))&lt;=MOD($Y16,18),1,0)))</f>
      </c>
      <c r="AF16" t="e">
        <f>IF(OR(OR($A16="",$D16=""),L16=""),"",L16-(INT($Y16/18)+IF(INDEX('Tournament Setup'!$AJ:$AJ,MATCH($A16,'Tournament Setup'!$A:$A,0))&lt;=MOD($Y16,18),1,0)))</f>
      </c>
      <c r="AG16" t="e">
        <f>IF(OR(OR($A16="",$D16=""),M16=""),"",M16-(INT($Y16/18)+IF(INDEX('Tournament Setup'!$AK:$AK,MATCH($A16,'Tournament Setup'!$A:$A,0))&lt;=MOD($Y16,18),1,0)))</f>
      </c>
      <c r="AH16" t="e">
        <f>IF(OR(OR($A16="",$D16=""),N16=""),"",N16-(INT($Y16/18)+IF(INDEX('Tournament Setup'!$AL:$AL,MATCH($A16,'Tournament Setup'!$A:$A,0))&lt;=MOD($Y16,18),1,0)))</f>
      </c>
      <c r="AI16" t="e">
        <f>IF(OR(OR($A16="",$D16=""),O16=""),"",O16-(INT($Y16/18)+IF(INDEX('Tournament Setup'!$AM:$AM,MATCH($A16,'Tournament Setup'!$A:$A,0))&lt;=MOD($Y16,18),1,0)))</f>
      </c>
      <c r="AJ16" t="e">
        <f>IF(OR(OR($A16="",$D16=""),P16=""),"",P16-(INT($Y16/18)+IF(INDEX('Tournament Setup'!$AN:$AN,MATCH($A16,'Tournament Setup'!$A:$A,0))&lt;=MOD($Y16,18),1,0)))</f>
      </c>
      <c r="AK16" t="e">
        <f>IF(OR(OR($A16="",$D16=""),Q16=""),"",Q16-(INT($Y16/18)+IF(INDEX('Tournament Setup'!$AO:$AO,MATCH($A16,'Tournament Setup'!$A:$A,0))&lt;=MOD($Y16,18),1,0)))</f>
      </c>
      <c r="AL16" t="e">
        <f>IF(OR(OR($A16="",$D16=""),R16=""),"",R16-(INT($Y16/18)+IF(INDEX('Tournament Setup'!$AP:$AP,MATCH($A16,'Tournament Setup'!$A:$A,0))&lt;=MOD($Y16,18),1,0)))</f>
      </c>
      <c r="AM16" t="e">
        <f>IF(OR(OR($A16="",$D16=""),S16=""),"",S16-(INT($Y16/18)+IF(INDEX('Tournament Setup'!$AQ:$AQ,MATCH($A16,'Tournament Setup'!$A:$A,0))&lt;=MOD($Y16,18),1,0)))</f>
      </c>
      <c r="AN16" t="e">
        <f>IF(OR(OR($A16="",$D16=""),T16=""),"",T16-(INT($Y16/18)+IF(INDEX('Tournament Setup'!$AR:$AR,MATCH($A16,'Tournament Setup'!$A:$A,0))&lt;=MOD($Y16,18),1,0)))</f>
      </c>
      <c r="AO16" t="e">
        <f>IF(OR(OR($A16="",$D16=""),U16=""),"",U16-(INT($Y16/18)+IF(INDEX('Tournament Setup'!$AS:$AS,MATCH($A16,'Tournament Setup'!$A:$A,0))&lt;=MOD($Y16,18),1,0)))</f>
      </c>
      <c r="AP16" t="e">
        <f>IF(OR(OR($A16="",$D16=""),V16=""),"",V16-(INT($Y16/18)+IF(INDEX('Tournament Setup'!$AT:$AT,MATCH($A16,'Tournament Setup'!$A:$A,0))&lt;=MOD($Y16,18),1,0)))</f>
      </c>
      <c r="AQ16" t="e">
        <f>IF(OR(OR($A16="",$D16=""),W16=""),"",W16-(INT($Y16/18)+IF(INDEX('Tournament Setup'!$AU:$AU,MATCH($A16,'Tournament Setup'!$A:$A,0))&lt;=MOD($Y16,18),1,0)))</f>
      </c>
    </row>
    <row r="17">
      <c r="A17">
        <v>2</v>
      </c>
      <c r="B17">
        <v>4</v>
      </c>
      <c r="C17" t="str">
        <v>Palms</v>
      </c>
      <c r="D17" t="str">
        <v>Quinn Shaw</v>
      </c>
      <c r="E17">
        <v>14</v>
      </c>
      <c r="F17">
        <v>5</v>
      </c>
      <c r="G17">
        <v>6</v>
      </c>
      <c r="H17">
        <v>5</v>
      </c>
      <c r="I17">
        <v>4</v>
      </c>
      <c r="J17">
        <v>7</v>
      </c>
      <c r="K17">
        <v>4</v>
      </c>
      <c r="L17">
        <v>6</v>
      </c>
      <c r="M17">
        <v>5</v>
      </c>
      <c r="N17">
        <v>5</v>
      </c>
      <c r="O17">
        <v>6</v>
      </c>
      <c r="P17">
        <v>4</v>
      </c>
      <c r="Q17">
        <v>6</v>
      </c>
      <c r="R17">
        <v>7</v>
      </c>
      <c r="S17">
        <v>3</v>
      </c>
      <c r="T17">
        <v>7</v>
      </c>
      <c r="U17">
        <v>3</v>
      </c>
      <c r="V17">
        <v>7</v>
      </c>
      <c r="W17">
        <v>6</v>
      </c>
      <c r="X17" t="e">
        <f>IF(OR($A17="",$D17=""),"",SUM(F17:W17))</f>
      </c>
      <c r="Y17" t="e">
        <f>IF(OR($A17="",$D17=""),"",IF(INDEX('Tournament Setup'!$F:$F,MATCH($A17,'Tournament Setup'!$A:$A,0))="Net",ROUND(($E17-_xlfn.MINIFS($E$2:$E$401,$A$2:$A$401,$A17,$B$2:$B$401,$B17))*INDEX('Tournament Setup'!$G:$G,MATCH($A17,'Tournament Setup'!$A:$A,0))/100,0),0))</f>
      </c>
      <c r="Z17" t="e">
        <f>IF(OR(OR($A17="",$D17=""),F17=""),"",F17-(INT($Y17/18)+IF(INDEX('Tournament Setup'!$AD:$AD,MATCH($A17,'Tournament Setup'!$A:$A,0))&lt;=MOD($Y17,18),1,0)))</f>
      </c>
      <c r="AA17" t="e">
        <f>IF(OR(OR($A17="",$D17=""),G17=""),"",G17-(INT($Y17/18)+IF(INDEX('Tournament Setup'!$AE:$AE,MATCH($A17,'Tournament Setup'!$A:$A,0))&lt;=MOD($Y17,18),1,0)))</f>
      </c>
      <c r="AB17" t="e">
        <f>IF(OR(OR($A17="",$D17=""),H17=""),"",H17-(INT($Y17/18)+IF(INDEX('Tournament Setup'!$AF:$AF,MATCH($A17,'Tournament Setup'!$A:$A,0))&lt;=MOD($Y17,18),1,0)))</f>
      </c>
      <c r="AC17" t="e">
        <f>IF(OR(OR($A17="",$D17=""),I17=""),"",I17-(INT($Y17/18)+IF(INDEX('Tournament Setup'!$AG:$AG,MATCH($A17,'Tournament Setup'!$A:$A,0))&lt;=MOD($Y17,18),1,0)))</f>
      </c>
      <c r="AD17" t="e">
        <f>IF(OR(OR($A17="",$D17=""),J17=""),"",J17-(INT($Y17/18)+IF(INDEX('Tournament Setup'!$AH:$AH,MATCH($A17,'Tournament Setup'!$A:$A,0))&lt;=MOD($Y17,18),1,0)))</f>
      </c>
      <c r="AE17" t="e">
        <f>IF(OR(OR($A17="",$D17=""),K17=""),"",K17-(INT($Y17/18)+IF(INDEX('Tournament Setup'!$AI:$AI,MATCH($A17,'Tournament Setup'!$A:$A,0))&lt;=MOD($Y17,18),1,0)))</f>
      </c>
      <c r="AF17" t="e">
        <f>IF(OR(OR($A17="",$D17=""),L17=""),"",L17-(INT($Y17/18)+IF(INDEX('Tournament Setup'!$AJ:$AJ,MATCH($A17,'Tournament Setup'!$A:$A,0))&lt;=MOD($Y17,18),1,0)))</f>
      </c>
      <c r="AG17" t="e">
        <f>IF(OR(OR($A17="",$D17=""),M17=""),"",M17-(INT($Y17/18)+IF(INDEX('Tournament Setup'!$AK:$AK,MATCH($A17,'Tournament Setup'!$A:$A,0))&lt;=MOD($Y17,18),1,0)))</f>
      </c>
      <c r="AH17" t="e">
        <f>IF(OR(OR($A17="",$D17=""),N17=""),"",N17-(INT($Y17/18)+IF(INDEX('Tournament Setup'!$AL:$AL,MATCH($A17,'Tournament Setup'!$A:$A,0))&lt;=MOD($Y17,18),1,0)))</f>
      </c>
      <c r="AI17" t="e">
        <f>IF(OR(OR($A17="",$D17=""),O17=""),"",O17-(INT($Y17/18)+IF(INDEX('Tournament Setup'!$AM:$AM,MATCH($A17,'Tournament Setup'!$A:$A,0))&lt;=MOD($Y17,18),1,0)))</f>
      </c>
      <c r="AJ17" t="e">
        <f>IF(OR(OR($A17="",$D17=""),P17=""),"",P17-(INT($Y17/18)+IF(INDEX('Tournament Setup'!$AN:$AN,MATCH($A17,'Tournament Setup'!$A:$A,0))&lt;=MOD($Y17,18),1,0)))</f>
      </c>
      <c r="AK17" t="e">
        <f>IF(OR(OR($A17="",$D17=""),Q17=""),"",Q17-(INT($Y17/18)+IF(INDEX('Tournament Setup'!$AO:$AO,MATCH($A17,'Tournament Setup'!$A:$A,0))&lt;=MOD($Y17,18),1,0)))</f>
      </c>
      <c r="AL17" t="e">
        <f>IF(OR(OR($A17="",$D17=""),R17=""),"",R17-(INT($Y17/18)+IF(INDEX('Tournament Setup'!$AP:$AP,MATCH($A17,'Tournament Setup'!$A:$A,0))&lt;=MOD($Y17,18),1,0)))</f>
      </c>
      <c r="AM17" t="e">
        <f>IF(OR(OR($A17="",$D17=""),S17=""),"",S17-(INT($Y17/18)+IF(INDEX('Tournament Setup'!$AQ:$AQ,MATCH($A17,'Tournament Setup'!$A:$A,0))&lt;=MOD($Y17,18),1,0)))</f>
      </c>
      <c r="AN17" t="e">
        <f>IF(OR(OR($A17="",$D17=""),T17=""),"",T17-(INT($Y17/18)+IF(INDEX('Tournament Setup'!$AR:$AR,MATCH($A17,'Tournament Setup'!$A:$A,0))&lt;=MOD($Y17,18),1,0)))</f>
      </c>
      <c r="AO17" t="e">
        <f>IF(OR(OR($A17="",$D17=""),U17=""),"",U17-(INT($Y17/18)+IF(INDEX('Tournament Setup'!$AS:$AS,MATCH($A17,'Tournament Setup'!$A:$A,0))&lt;=MOD($Y17,18),1,0)))</f>
      </c>
      <c r="AP17" t="e">
        <f>IF(OR(OR($A17="",$D17=""),V17=""),"",V17-(INT($Y17/18)+IF(INDEX('Tournament Setup'!$AT:$AT,MATCH($A17,'Tournament Setup'!$A:$A,0))&lt;=MOD($Y17,18),1,0)))</f>
      </c>
      <c r="AQ17" t="e">
        <f>IF(OR(OR($A17="",$D17=""),W17=""),"",W17-(INT($Y17/18)+IF(INDEX('Tournament Setup'!$AU:$AU,MATCH($A17,'Tournament Setup'!$A:$A,0))&lt;=MOD($Y17,18),1,0)))</f>
      </c>
    </row>
    <row r="18">
      <c r="X18" t="e">
        <f>IF(OR($A18="",$D18=""),"",SUM(F18:W18))</f>
      </c>
      <c r="Y18" t="e">
        <f>IF(OR($A18="",$D18=""),"",IF(INDEX('Tournament Setup'!$F:$F,MATCH($A18,'Tournament Setup'!$A:$A,0))="Net",ROUND(($E18-_xlfn.MINIFS($E$2:$E$401,$A$2:$A$401,$A18,$B$2:$B$401,$B18))*INDEX('Tournament Setup'!$G:$G,MATCH($A18,'Tournament Setup'!$A:$A,0))/100,0),0))</f>
      </c>
      <c r="Z18" t="e">
        <f>IF(OR(OR($A18="",$D18=""),F18=""),"",F18-(INT($Y18/18)+IF(INDEX('Tournament Setup'!$AD:$AD,MATCH($A18,'Tournament Setup'!$A:$A,0))&lt;=MOD($Y18,18),1,0)))</f>
      </c>
      <c r="AA18" t="e">
        <f>IF(OR(OR($A18="",$D18=""),G18=""),"",G18-(INT($Y18/18)+IF(INDEX('Tournament Setup'!$AE:$AE,MATCH($A18,'Tournament Setup'!$A:$A,0))&lt;=MOD($Y18,18),1,0)))</f>
      </c>
      <c r="AB18" t="e">
        <f>IF(OR(OR($A18="",$D18=""),H18=""),"",H18-(INT($Y18/18)+IF(INDEX('Tournament Setup'!$AF:$AF,MATCH($A18,'Tournament Setup'!$A:$A,0))&lt;=MOD($Y18,18),1,0)))</f>
      </c>
      <c r="AC18" t="e">
        <f>IF(OR(OR($A18="",$D18=""),I18=""),"",I18-(INT($Y18/18)+IF(INDEX('Tournament Setup'!$AG:$AG,MATCH($A18,'Tournament Setup'!$A:$A,0))&lt;=MOD($Y18,18),1,0)))</f>
      </c>
      <c r="AD18" t="e">
        <f>IF(OR(OR($A18="",$D18=""),J18=""),"",J18-(INT($Y18/18)+IF(INDEX('Tournament Setup'!$AH:$AH,MATCH($A18,'Tournament Setup'!$A:$A,0))&lt;=MOD($Y18,18),1,0)))</f>
      </c>
      <c r="AE18" t="e">
        <f>IF(OR(OR($A18="",$D18=""),K18=""),"",K18-(INT($Y18/18)+IF(INDEX('Tournament Setup'!$AI:$AI,MATCH($A18,'Tournament Setup'!$A:$A,0))&lt;=MOD($Y18,18),1,0)))</f>
      </c>
      <c r="AF18" t="e">
        <f>IF(OR(OR($A18="",$D18=""),L18=""),"",L18-(INT($Y18/18)+IF(INDEX('Tournament Setup'!$AJ:$AJ,MATCH($A18,'Tournament Setup'!$A:$A,0))&lt;=MOD($Y18,18),1,0)))</f>
      </c>
      <c r="AG18" t="e">
        <f>IF(OR(OR($A18="",$D18=""),M18=""),"",M18-(INT($Y18/18)+IF(INDEX('Tournament Setup'!$AK:$AK,MATCH($A18,'Tournament Setup'!$A:$A,0))&lt;=MOD($Y18,18),1,0)))</f>
      </c>
      <c r="AH18" t="e">
        <f>IF(OR(OR($A18="",$D18=""),N18=""),"",N18-(INT($Y18/18)+IF(INDEX('Tournament Setup'!$AL:$AL,MATCH($A18,'Tournament Setup'!$A:$A,0))&lt;=MOD($Y18,18),1,0)))</f>
      </c>
      <c r="AI18" t="e">
        <f>IF(OR(OR($A18="",$D18=""),O18=""),"",O18-(INT($Y18/18)+IF(INDEX('Tournament Setup'!$AM:$AM,MATCH($A18,'Tournament Setup'!$A:$A,0))&lt;=MOD($Y18,18),1,0)))</f>
      </c>
      <c r="AJ18" t="e">
        <f>IF(OR(OR($A18="",$D18=""),P18=""),"",P18-(INT($Y18/18)+IF(INDEX('Tournament Setup'!$AN:$AN,MATCH($A18,'Tournament Setup'!$A:$A,0))&lt;=MOD($Y18,18),1,0)))</f>
      </c>
      <c r="AK18" t="e">
        <f>IF(OR(OR($A18="",$D18=""),Q18=""),"",Q18-(INT($Y18/18)+IF(INDEX('Tournament Setup'!$AO:$AO,MATCH($A18,'Tournament Setup'!$A:$A,0))&lt;=MOD($Y18,18),1,0)))</f>
      </c>
      <c r="AL18" t="e">
        <f>IF(OR(OR($A18="",$D18=""),R18=""),"",R18-(INT($Y18/18)+IF(INDEX('Tournament Setup'!$AP:$AP,MATCH($A18,'Tournament Setup'!$A:$A,0))&lt;=MOD($Y18,18),1,0)))</f>
      </c>
      <c r="AM18" t="e">
        <f>IF(OR(OR($A18="",$D18=""),S18=""),"",S18-(INT($Y18/18)+IF(INDEX('Tournament Setup'!$AQ:$AQ,MATCH($A18,'Tournament Setup'!$A:$A,0))&lt;=MOD($Y18,18),1,0)))</f>
      </c>
      <c r="AN18" t="e">
        <f>IF(OR(OR($A18="",$D18=""),T18=""),"",T18-(INT($Y18/18)+IF(INDEX('Tournament Setup'!$AR:$AR,MATCH($A18,'Tournament Setup'!$A:$A,0))&lt;=MOD($Y18,18),1,0)))</f>
      </c>
      <c r="AO18" t="e">
        <f>IF(OR(OR($A18="",$D18=""),U18=""),"",U18-(INT($Y18/18)+IF(INDEX('Tournament Setup'!$AS:$AS,MATCH($A18,'Tournament Setup'!$A:$A,0))&lt;=MOD($Y18,18),1,0)))</f>
      </c>
      <c r="AP18" t="e">
        <f>IF(OR(OR($A18="",$D18=""),V18=""),"",V18-(INT($Y18/18)+IF(INDEX('Tournament Setup'!$AT:$AT,MATCH($A18,'Tournament Setup'!$A:$A,0))&lt;=MOD($Y18,18),1,0)))</f>
      </c>
      <c r="AQ18" t="e">
        <f>IF(OR(OR($A18="",$D18=""),W18=""),"",W18-(INT($Y18/18)+IF(INDEX('Tournament Setup'!$AU:$AU,MATCH($A18,'Tournament Setup'!$A:$A,0))&lt;=MOD($Y18,18),1,0)))</f>
      </c>
    </row>
    <row r="19">
      <c r="X19" t="e">
        <f>IF(OR($A19="",$D19=""),"",SUM(F19:W19))</f>
      </c>
      <c r="Y19" t="e">
        <f>IF(OR($A19="",$D19=""),"",IF(INDEX('Tournament Setup'!$F:$F,MATCH($A19,'Tournament Setup'!$A:$A,0))="Net",ROUND(($E19-_xlfn.MINIFS($E$2:$E$401,$A$2:$A$401,$A19,$B$2:$B$401,$B19))*INDEX('Tournament Setup'!$G:$G,MATCH($A19,'Tournament Setup'!$A:$A,0))/100,0),0))</f>
      </c>
      <c r="Z19" t="e">
        <f>IF(OR(OR($A19="",$D19=""),F19=""),"",F19-(INT($Y19/18)+IF(INDEX('Tournament Setup'!$AD:$AD,MATCH($A19,'Tournament Setup'!$A:$A,0))&lt;=MOD($Y19,18),1,0)))</f>
      </c>
      <c r="AA19" t="e">
        <f>IF(OR(OR($A19="",$D19=""),G19=""),"",G19-(INT($Y19/18)+IF(INDEX('Tournament Setup'!$AE:$AE,MATCH($A19,'Tournament Setup'!$A:$A,0))&lt;=MOD($Y19,18),1,0)))</f>
      </c>
      <c r="AB19" t="e">
        <f>IF(OR(OR($A19="",$D19=""),H19=""),"",H19-(INT($Y19/18)+IF(INDEX('Tournament Setup'!$AF:$AF,MATCH($A19,'Tournament Setup'!$A:$A,0))&lt;=MOD($Y19,18),1,0)))</f>
      </c>
      <c r="AC19" t="e">
        <f>IF(OR(OR($A19="",$D19=""),I19=""),"",I19-(INT($Y19/18)+IF(INDEX('Tournament Setup'!$AG:$AG,MATCH($A19,'Tournament Setup'!$A:$A,0))&lt;=MOD($Y19,18),1,0)))</f>
      </c>
      <c r="AD19" t="e">
        <f>IF(OR(OR($A19="",$D19=""),J19=""),"",J19-(INT($Y19/18)+IF(INDEX('Tournament Setup'!$AH:$AH,MATCH($A19,'Tournament Setup'!$A:$A,0))&lt;=MOD($Y19,18),1,0)))</f>
      </c>
      <c r="AE19" t="e">
        <f>IF(OR(OR($A19="",$D19=""),K19=""),"",K19-(INT($Y19/18)+IF(INDEX('Tournament Setup'!$AI:$AI,MATCH($A19,'Tournament Setup'!$A:$A,0))&lt;=MOD($Y19,18),1,0)))</f>
      </c>
      <c r="AF19" t="e">
        <f>IF(OR(OR($A19="",$D19=""),L19=""),"",L19-(INT($Y19/18)+IF(INDEX('Tournament Setup'!$AJ:$AJ,MATCH($A19,'Tournament Setup'!$A:$A,0))&lt;=MOD($Y19,18),1,0)))</f>
      </c>
      <c r="AG19" t="e">
        <f>IF(OR(OR($A19="",$D19=""),M19=""),"",M19-(INT($Y19/18)+IF(INDEX('Tournament Setup'!$AK:$AK,MATCH($A19,'Tournament Setup'!$A:$A,0))&lt;=MOD($Y19,18),1,0)))</f>
      </c>
      <c r="AH19" t="e">
        <f>IF(OR(OR($A19="",$D19=""),N19=""),"",N19-(INT($Y19/18)+IF(INDEX('Tournament Setup'!$AL:$AL,MATCH($A19,'Tournament Setup'!$A:$A,0))&lt;=MOD($Y19,18),1,0)))</f>
      </c>
      <c r="AI19" t="e">
        <f>IF(OR(OR($A19="",$D19=""),O19=""),"",O19-(INT($Y19/18)+IF(INDEX('Tournament Setup'!$AM:$AM,MATCH($A19,'Tournament Setup'!$A:$A,0))&lt;=MOD($Y19,18),1,0)))</f>
      </c>
      <c r="AJ19" t="e">
        <f>IF(OR(OR($A19="",$D19=""),P19=""),"",P19-(INT($Y19/18)+IF(INDEX('Tournament Setup'!$AN:$AN,MATCH($A19,'Tournament Setup'!$A:$A,0))&lt;=MOD($Y19,18),1,0)))</f>
      </c>
      <c r="AK19" t="e">
        <f>IF(OR(OR($A19="",$D19=""),Q19=""),"",Q19-(INT($Y19/18)+IF(INDEX('Tournament Setup'!$AO:$AO,MATCH($A19,'Tournament Setup'!$A:$A,0))&lt;=MOD($Y19,18),1,0)))</f>
      </c>
      <c r="AL19" t="e">
        <f>IF(OR(OR($A19="",$D19=""),R19=""),"",R19-(INT($Y19/18)+IF(INDEX('Tournament Setup'!$AP:$AP,MATCH($A19,'Tournament Setup'!$A:$A,0))&lt;=MOD($Y19,18),1,0)))</f>
      </c>
      <c r="AM19" t="e">
        <f>IF(OR(OR($A19="",$D19=""),S19=""),"",S19-(INT($Y19/18)+IF(INDEX('Tournament Setup'!$AQ:$AQ,MATCH($A19,'Tournament Setup'!$A:$A,0))&lt;=MOD($Y19,18),1,0)))</f>
      </c>
      <c r="AN19" t="e">
        <f>IF(OR(OR($A19="",$D19=""),T19=""),"",T19-(INT($Y19/18)+IF(INDEX('Tournament Setup'!$AR:$AR,MATCH($A19,'Tournament Setup'!$A:$A,0))&lt;=MOD($Y19,18),1,0)))</f>
      </c>
      <c r="AO19" t="e">
        <f>IF(OR(OR($A19="",$D19=""),U19=""),"",U19-(INT($Y19/18)+IF(INDEX('Tournament Setup'!$AS:$AS,MATCH($A19,'Tournament Setup'!$A:$A,0))&lt;=MOD($Y19,18),1,0)))</f>
      </c>
      <c r="AP19" t="e">
        <f>IF(OR(OR($A19="",$D19=""),V19=""),"",V19-(INT($Y19/18)+IF(INDEX('Tournament Setup'!$AT:$AT,MATCH($A19,'Tournament Setup'!$A:$A,0))&lt;=MOD($Y19,18),1,0)))</f>
      </c>
      <c r="AQ19" t="e">
        <f>IF(OR(OR($A19="",$D19=""),W19=""),"",W19-(INT($Y19/18)+IF(INDEX('Tournament Setup'!$AU:$AU,MATCH($A19,'Tournament Setup'!$A:$A,0))&lt;=MOD($Y19,18),1,0)))</f>
      </c>
    </row>
    <row r="20">
      <c r="X20" t="e">
        <f>IF(OR($A20="",$D20=""),"",SUM(F20:W20))</f>
      </c>
      <c r="Y20" t="e">
        <f>IF(OR($A20="",$D20=""),"",IF(INDEX('Tournament Setup'!$F:$F,MATCH($A20,'Tournament Setup'!$A:$A,0))="Net",ROUND(($E20-_xlfn.MINIFS($E$2:$E$401,$A$2:$A$401,$A20,$B$2:$B$401,$B20))*INDEX('Tournament Setup'!$G:$G,MATCH($A20,'Tournament Setup'!$A:$A,0))/100,0),0))</f>
      </c>
      <c r="Z20" t="e">
        <f>IF(OR(OR($A20="",$D20=""),F20=""),"",F20-(INT($Y20/18)+IF(INDEX('Tournament Setup'!$AD:$AD,MATCH($A20,'Tournament Setup'!$A:$A,0))&lt;=MOD($Y20,18),1,0)))</f>
      </c>
      <c r="AA20" t="e">
        <f>IF(OR(OR($A20="",$D20=""),G20=""),"",G20-(INT($Y20/18)+IF(INDEX('Tournament Setup'!$AE:$AE,MATCH($A20,'Tournament Setup'!$A:$A,0))&lt;=MOD($Y20,18),1,0)))</f>
      </c>
      <c r="AB20" t="e">
        <f>IF(OR(OR($A20="",$D20=""),H20=""),"",H20-(INT($Y20/18)+IF(INDEX('Tournament Setup'!$AF:$AF,MATCH($A20,'Tournament Setup'!$A:$A,0))&lt;=MOD($Y20,18),1,0)))</f>
      </c>
      <c r="AC20" t="e">
        <f>IF(OR(OR($A20="",$D20=""),I20=""),"",I20-(INT($Y20/18)+IF(INDEX('Tournament Setup'!$AG:$AG,MATCH($A20,'Tournament Setup'!$A:$A,0))&lt;=MOD($Y20,18),1,0)))</f>
      </c>
      <c r="AD20" t="e">
        <f>IF(OR(OR($A20="",$D20=""),J20=""),"",J20-(INT($Y20/18)+IF(INDEX('Tournament Setup'!$AH:$AH,MATCH($A20,'Tournament Setup'!$A:$A,0))&lt;=MOD($Y20,18),1,0)))</f>
      </c>
      <c r="AE20" t="e">
        <f>IF(OR(OR($A20="",$D20=""),K20=""),"",K20-(INT($Y20/18)+IF(INDEX('Tournament Setup'!$AI:$AI,MATCH($A20,'Tournament Setup'!$A:$A,0))&lt;=MOD($Y20,18),1,0)))</f>
      </c>
      <c r="AF20" t="e">
        <f>IF(OR(OR($A20="",$D20=""),L20=""),"",L20-(INT($Y20/18)+IF(INDEX('Tournament Setup'!$AJ:$AJ,MATCH($A20,'Tournament Setup'!$A:$A,0))&lt;=MOD($Y20,18),1,0)))</f>
      </c>
      <c r="AG20" t="e">
        <f>IF(OR(OR($A20="",$D20=""),M20=""),"",M20-(INT($Y20/18)+IF(INDEX('Tournament Setup'!$AK:$AK,MATCH($A20,'Tournament Setup'!$A:$A,0))&lt;=MOD($Y20,18),1,0)))</f>
      </c>
      <c r="AH20" t="e">
        <f>IF(OR(OR($A20="",$D20=""),N20=""),"",N20-(INT($Y20/18)+IF(INDEX('Tournament Setup'!$AL:$AL,MATCH($A20,'Tournament Setup'!$A:$A,0))&lt;=MOD($Y20,18),1,0)))</f>
      </c>
      <c r="AI20" t="e">
        <f>IF(OR(OR($A20="",$D20=""),O20=""),"",O20-(INT($Y20/18)+IF(INDEX('Tournament Setup'!$AM:$AM,MATCH($A20,'Tournament Setup'!$A:$A,0))&lt;=MOD($Y20,18),1,0)))</f>
      </c>
      <c r="AJ20" t="e">
        <f>IF(OR(OR($A20="",$D20=""),P20=""),"",P20-(INT($Y20/18)+IF(INDEX('Tournament Setup'!$AN:$AN,MATCH($A20,'Tournament Setup'!$A:$A,0))&lt;=MOD($Y20,18),1,0)))</f>
      </c>
      <c r="AK20" t="e">
        <f>IF(OR(OR($A20="",$D20=""),Q20=""),"",Q20-(INT($Y20/18)+IF(INDEX('Tournament Setup'!$AO:$AO,MATCH($A20,'Tournament Setup'!$A:$A,0))&lt;=MOD($Y20,18),1,0)))</f>
      </c>
      <c r="AL20" t="e">
        <f>IF(OR(OR($A20="",$D20=""),R20=""),"",R20-(INT($Y20/18)+IF(INDEX('Tournament Setup'!$AP:$AP,MATCH($A20,'Tournament Setup'!$A:$A,0))&lt;=MOD($Y20,18),1,0)))</f>
      </c>
      <c r="AM20" t="e">
        <f>IF(OR(OR($A20="",$D20=""),S20=""),"",S20-(INT($Y20/18)+IF(INDEX('Tournament Setup'!$AQ:$AQ,MATCH($A20,'Tournament Setup'!$A:$A,0))&lt;=MOD($Y20,18),1,0)))</f>
      </c>
      <c r="AN20" t="e">
        <f>IF(OR(OR($A20="",$D20=""),T20=""),"",T20-(INT($Y20/18)+IF(INDEX('Tournament Setup'!$AR:$AR,MATCH($A20,'Tournament Setup'!$A:$A,0))&lt;=MOD($Y20,18),1,0)))</f>
      </c>
      <c r="AO20" t="e">
        <f>IF(OR(OR($A20="",$D20=""),U20=""),"",U20-(INT($Y20/18)+IF(INDEX('Tournament Setup'!$AS:$AS,MATCH($A20,'Tournament Setup'!$A:$A,0))&lt;=MOD($Y20,18),1,0)))</f>
      </c>
      <c r="AP20" t="e">
        <f>IF(OR(OR($A20="",$D20=""),V20=""),"",V20-(INT($Y20/18)+IF(INDEX('Tournament Setup'!$AT:$AT,MATCH($A20,'Tournament Setup'!$A:$A,0))&lt;=MOD($Y20,18),1,0)))</f>
      </c>
      <c r="AQ20" t="e">
        <f>IF(OR(OR($A20="",$D20=""),W20=""),"",W20-(INT($Y20/18)+IF(INDEX('Tournament Setup'!$AU:$AU,MATCH($A20,'Tournament Setup'!$A:$A,0))&lt;=MOD($Y20,18),1,0)))</f>
      </c>
    </row>
    <row r="21">
      <c r="X21" t="e">
        <f>IF(OR($A21="",$D21=""),"",SUM(F21:W21))</f>
      </c>
      <c r="Y21" t="e">
        <f>IF(OR($A21="",$D21=""),"",IF(INDEX('Tournament Setup'!$F:$F,MATCH($A21,'Tournament Setup'!$A:$A,0))="Net",ROUND(($E21-_xlfn.MINIFS($E$2:$E$401,$A$2:$A$401,$A21,$B$2:$B$401,$B21))*INDEX('Tournament Setup'!$G:$G,MATCH($A21,'Tournament Setup'!$A:$A,0))/100,0),0))</f>
      </c>
      <c r="Z21" t="e">
        <f>IF(OR(OR($A21="",$D21=""),F21=""),"",F21-(INT($Y21/18)+IF(INDEX('Tournament Setup'!$AD:$AD,MATCH($A21,'Tournament Setup'!$A:$A,0))&lt;=MOD($Y21,18),1,0)))</f>
      </c>
      <c r="AA21" t="e">
        <f>IF(OR(OR($A21="",$D21=""),G21=""),"",G21-(INT($Y21/18)+IF(INDEX('Tournament Setup'!$AE:$AE,MATCH($A21,'Tournament Setup'!$A:$A,0))&lt;=MOD($Y21,18),1,0)))</f>
      </c>
      <c r="AB21" t="e">
        <f>IF(OR(OR($A21="",$D21=""),H21=""),"",H21-(INT($Y21/18)+IF(INDEX('Tournament Setup'!$AF:$AF,MATCH($A21,'Tournament Setup'!$A:$A,0))&lt;=MOD($Y21,18),1,0)))</f>
      </c>
      <c r="AC21" t="e">
        <f>IF(OR(OR($A21="",$D21=""),I21=""),"",I21-(INT($Y21/18)+IF(INDEX('Tournament Setup'!$AG:$AG,MATCH($A21,'Tournament Setup'!$A:$A,0))&lt;=MOD($Y21,18),1,0)))</f>
      </c>
      <c r="AD21" t="e">
        <f>IF(OR(OR($A21="",$D21=""),J21=""),"",J21-(INT($Y21/18)+IF(INDEX('Tournament Setup'!$AH:$AH,MATCH($A21,'Tournament Setup'!$A:$A,0))&lt;=MOD($Y21,18),1,0)))</f>
      </c>
      <c r="AE21" t="e">
        <f>IF(OR(OR($A21="",$D21=""),K21=""),"",K21-(INT($Y21/18)+IF(INDEX('Tournament Setup'!$AI:$AI,MATCH($A21,'Tournament Setup'!$A:$A,0))&lt;=MOD($Y21,18),1,0)))</f>
      </c>
      <c r="AF21" t="e">
        <f>IF(OR(OR($A21="",$D21=""),L21=""),"",L21-(INT($Y21/18)+IF(INDEX('Tournament Setup'!$AJ:$AJ,MATCH($A21,'Tournament Setup'!$A:$A,0))&lt;=MOD($Y21,18),1,0)))</f>
      </c>
      <c r="AG21" t="e">
        <f>IF(OR(OR($A21="",$D21=""),M21=""),"",M21-(INT($Y21/18)+IF(INDEX('Tournament Setup'!$AK:$AK,MATCH($A21,'Tournament Setup'!$A:$A,0))&lt;=MOD($Y21,18),1,0)))</f>
      </c>
      <c r="AH21" t="e">
        <f>IF(OR(OR($A21="",$D21=""),N21=""),"",N21-(INT($Y21/18)+IF(INDEX('Tournament Setup'!$AL:$AL,MATCH($A21,'Tournament Setup'!$A:$A,0))&lt;=MOD($Y21,18),1,0)))</f>
      </c>
      <c r="AI21" t="e">
        <f>IF(OR(OR($A21="",$D21=""),O21=""),"",O21-(INT($Y21/18)+IF(INDEX('Tournament Setup'!$AM:$AM,MATCH($A21,'Tournament Setup'!$A:$A,0))&lt;=MOD($Y21,18),1,0)))</f>
      </c>
      <c r="AJ21" t="e">
        <f>IF(OR(OR($A21="",$D21=""),P21=""),"",P21-(INT($Y21/18)+IF(INDEX('Tournament Setup'!$AN:$AN,MATCH($A21,'Tournament Setup'!$A:$A,0))&lt;=MOD($Y21,18),1,0)))</f>
      </c>
      <c r="AK21" t="e">
        <f>IF(OR(OR($A21="",$D21=""),Q21=""),"",Q21-(INT($Y21/18)+IF(INDEX('Tournament Setup'!$AO:$AO,MATCH($A21,'Tournament Setup'!$A:$A,0))&lt;=MOD($Y21,18),1,0)))</f>
      </c>
      <c r="AL21" t="e">
        <f>IF(OR(OR($A21="",$D21=""),R21=""),"",R21-(INT($Y21/18)+IF(INDEX('Tournament Setup'!$AP:$AP,MATCH($A21,'Tournament Setup'!$A:$A,0))&lt;=MOD($Y21,18),1,0)))</f>
      </c>
      <c r="AM21" t="e">
        <f>IF(OR(OR($A21="",$D21=""),S21=""),"",S21-(INT($Y21/18)+IF(INDEX('Tournament Setup'!$AQ:$AQ,MATCH($A21,'Tournament Setup'!$A:$A,0))&lt;=MOD($Y21,18),1,0)))</f>
      </c>
      <c r="AN21" t="e">
        <f>IF(OR(OR($A21="",$D21=""),T21=""),"",T21-(INT($Y21/18)+IF(INDEX('Tournament Setup'!$AR:$AR,MATCH($A21,'Tournament Setup'!$A:$A,0))&lt;=MOD($Y21,18),1,0)))</f>
      </c>
      <c r="AO21" t="e">
        <f>IF(OR(OR($A21="",$D21=""),U21=""),"",U21-(INT($Y21/18)+IF(INDEX('Tournament Setup'!$AS:$AS,MATCH($A21,'Tournament Setup'!$A:$A,0))&lt;=MOD($Y21,18),1,0)))</f>
      </c>
      <c r="AP21" t="e">
        <f>IF(OR(OR($A21="",$D21=""),V21=""),"",V21-(INT($Y21/18)+IF(INDEX('Tournament Setup'!$AT:$AT,MATCH($A21,'Tournament Setup'!$A:$A,0))&lt;=MOD($Y21,18),1,0)))</f>
      </c>
      <c r="AQ21" t="e">
        <f>IF(OR(OR($A21="",$D21=""),W21=""),"",W21-(INT($Y21/18)+IF(INDEX('Tournament Setup'!$AU:$AU,MATCH($A21,'Tournament Setup'!$A:$A,0))&lt;=MOD($Y21,18),1,0)))</f>
      </c>
    </row>
    <row r="22">
      <c r="X22" t="e">
        <f>IF(OR($A22="",$D22=""),"",SUM(F22:W22))</f>
      </c>
      <c r="Y22" t="e">
        <f>IF(OR($A22="",$D22=""),"",IF(INDEX('Tournament Setup'!$F:$F,MATCH($A22,'Tournament Setup'!$A:$A,0))="Net",ROUND(($E22-_xlfn.MINIFS($E$2:$E$401,$A$2:$A$401,$A22,$B$2:$B$401,$B22))*INDEX('Tournament Setup'!$G:$G,MATCH($A22,'Tournament Setup'!$A:$A,0))/100,0),0))</f>
      </c>
      <c r="Z22" t="e">
        <f>IF(OR(OR($A22="",$D22=""),F22=""),"",F22-(INT($Y22/18)+IF(INDEX('Tournament Setup'!$AD:$AD,MATCH($A22,'Tournament Setup'!$A:$A,0))&lt;=MOD($Y22,18),1,0)))</f>
      </c>
      <c r="AA22" t="e">
        <f>IF(OR(OR($A22="",$D22=""),G22=""),"",G22-(INT($Y22/18)+IF(INDEX('Tournament Setup'!$AE:$AE,MATCH($A22,'Tournament Setup'!$A:$A,0))&lt;=MOD($Y22,18),1,0)))</f>
      </c>
      <c r="AB22" t="e">
        <f>IF(OR(OR($A22="",$D22=""),H22=""),"",H22-(INT($Y22/18)+IF(INDEX('Tournament Setup'!$AF:$AF,MATCH($A22,'Tournament Setup'!$A:$A,0))&lt;=MOD($Y22,18),1,0)))</f>
      </c>
      <c r="AC22" t="e">
        <f>IF(OR(OR($A22="",$D22=""),I22=""),"",I22-(INT($Y22/18)+IF(INDEX('Tournament Setup'!$AG:$AG,MATCH($A22,'Tournament Setup'!$A:$A,0))&lt;=MOD($Y22,18),1,0)))</f>
      </c>
      <c r="AD22" t="e">
        <f>IF(OR(OR($A22="",$D22=""),J22=""),"",J22-(INT($Y22/18)+IF(INDEX('Tournament Setup'!$AH:$AH,MATCH($A22,'Tournament Setup'!$A:$A,0))&lt;=MOD($Y22,18),1,0)))</f>
      </c>
      <c r="AE22" t="e">
        <f>IF(OR(OR($A22="",$D22=""),K22=""),"",K22-(INT($Y22/18)+IF(INDEX('Tournament Setup'!$AI:$AI,MATCH($A22,'Tournament Setup'!$A:$A,0))&lt;=MOD($Y22,18),1,0)))</f>
      </c>
      <c r="AF22" t="e">
        <f>IF(OR(OR($A22="",$D22=""),L22=""),"",L22-(INT($Y22/18)+IF(INDEX('Tournament Setup'!$AJ:$AJ,MATCH($A22,'Tournament Setup'!$A:$A,0))&lt;=MOD($Y22,18),1,0)))</f>
      </c>
      <c r="AG22" t="e">
        <f>IF(OR(OR($A22="",$D22=""),M22=""),"",M22-(INT($Y22/18)+IF(INDEX('Tournament Setup'!$AK:$AK,MATCH($A22,'Tournament Setup'!$A:$A,0))&lt;=MOD($Y22,18),1,0)))</f>
      </c>
      <c r="AH22" t="e">
        <f>IF(OR(OR($A22="",$D22=""),N22=""),"",N22-(INT($Y22/18)+IF(INDEX('Tournament Setup'!$AL:$AL,MATCH($A22,'Tournament Setup'!$A:$A,0))&lt;=MOD($Y22,18),1,0)))</f>
      </c>
      <c r="AI22" t="e">
        <f>IF(OR(OR($A22="",$D22=""),O22=""),"",O22-(INT($Y22/18)+IF(INDEX('Tournament Setup'!$AM:$AM,MATCH($A22,'Tournament Setup'!$A:$A,0))&lt;=MOD($Y22,18),1,0)))</f>
      </c>
      <c r="AJ22" t="e">
        <f>IF(OR(OR($A22="",$D22=""),P22=""),"",P22-(INT($Y22/18)+IF(INDEX('Tournament Setup'!$AN:$AN,MATCH($A22,'Tournament Setup'!$A:$A,0))&lt;=MOD($Y22,18),1,0)))</f>
      </c>
      <c r="AK22" t="e">
        <f>IF(OR(OR($A22="",$D22=""),Q22=""),"",Q22-(INT($Y22/18)+IF(INDEX('Tournament Setup'!$AO:$AO,MATCH($A22,'Tournament Setup'!$A:$A,0))&lt;=MOD($Y22,18),1,0)))</f>
      </c>
      <c r="AL22" t="e">
        <f>IF(OR(OR($A22="",$D22=""),R22=""),"",R22-(INT($Y22/18)+IF(INDEX('Tournament Setup'!$AP:$AP,MATCH($A22,'Tournament Setup'!$A:$A,0))&lt;=MOD($Y22,18),1,0)))</f>
      </c>
      <c r="AM22" t="e">
        <f>IF(OR(OR($A22="",$D22=""),S22=""),"",S22-(INT($Y22/18)+IF(INDEX('Tournament Setup'!$AQ:$AQ,MATCH($A22,'Tournament Setup'!$A:$A,0))&lt;=MOD($Y22,18),1,0)))</f>
      </c>
      <c r="AN22" t="e">
        <f>IF(OR(OR($A22="",$D22=""),T22=""),"",T22-(INT($Y22/18)+IF(INDEX('Tournament Setup'!$AR:$AR,MATCH($A22,'Tournament Setup'!$A:$A,0))&lt;=MOD($Y22,18),1,0)))</f>
      </c>
      <c r="AO22" t="e">
        <f>IF(OR(OR($A22="",$D22=""),U22=""),"",U22-(INT($Y22/18)+IF(INDEX('Tournament Setup'!$AS:$AS,MATCH($A22,'Tournament Setup'!$A:$A,0))&lt;=MOD($Y22,18),1,0)))</f>
      </c>
      <c r="AP22" t="e">
        <f>IF(OR(OR($A22="",$D22=""),V22=""),"",V22-(INT($Y22/18)+IF(INDEX('Tournament Setup'!$AT:$AT,MATCH($A22,'Tournament Setup'!$A:$A,0))&lt;=MOD($Y22,18),1,0)))</f>
      </c>
      <c r="AQ22" t="e">
        <f>IF(OR(OR($A22="",$D22=""),W22=""),"",W22-(INT($Y22/18)+IF(INDEX('Tournament Setup'!$AU:$AU,MATCH($A22,'Tournament Setup'!$A:$A,0))&lt;=MOD($Y22,18),1,0)))</f>
      </c>
    </row>
    <row r="23">
      <c r="X23" t="e">
        <f>IF(OR($A23="",$D23=""),"",SUM(F23:W23))</f>
      </c>
      <c r="Y23" t="e">
        <f>IF(OR($A23="",$D23=""),"",IF(INDEX('Tournament Setup'!$F:$F,MATCH($A23,'Tournament Setup'!$A:$A,0))="Net",ROUND(($E23-_xlfn.MINIFS($E$2:$E$401,$A$2:$A$401,$A23,$B$2:$B$401,$B23))*INDEX('Tournament Setup'!$G:$G,MATCH($A23,'Tournament Setup'!$A:$A,0))/100,0),0))</f>
      </c>
      <c r="Z23" t="e">
        <f>IF(OR(OR($A23="",$D23=""),F23=""),"",F23-(INT($Y23/18)+IF(INDEX('Tournament Setup'!$AD:$AD,MATCH($A23,'Tournament Setup'!$A:$A,0))&lt;=MOD($Y23,18),1,0)))</f>
      </c>
      <c r="AA23" t="e">
        <f>IF(OR(OR($A23="",$D23=""),G23=""),"",G23-(INT($Y23/18)+IF(INDEX('Tournament Setup'!$AE:$AE,MATCH($A23,'Tournament Setup'!$A:$A,0))&lt;=MOD($Y23,18),1,0)))</f>
      </c>
      <c r="AB23" t="e">
        <f>IF(OR(OR($A23="",$D23=""),H23=""),"",H23-(INT($Y23/18)+IF(INDEX('Tournament Setup'!$AF:$AF,MATCH($A23,'Tournament Setup'!$A:$A,0))&lt;=MOD($Y23,18),1,0)))</f>
      </c>
      <c r="AC23" t="e">
        <f>IF(OR(OR($A23="",$D23=""),I23=""),"",I23-(INT($Y23/18)+IF(INDEX('Tournament Setup'!$AG:$AG,MATCH($A23,'Tournament Setup'!$A:$A,0))&lt;=MOD($Y23,18),1,0)))</f>
      </c>
      <c r="AD23" t="e">
        <f>IF(OR(OR($A23="",$D23=""),J23=""),"",J23-(INT($Y23/18)+IF(INDEX('Tournament Setup'!$AH:$AH,MATCH($A23,'Tournament Setup'!$A:$A,0))&lt;=MOD($Y23,18),1,0)))</f>
      </c>
      <c r="AE23" t="e">
        <f>IF(OR(OR($A23="",$D23=""),K23=""),"",K23-(INT($Y23/18)+IF(INDEX('Tournament Setup'!$AI:$AI,MATCH($A23,'Tournament Setup'!$A:$A,0))&lt;=MOD($Y23,18),1,0)))</f>
      </c>
      <c r="AF23" t="e">
        <f>IF(OR(OR($A23="",$D23=""),L23=""),"",L23-(INT($Y23/18)+IF(INDEX('Tournament Setup'!$AJ:$AJ,MATCH($A23,'Tournament Setup'!$A:$A,0))&lt;=MOD($Y23,18),1,0)))</f>
      </c>
      <c r="AG23" t="e">
        <f>IF(OR(OR($A23="",$D23=""),M23=""),"",M23-(INT($Y23/18)+IF(INDEX('Tournament Setup'!$AK:$AK,MATCH($A23,'Tournament Setup'!$A:$A,0))&lt;=MOD($Y23,18),1,0)))</f>
      </c>
      <c r="AH23" t="e">
        <f>IF(OR(OR($A23="",$D23=""),N23=""),"",N23-(INT($Y23/18)+IF(INDEX('Tournament Setup'!$AL:$AL,MATCH($A23,'Tournament Setup'!$A:$A,0))&lt;=MOD($Y23,18),1,0)))</f>
      </c>
      <c r="AI23" t="e">
        <f>IF(OR(OR($A23="",$D23=""),O23=""),"",O23-(INT($Y23/18)+IF(INDEX('Tournament Setup'!$AM:$AM,MATCH($A23,'Tournament Setup'!$A:$A,0))&lt;=MOD($Y23,18),1,0)))</f>
      </c>
      <c r="AJ23" t="e">
        <f>IF(OR(OR($A23="",$D23=""),P23=""),"",P23-(INT($Y23/18)+IF(INDEX('Tournament Setup'!$AN:$AN,MATCH($A23,'Tournament Setup'!$A:$A,0))&lt;=MOD($Y23,18),1,0)))</f>
      </c>
      <c r="AK23" t="e">
        <f>IF(OR(OR($A23="",$D23=""),Q23=""),"",Q23-(INT($Y23/18)+IF(INDEX('Tournament Setup'!$AO:$AO,MATCH($A23,'Tournament Setup'!$A:$A,0))&lt;=MOD($Y23,18),1,0)))</f>
      </c>
      <c r="AL23" t="e">
        <f>IF(OR(OR($A23="",$D23=""),R23=""),"",R23-(INT($Y23/18)+IF(INDEX('Tournament Setup'!$AP:$AP,MATCH($A23,'Tournament Setup'!$A:$A,0))&lt;=MOD($Y23,18),1,0)))</f>
      </c>
      <c r="AM23" t="e">
        <f>IF(OR(OR($A23="",$D23=""),S23=""),"",S23-(INT($Y23/18)+IF(INDEX('Tournament Setup'!$AQ:$AQ,MATCH($A23,'Tournament Setup'!$A:$A,0))&lt;=MOD($Y23,18),1,0)))</f>
      </c>
      <c r="AN23" t="e">
        <f>IF(OR(OR($A23="",$D23=""),T23=""),"",T23-(INT($Y23/18)+IF(INDEX('Tournament Setup'!$AR:$AR,MATCH($A23,'Tournament Setup'!$A:$A,0))&lt;=MOD($Y23,18),1,0)))</f>
      </c>
      <c r="AO23" t="e">
        <f>IF(OR(OR($A23="",$D23=""),U23=""),"",U23-(INT($Y23/18)+IF(INDEX('Tournament Setup'!$AS:$AS,MATCH($A23,'Tournament Setup'!$A:$A,0))&lt;=MOD($Y23,18),1,0)))</f>
      </c>
      <c r="AP23" t="e">
        <f>IF(OR(OR($A23="",$D23=""),V23=""),"",V23-(INT($Y23/18)+IF(INDEX('Tournament Setup'!$AT:$AT,MATCH($A23,'Tournament Setup'!$A:$A,0))&lt;=MOD($Y23,18),1,0)))</f>
      </c>
      <c r="AQ23" t="e">
        <f>IF(OR(OR($A23="",$D23=""),W23=""),"",W23-(INT($Y23/18)+IF(INDEX('Tournament Setup'!$AU:$AU,MATCH($A23,'Tournament Setup'!$A:$A,0))&lt;=MOD($Y23,18),1,0)))</f>
      </c>
    </row>
    <row r="24">
      <c r="X24" t="e">
        <f>IF(OR($A24="",$D24=""),"",SUM(F24:W24))</f>
      </c>
      <c r="Y24" t="e">
        <f>IF(OR($A24="",$D24=""),"",IF(INDEX('Tournament Setup'!$F:$F,MATCH($A24,'Tournament Setup'!$A:$A,0))="Net",ROUND(($E24-_xlfn.MINIFS($E$2:$E$401,$A$2:$A$401,$A24,$B$2:$B$401,$B24))*INDEX('Tournament Setup'!$G:$G,MATCH($A24,'Tournament Setup'!$A:$A,0))/100,0),0))</f>
      </c>
      <c r="Z24" t="e">
        <f>IF(OR(OR($A24="",$D24=""),F24=""),"",F24-(INT($Y24/18)+IF(INDEX('Tournament Setup'!$AD:$AD,MATCH($A24,'Tournament Setup'!$A:$A,0))&lt;=MOD($Y24,18),1,0)))</f>
      </c>
      <c r="AA24" t="e">
        <f>IF(OR(OR($A24="",$D24=""),G24=""),"",G24-(INT($Y24/18)+IF(INDEX('Tournament Setup'!$AE:$AE,MATCH($A24,'Tournament Setup'!$A:$A,0))&lt;=MOD($Y24,18),1,0)))</f>
      </c>
      <c r="AB24" t="e">
        <f>IF(OR(OR($A24="",$D24=""),H24=""),"",H24-(INT($Y24/18)+IF(INDEX('Tournament Setup'!$AF:$AF,MATCH($A24,'Tournament Setup'!$A:$A,0))&lt;=MOD($Y24,18),1,0)))</f>
      </c>
      <c r="AC24" t="e">
        <f>IF(OR(OR($A24="",$D24=""),I24=""),"",I24-(INT($Y24/18)+IF(INDEX('Tournament Setup'!$AG:$AG,MATCH($A24,'Tournament Setup'!$A:$A,0))&lt;=MOD($Y24,18),1,0)))</f>
      </c>
      <c r="AD24" t="e">
        <f>IF(OR(OR($A24="",$D24=""),J24=""),"",J24-(INT($Y24/18)+IF(INDEX('Tournament Setup'!$AH:$AH,MATCH($A24,'Tournament Setup'!$A:$A,0))&lt;=MOD($Y24,18),1,0)))</f>
      </c>
      <c r="AE24" t="e">
        <f>IF(OR(OR($A24="",$D24=""),K24=""),"",K24-(INT($Y24/18)+IF(INDEX('Tournament Setup'!$AI:$AI,MATCH($A24,'Tournament Setup'!$A:$A,0))&lt;=MOD($Y24,18),1,0)))</f>
      </c>
      <c r="AF24" t="e">
        <f>IF(OR(OR($A24="",$D24=""),L24=""),"",L24-(INT($Y24/18)+IF(INDEX('Tournament Setup'!$AJ:$AJ,MATCH($A24,'Tournament Setup'!$A:$A,0))&lt;=MOD($Y24,18),1,0)))</f>
      </c>
      <c r="AG24" t="e">
        <f>IF(OR(OR($A24="",$D24=""),M24=""),"",M24-(INT($Y24/18)+IF(INDEX('Tournament Setup'!$AK:$AK,MATCH($A24,'Tournament Setup'!$A:$A,0))&lt;=MOD($Y24,18),1,0)))</f>
      </c>
      <c r="AH24" t="e">
        <f>IF(OR(OR($A24="",$D24=""),N24=""),"",N24-(INT($Y24/18)+IF(INDEX('Tournament Setup'!$AL:$AL,MATCH($A24,'Tournament Setup'!$A:$A,0))&lt;=MOD($Y24,18),1,0)))</f>
      </c>
      <c r="AI24" t="e">
        <f>IF(OR(OR($A24="",$D24=""),O24=""),"",O24-(INT($Y24/18)+IF(INDEX('Tournament Setup'!$AM:$AM,MATCH($A24,'Tournament Setup'!$A:$A,0))&lt;=MOD($Y24,18),1,0)))</f>
      </c>
      <c r="AJ24" t="e">
        <f>IF(OR(OR($A24="",$D24=""),P24=""),"",P24-(INT($Y24/18)+IF(INDEX('Tournament Setup'!$AN:$AN,MATCH($A24,'Tournament Setup'!$A:$A,0))&lt;=MOD($Y24,18),1,0)))</f>
      </c>
      <c r="AK24" t="e">
        <f>IF(OR(OR($A24="",$D24=""),Q24=""),"",Q24-(INT($Y24/18)+IF(INDEX('Tournament Setup'!$AO:$AO,MATCH($A24,'Tournament Setup'!$A:$A,0))&lt;=MOD($Y24,18),1,0)))</f>
      </c>
      <c r="AL24" t="e">
        <f>IF(OR(OR($A24="",$D24=""),R24=""),"",R24-(INT($Y24/18)+IF(INDEX('Tournament Setup'!$AP:$AP,MATCH($A24,'Tournament Setup'!$A:$A,0))&lt;=MOD($Y24,18),1,0)))</f>
      </c>
      <c r="AM24" t="e">
        <f>IF(OR(OR($A24="",$D24=""),S24=""),"",S24-(INT($Y24/18)+IF(INDEX('Tournament Setup'!$AQ:$AQ,MATCH($A24,'Tournament Setup'!$A:$A,0))&lt;=MOD($Y24,18),1,0)))</f>
      </c>
      <c r="AN24" t="e">
        <f>IF(OR(OR($A24="",$D24=""),T24=""),"",T24-(INT($Y24/18)+IF(INDEX('Tournament Setup'!$AR:$AR,MATCH($A24,'Tournament Setup'!$A:$A,0))&lt;=MOD($Y24,18),1,0)))</f>
      </c>
      <c r="AO24" t="e">
        <f>IF(OR(OR($A24="",$D24=""),U24=""),"",U24-(INT($Y24/18)+IF(INDEX('Tournament Setup'!$AS:$AS,MATCH($A24,'Tournament Setup'!$A:$A,0))&lt;=MOD($Y24,18),1,0)))</f>
      </c>
      <c r="AP24" t="e">
        <f>IF(OR(OR($A24="",$D24=""),V24=""),"",V24-(INT($Y24/18)+IF(INDEX('Tournament Setup'!$AT:$AT,MATCH($A24,'Tournament Setup'!$A:$A,0))&lt;=MOD($Y24,18),1,0)))</f>
      </c>
      <c r="AQ24" t="e">
        <f>IF(OR(OR($A24="",$D24=""),W24=""),"",W24-(INT($Y24/18)+IF(INDEX('Tournament Setup'!$AU:$AU,MATCH($A24,'Tournament Setup'!$A:$A,0))&lt;=MOD($Y24,18),1,0)))</f>
      </c>
    </row>
    <row r="25">
      <c r="X25" t="e">
        <f>IF(OR($A25="",$D25=""),"",SUM(F25:W25))</f>
      </c>
      <c r="Y25" t="e">
        <f>IF(OR($A25="",$D25=""),"",IF(INDEX('Tournament Setup'!$F:$F,MATCH($A25,'Tournament Setup'!$A:$A,0))="Net",ROUND(($E25-_xlfn.MINIFS($E$2:$E$401,$A$2:$A$401,$A25,$B$2:$B$401,$B25))*INDEX('Tournament Setup'!$G:$G,MATCH($A25,'Tournament Setup'!$A:$A,0))/100,0),0))</f>
      </c>
      <c r="Z25" t="e">
        <f>IF(OR(OR($A25="",$D25=""),F25=""),"",F25-(INT($Y25/18)+IF(INDEX('Tournament Setup'!$AD:$AD,MATCH($A25,'Tournament Setup'!$A:$A,0))&lt;=MOD($Y25,18),1,0)))</f>
      </c>
      <c r="AA25" t="e">
        <f>IF(OR(OR($A25="",$D25=""),G25=""),"",G25-(INT($Y25/18)+IF(INDEX('Tournament Setup'!$AE:$AE,MATCH($A25,'Tournament Setup'!$A:$A,0))&lt;=MOD($Y25,18),1,0)))</f>
      </c>
      <c r="AB25" t="e">
        <f>IF(OR(OR($A25="",$D25=""),H25=""),"",H25-(INT($Y25/18)+IF(INDEX('Tournament Setup'!$AF:$AF,MATCH($A25,'Tournament Setup'!$A:$A,0))&lt;=MOD($Y25,18),1,0)))</f>
      </c>
      <c r="AC25" t="e">
        <f>IF(OR(OR($A25="",$D25=""),I25=""),"",I25-(INT($Y25/18)+IF(INDEX('Tournament Setup'!$AG:$AG,MATCH($A25,'Tournament Setup'!$A:$A,0))&lt;=MOD($Y25,18),1,0)))</f>
      </c>
      <c r="AD25" t="e">
        <f>IF(OR(OR($A25="",$D25=""),J25=""),"",J25-(INT($Y25/18)+IF(INDEX('Tournament Setup'!$AH:$AH,MATCH($A25,'Tournament Setup'!$A:$A,0))&lt;=MOD($Y25,18),1,0)))</f>
      </c>
      <c r="AE25" t="e">
        <f>IF(OR(OR($A25="",$D25=""),K25=""),"",K25-(INT($Y25/18)+IF(INDEX('Tournament Setup'!$AI:$AI,MATCH($A25,'Tournament Setup'!$A:$A,0))&lt;=MOD($Y25,18),1,0)))</f>
      </c>
      <c r="AF25" t="e">
        <f>IF(OR(OR($A25="",$D25=""),L25=""),"",L25-(INT($Y25/18)+IF(INDEX('Tournament Setup'!$AJ:$AJ,MATCH($A25,'Tournament Setup'!$A:$A,0))&lt;=MOD($Y25,18),1,0)))</f>
      </c>
      <c r="AG25" t="e">
        <f>IF(OR(OR($A25="",$D25=""),M25=""),"",M25-(INT($Y25/18)+IF(INDEX('Tournament Setup'!$AK:$AK,MATCH($A25,'Tournament Setup'!$A:$A,0))&lt;=MOD($Y25,18),1,0)))</f>
      </c>
      <c r="AH25" t="e">
        <f>IF(OR(OR($A25="",$D25=""),N25=""),"",N25-(INT($Y25/18)+IF(INDEX('Tournament Setup'!$AL:$AL,MATCH($A25,'Tournament Setup'!$A:$A,0))&lt;=MOD($Y25,18),1,0)))</f>
      </c>
      <c r="AI25" t="e">
        <f>IF(OR(OR($A25="",$D25=""),O25=""),"",O25-(INT($Y25/18)+IF(INDEX('Tournament Setup'!$AM:$AM,MATCH($A25,'Tournament Setup'!$A:$A,0))&lt;=MOD($Y25,18),1,0)))</f>
      </c>
      <c r="AJ25" t="e">
        <f>IF(OR(OR($A25="",$D25=""),P25=""),"",P25-(INT($Y25/18)+IF(INDEX('Tournament Setup'!$AN:$AN,MATCH($A25,'Tournament Setup'!$A:$A,0))&lt;=MOD($Y25,18),1,0)))</f>
      </c>
      <c r="AK25" t="e">
        <f>IF(OR(OR($A25="",$D25=""),Q25=""),"",Q25-(INT($Y25/18)+IF(INDEX('Tournament Setup'!$AO:$AO,MATCH($A25,'Tournament Setup'!$A:$A,0))&lt;=MOD($Y25,18),1,0)))</f>
      </c>
      <c r="AL25" t="e">
        <f>IF(OR(OR($A25="",$D25=""),R25=""),"",R25-(INT($Y25/18)+IF(INDEX('Tournament Setup'!$AP:$AP,MATCH($A25,'Tournament Setup'!$A:$A,0))&lt;=MOD($Y25,18),1,0)))</f>
      </c>
      <c r="AM25" t="e">
        <f>IF(OR(OR($A25="",$D25=""),S25=""),"",S25-(INT($Y25/18)+IF(INDEX('Tournament Setup'!$AQ:$AQ,MATCH($A25,'Tournament Setup'!$A:$A,0))&lt;=MOD($Y25,18),1,0)))</f>
      </c>
      <c r="AN25" t="e">
        <f>IF(OR(OR($A25="",$D25=""),T25=""),"",T25-(INT($Y25/18)+IF(INDEX('Tournament Setup'!$AR:$AR,MATCH($A25,'Tournament Setup'!$A:$A,0))&lt;=MOD($Y25,18),1,0)))</f>
      </c>
      <c r="AO25" t="e">
        <f>IF(OR(OR($A25="",$D25=""),U25=""),"",U25-(INT($Y25/18)+IF(INDEX('Tournament Setup'!$AS:$AS,MATCH($A25,'Tournament Setup'!$A:$A,0))&lt;=MOD($Y25,18),1,0)))</f>
      </c>
      <c r="AP25" t="e">
        <f>IF(OR(OR($A25="",$D25=""),V25=""),"",V25-(INT($Y25/18)+IF(INDEX('Tournament Setup'!$AT:$AT,MATCH($A25,'Tournament Setup'!$A:$A,0))&lt;=MOD($Y25,18),1,0)))</f>
      </c>
      <c r="AQ25" t="e">
        <f>IF(OR(OR($A25="",$D25=""),W25=""),"",W25-(INT($Y25/18)+IF(INDEX('Tournament Setup'!$AU:$AU,MATCH($A25,'Tournament Setup'!$A:$A,0))&lt;=MOD($Y25,18),1,0)))</f>
      </c>
    </row>
    <row r="26">
      <c r="X26" t="e">
        <f>IF(OR($A26="",$D26=""),"",SUM(F26:W26))</f>
      </c>
      <c r="Y26" t="e">
        <f>IF(OR($A26="",$D26=""),"",IF(INDEX('Tournament Setup'!$F:$F,MATCH($A26,'Tournament Setup'!$A:$A,0))="Net",ROUND(($E26-_xlfn.MINIFS($E$2:$E$401,$A$2:$A$401,$A26,$B$2:$B$401,$B26))*INDEX('Tournament Setup'!$G:$G,MATCH($A26,'Tournament Setup'!$A:$A,0))/100,0),0))</f>
      </c>
      <c r="Z26" t="e">
        <f>IF(OR(OR($A26="",$D26=""),F26=""),"",F26-(INT($Y26/18)+IF(INDEX('Tournament Setup'!$AD:$AD,MATCH($A26,'Tournament Setup'!$A:$A,0))&lt;=MOD($Y26,18),1,0)))</f>
      </c>
      <c r="AA26" t="e">
        <f>IF(OR(OR($A26="",$D26=""),G26=""),"",G26-(INT($Y26/18)+IF(INDEX('Tournament Setup'!$AE:$AE,MATCH($A26,'Tournament Setup'!$A:$A,0))&lt;=MOD($Y26,18),1,0)))</f>
      </c>
      <c r="AB26" t="e">
        <f>IF(OR(OR($A26="",$D26=""),H26=""),"",H26-(INT($Y26/18)+IF(INDEX('Tournament Setup'!$AF:$AF,MATCH($A26,'Tournament Setup'!$A:$A,0))&lt;=MOD($Y26,18),1,0)))</f>
      </c>
      <c r="AC26" t="e">
        <f>IF(OR(OR($A26="",$D26=""),I26=""),"",I26-(INT($Y26/18)+IF(INDEX('Tournament Setup'!$AG:$AG,MATCH($A26,'Tournament Setup'!$A:$A,0))&lt;=MOD($Y26,18),1,0)))</f>
      </c>
      <c r="AD26" t="e">
        <f>IF(OR(OR($A26="",$D26=""),J26=""),"",J26-(INT($Y26/18)+IF(INDEX('Tournament Setup'!$AH:$AH,MATCH($A26,'Tournament Setup'!$A:$A,0))&lt;=MOD($Y26,18),1,0)))</f>
      </c>
      <c r="AE26" t="e">
        <f>IF(OR(OR($A26="",$D26=""),K26=""),"",K26-(INT($Y26/18)+IF(INDEX('Tournament Setup'!$AI:$AI,MATCH($A26,'Tournament Setup'!$A:$A,0))&lt;=MOD($Y26,18),1,0)))</f>
      </c>
      <c r="AF26" t="e">
        <f>IF(OR(OR($A26="",$D26=""),L26=""),"",L26-(INT($Y26/18)+IF(INDEX('Tournament Setup'!$AJ:$AJ,MATCH($A26,'Tournament Setup'!$A:$A,0))&lt;=MOD($Y26,18),1,0)))</f>
      </c>
      <c r="AG26" t="e">
        <f>IF(OR(OR($A26="",$D26=""),M26=""),"",M26-(INT($Y26/18)+IF(INDEX('Tournament Setup'!$AK:$AK,MATCH($A26,'Tournament Setup'!$A:$A,0))&lt;=MOD($Y26,18),1,0)))</f>
      </c>
      <c r="AH26" t="e">
        <f>IF(OR(OR($A26="",$D26=""),N26=""),"",N26-(INT($Y26/18)+IF(INDEX('Tournament Setup'!$AL:$AL,MATCH($A26,'Tournament Setup'!$A:$A,0))&lt;=MOD($Y26,18),1,0)))</f>
      </c>
      <c r="AI26" t="e">
        <f>IF(OR(OR($A26="",$D26=""),O26=""),"",O26-(INT($Y26/18)+IF(INDEX('Tournament Setup'!$AM:$AM,MATCH($A26,'Tournament Setup'!$A:$A,0))&lt;=MOD($Y26,18),1,0)))</f>
      </c>
      <c r="AJ26" t="e">
        <f>IF(OR(OR($A26="",$D26=""),P26=""),"",P26-(INT($Y26/18)+IF(INDEX('Tournament Setup'!$AN:$AN,MATCH($A26,'Tournament Setup'!$A:$A,0))&lt;=MOD($Y26,18),1,0)))</f>
      </c>
      <c r="AK26" t="e">
        <f>IF(OR(OR($A26="",$D26=""),Q26=""),"",Q26-(INT($Y26/18)+IF(INDEX('Tournament Setup'!$AO:$AO,MATCH($A26,'Tournament Setup'!$A:$A,0))&lt;=MOD($Y26,18),1,0)))</f>
      </c>
      <c r="AL26" t="e">
        <f>IF(OR(OR($A26="",$D26=""),R26=""),"",R26-(INT($Y26/18)+IF(INDEX('Tournament Setup'!$AP:$AP,MATCH($A26,'Tournament Setup'!$A:$A,0))&lt;=MOD($Y26,18),1,0)))</f>
      </c>
      <c r="AM26" t="e">
        <f>IF(OR(OR($A26="",$D26=""),S26=""),"",S26-(INT($Y26/18)+IF(INDEX('Tournament Setup'!$AQ:$AQ,MATCH($A26,'Tournament Setup'!$A:$A,0))&lt;=MOD($Y26,18),1,0)))</f>
      </c>
      <c r="AN26" t="e">
        <f>IF(OR(OR($A26="",$D26=""),T26=""),"",T26-(INT($Y26/18)+IF(INDEX('Tournament Setup'!$AR:$AR,MATCH($A26,'Tournament Setup'!$A:$A,0))&lt;=MOD($Y26,18),1,0)))</f>
      </c>
      <c r="AO26" t="e">
        <f>IF(OR(OR($A26="",$D26=""),U26=""),"",U26-(INT($Y26/18)+IF(INDEX('Tournament Setup'!$AS:$AS,MATCH($A26,'Tournament Setup'!$A:$A,0))&lt;=MOD($Y26,18),1,0)))</f>
      </c>
      <c r="AP26" t="e">
        <f>IF(OR(OR($A26="",$D26=""),V26=""),"",V26-(INT($Y26/18)+IF(INDEX('Tournament Setup'!$AT:$AT,MATCH($A26,'Tournament Setup'!$A:$A,0))&lt;=MOD($Y26,18),1,0)))</f>
      </c>
      <c r="AQ26" t="e">
        <f>IF(OR(OR($A26="",$D26=""),W26=""),"",W26-(INT($Y26/18)+IF(INDEX('Tournament Setup'!$AU:$AU,MATCH($A26,'Tournament Setup'!$A:$A,0))&lt;=MOD($Y26,18),1,0)))</f>
      </c>
    </row>
    <row r="27">
      <c r="X27" t="e">
        <f>IF(OR($A27="",$D27=""),"",SUM(F27:W27))</f>
      </c>
      <c r="Y27" t="e">
        <f>IF(OR($A27="",$D27=""),"",IF(INDEX('Tournament Setup'!$F:$F,MATCH($A27,'Tournament Setup'!$A:$A,0))="Net",ROUND(($E27-_xlfn.MINIFS($E$2:$E$401,$A$2:$A$401,$A27,$B$2:$B$401,$B27))*INDEX('Tournament Setup'!$G:$G,MATCH($A27,'Tournament Setup'!$A:$A,0))/100,0),0))</f>
      </c>
      <c r="Z27" t="e">
        <f>IF(OR(OR($A27="",$D27=""),F27=""),"",F27-(INT($Y27/18)+IF(INDEX('Tournament Setup'!$AD:$AD,MATCH($A27,'Tournament Setup'!$A:$A,0))&lt;=MOD($Y27,18),1,0)))</f>
      </c>
      <c r="AA27" t="e">
        <f>IF(OR(OR($A27="",$D27=""),G27=""),"",G27-(INT($Y27/18)+IF(INDEX('Tournament Setup'!$AE:$AE,MATCH($A27,'Tournament Setup'!$A:$A,0))&lt;=MOD($Y27,18),1,0)))</f>
      </c>
      <c r="AB27" t="e">
        <f>IF(OR(OR($A27="",$D27=""),H27=""),"",H27-(INT($Y27/18)+IF(INDEX('Tournament Setup'!$AF:$AF,MATCH($A27,'Tournament Setup'!$A:$A,0))&lt;=MOD($Y27,18),1,0)))</f>
      </c>
      <c r="AC27" t="e">
        <f>IF(OR(OR($A27="",$D27=""),I27=""),"",I27-(INT($Y27/18)+IF(INDEX('Tournament Setup'!$AG:$AG,MATCH($A27,'Tournament Setup'!$A:$A,0))&lt;=MOD($Y27,18),1,0)))</f>
      </c>
      <c r="AD27" t="e">
        <f>IF(OR(OR($A27="",$D27=""),J27=""),"",J27-(INT($Y27/18)+IF(INDEX('Tournament Setup'!$AH:$AH,MATCH($A27,'Tournament Setup'!$A:$A,0))&lt;=MOD($Y27,18),1,0)))</f>
      </c>
      <c r="AE27" t="e">
        <f>IF(OR(OR($A27="",$D27=""),K27=""),"",K27-(INT($Y27/18)+IF(INDEX('Tournament Setup'!$AI:$AI,MATCH($A27,'Tournament Setup'!$A:$A,0))&lt;=MOD($Y27,18),1,0)))</f>
      </c>
      <c r="AF27" t="e">
        <f>IF(OR(OR($A27="",$D27=""),L27=""),"",L27-(INT($Y27/18)+IF(INDEX('Tournament Setup'!$AJ:$AJ,MATCH($A27,'Tournament Setup'!$A:$A,0))&lt;=MOD($Y27,18),1,0)))</f>
      </c>
      <c r="AG27" t="e">
        <f>IF(OR(OR($A27="",$D27=""),M27=""),"",M27-(INT($Y27/18)+IF(INDEX('Tournament Setup'!$AK:$AK,MATCH($A27,'Tournament Setup'!$A:$A,0))&lt;=MOD($Y27,18),1,0)))</f>
      </c>
      <c r="AH27" t="e">
        <f>IF(OR(OR($A27="",$D27=""),N27=""),"",N27-(INT($Y27/18)+IF(INDEX('Tournament Setup'!$AL:$AL,MATCH($A27,'Tournament Setup'!$A:$A,0))&lt;=MOD($Y27,18),1,0)))</f>
      </c>
      <c r="AI27" t="e">
        <f>IF(OR(OR($A27="",$D27=""),O27=""),"",O27-(INT($Y27/18)+IF(INDEX('Tournament Setup'!$AM:$AM,MATCH($A27,'Tournament Setup'!$A:$A,0))&lt;=MOD($Y27,18),1,0)))</f>
      </c>
      <c r="AJ27" t="e">
        <f>IF(OR(OR($A27="",$D27=""),P27=""),"",P27-(INT($Y27/18)+IF(INDEX('Tournament Setup'!$AN:$AN,MATCH($A27,'Tournament Setup'!$A:$A,0))&lt;=MOD($Y27,18),1,0)))</f>
      </c>
      <c r="AK27" t="e">
        <f>IF(OR(OR($A27="",$D27=""),Q27=""),"",Q27-(INT($Y27/18)+IF(INDEX('Tournament Setup'!$AO:$AO,MATCH($A27,'Tournament Setup'!$A:$A,0))&lt;=MOD($Y27,18),1,0)))</f>
      </c>
      <c r="AL27" t="e">
        <f>IF(OR(OR($A27="",$D27=""),R27=""),"",R27-(INT($Y27/18)+IF(INDEX('Tournament Setup'!$AP:$AP,MATCH($A27,'Tournament Setup'!$A:$A,0))&lt;=MOD($Y27,18),1,0)))</f>
      </c>
      <c r="AM27" t="e">
        <f>IF(OR(OR($A27="",$D27=""),S27=""),"",S27-(INT($Y27/18)+IF(INDEX('Tournament Setup'!$AQ:$AQ,MATCH($A27,'Tournament Setup'!$A:$A,0))&lt;=MOD($Y27,18),1,0)))</f>
      </c>
      <c r="AN27" t="e">
        <f>IF(OR(OR($A27="",$D27=""),T27=""),"",T27-(INT($Y27/18)+IF(INDEX('Tournament Setup'!$AR:$AR,MATCH($A27,'Tournament Setup'!$A:$A,0))&lt;=MOD($Y27,18),1,0)))</f>
      </c>
      <c r="AO27" t="e">
        <f>IF(OR(OR($A27="",$D27=""),U27=""),"",U27-(INT($Y27/18)+IF(INDEX('Tournament Setup'!$AS:$AS,MATCH($A27,'Tournament Setup'!$A:$A,0))&lt;=MOD($Y27,18),1,0)))</f>
      </c>
      <c r="AP27" t="e">
        <f>IF(OR(OR($A27="",$D27=""),V27=""),"",V27-(INT($Y27/18)+IF(INDEX('Tournament Setup'!$AT:$AT,MATCH($A27,'Tournament Setup'!$A:$A,0))&lt;=MOD($Y27,18),1,0)))</f>
      </c>
      <c r="AQ27" t="e">
        <f>IF(OR(OR($A27="",$D27=""),W27=""),"",W27-(INT($Y27/18)+IF(INDEX('Tournament Setup'!$AU:$AU,MATCH($A27,'Tournament Setup'!$A:$A,0))&lt;=MOD($Y27,18),1,0)))</f>
      </c>
    </row>
    <row r="28">
      <c r="X28" t="e">
        <f>IF(OR($A28="",$D28=""),"",SUM(F28:W28))</f>
      </c>
      <c r="Y28" t="e">
        <f>IF(OR($A28="",$D28=""),"",IF(INDEX('Tournament Setup'!$F:$F,MATCH($A28,'Tournament Setup'!$A:$A,0))="Net",ROUND(($E28-_xlfn.MINIFS($E$2:$E$401,$A$2:$A$401,$A28,$B$2:$B$401,$B28))*INDEX('Tournament Setup'!$G:$G,MATCH($A28,'Tournament Setup'!$A:$A,0))/100,0),0))</f>
      </c>
      <c r="Z28" t="e">
        <f>IF(OR(OR($A28="",$D28=""),F28=""),"",F28-(INT($Y28/18)+IF(INDEX('Tournament Setup'!$AD:$AD,MATCH($A28,'Tournament Setup'!$A:$A,0))&lt;=MOD($Y28,18),1,0)))</f>
      </c>
      <c r="AA28" t="e">
        <f>IF(OR(OR($A28="",$D28=""),G28=""),"",G28-(INT($Y28/18)+IF(INDEX('Tournament Setup'!$AE:$AE,MATCH($A28,'Tournament Setup'!$A:$A,0))&lt;=MOD($Y28,18),1,0)))</f>
      </c>
      <c r="AB28" t="e">
        <f>IF(OR(OR($A28="",$D28=""),H28=""),"",H28-(INT($Y28/18)+IF(INDEX('Tournament Setup'!$AF:$AF,MATCH($A28,'Tournament Setup'!$A:$A,0))&lt;=MOD($Y28,18),1,0)))</f>
      </c>
      <c r="AC28" t="e">
        <f>IF(OR(OR($A28="",$D28=""),I28=""),"",I28-(INT($Y28/18)+IF(INDEX('Tournament Setup'!$AG:$AG,MATCH($A28,'Tournament Setup'!$A:$A,0))&lt;=MOD($Y28,18),1,0)))</f>
      </c>
      <c r="AD28" t="e">
        <f>IF(OR(OR($A28="",$D28=""),J28=""),"",J28-(INT($Y28/18)+IF(INDEX('Tournament Setup'!$AH:$AH,MATCH($A28,'Tournament Setup'!$A:$A,0))&lt;=MOD($Y28,18),1,0)))</f>
      </c>
      <c r="AE28" t="e">
        <f>IF(OR(OR($A28="",$D28=""),K28=""),"",K28-(INT($Y28/18)+IF(INDEX('Tournament Setup'!$AI:$AI,MATCH($A28,'Tournament Setup'!$A:$A,0))&lt;=MOD($Y28,18),1,0)))</f>
      </c>
      <c r="AF28" t="e">
        <f>IF(OR(OR($A28="",$D28=""),L28=""),"",L28-(INT($Y28/18)+IF(INDEX('Tournament Setup'!$AJ:$AJ,MATCH($A28,'Tournament Setup'!$A:$A,0))&lt;=MOD($Y28,18),1,0)))</f>
      </c>
      <c r="AG28" t="e">
        <f>IF(OR(OR($A28="",$D28=""),M28=""),"",M28-(INT($Y28/18)+IF(INDEX('Tournament Setup'!$AK:$AK,MATCH($A28,'Tournament Setup'!$A:$A,0))&lt;=MOD($Y28,18),1,0)))</f>
      </c>
      <c r="AH28" t="e">
        <f>IF(OR(OR($A28="",$D28=""),N28=""),"",N28-(INT($Y28/18)+IF(INDEX('Tournament Setup'!$AL:$AL,MATCH($A28,'Tournament Setup'!$A:$A,0))&lt;=MOD($Y28,18),1,0)))</f>
      </c>
      <c r="AI28" t="e">
        <f>IF(OR(OR($A28="",$D28=""),O28=""),"",O28-(INT($Y28/18)+IF(INDEX('Tournament Setup'!$AM:$AM,MATCH($A28,'Tournament Setup'!$A:$A,0))&lt;=MOD($Y28,18),1,0)))</f>
      </c>
      <c r="AJ28" t="e">
        <f>IF(OR(OR($A28="",$D28=""),P28=""),"",P28-(INT($Y28/18)+IF(INDEX('Tournament Setup'!$AN:$AN,MATCH($A28,'Tournament Setup'!$A:$A,0))&lt;=MOD($Y28,18),1,0)))</f>
      </c>
      <c r="AK28" t="e">
        <f>IF(OR(OR($A28="",$D28=""),Q28=""),"",Q28-(INT($Y28/18)+IF(INDEX('Tournament Setup'!$AO:$AO,MATCH($A28,'Tournament Setup'!$A:$A,0))&lt;=MOD($Y28,18),1,0)))</f>
      </c>
      <c r="AL28" t="e">
        <f>IF(OR(OR($A28="",$D28=""),R28=""),"",R28-(INT($Y28/18)+IF(INDEX('Tournament Setup'!$AP:$AP,MATCH($A28,'Tournament Setup'!$A:$A,0))&lt;=MOD($Y28,18),1,0)))</f>
      </c>
      <c r="AM28" t="e">
        <f>IF(OR(OR($A28="",$D28=""),S28=""),"",S28-(INT($Y28/18)+IF(INDEX('Tournament Setup'!$AQ:$AQ,MATCH($A28,'Tournament Setup'!$A:$A,0))&lt;=MOD($Y28,18),1,0)))</f>
      </c>
      <c r="AN28" t="e">
        <f>IF(OR(OR($A28="",$D28=""),T28=""),"",T28-(INT($Y28/18)+IF(INDEX('Tournament Setup'!$AR:$AR,MATCH($A28,'Tournament Setup'!$A:$A,0))&lt;=MOD($Y28,18),1,0)))</f>
      </c>
      <c r="AO28" t="e">
        <f>IF(OR(OR($A28="",$D28=""),U28=""),"",U28-(INT($Y28/18)+IF(INDEX('Tournament Setup'!$AS:$AS,MATCH($A28,'Tournament Setup'!$A:$A,0))&lt;=MOD($Y28,18),1,0)))</f>
      </c>
      <c r="AP28" t="e">
        <f>IF(OR(OR($A28="",$D28=""),V28=""),"",V28-(INT($Y28/18)+IF(INDEX('Tournament Setup'!$AT:$AT,MATCH($A28,'Tournament Setup'!$A:$A,0))&lt;=MOD($Y28,18),1,0)))</f>
      </c>
      <c r="AQ28" t="e">
        <f>IF(OR(OR($A28="",$D28=""),W28=""),"",W28-(INT($Y28/18)+IF(INDEX('Tournament Setup'!$AU:$AU,MATCH($A28,'Tournament Setup'!$A:$A,0))&lt;=MOD($Y28,18),1,0)))</f>
      </c>
    </row>
    <row r="29">
      <c r="X29" t="e">
        <f>IF(OR($A29="",$D29=""),"",SUM(F29:W29))</f>
      </c>
      <c r="Y29" t="e">
        <f>IF(OR($A29="",$D29=""),"",IF(INDEX('Tournament Setup'!$F:$F,MATCH($A29,'Tournament Setup'!$A:$A,0))="Net",ROUND(($E29-_xlfn.MINIFS($E$2:$E$401,$A$2:$A$401,$A29,$B$2:$B$401,$B29))*INDEX('Tournament Setup'!$G:$G,MATCH($A29,'Tournament Setup'!$A:$A,0))/100,0),0))</f>
      </c>
      <c r="Z29" t="e">
        <f>IF(OR(OR($A29="",$D29=""),F29=""),"",F29-(INT($Y29/18)+IF(INDEX('Tournament Setup'!$AD:$AD,MATCH($A29,'Tournament Setup'!$A:$A,0))&lt;=MOD($Y29,18),1,0)))</f>
      </c>
      <c r="AA29" t="e">
        <f>IF(OR(OR($A29="",$D29=""),G29=""),"",G29-(INT($Y29/18)+IF(INDEX('Tournament Setup'!$AE:$AE,MATCH($A29,'Tournament Setup'!$A:$A,0))&lt;=MOD($Y29,18),1,0)))</f>
      </c>
      <c r="AB29" t="e">
        <f>IF(OR(OR($A29="",$D29=""),H29=""),"",H29-(INT($Y29/18)+IF(INDEX('Tournament Setup'!$AF:$AF,MATCH($A29,'Tournament Setup'!$A:$A,0))&lt;=MOD($Y29,18),1,0)))</f>
      </c>
      <c r="AC29" t="e">
        <f>IF(OR(OR($A29="",$D29=""),I29=""),"",I29-(INT($Y29/18)+IF(INDEX('Tournament Setup'!$AG:$AG,MATCH($A29,'Tournament Setup'!$A:$A,0))&lt;=MOD($Y29,18),1,0)))</f>
      </c>
      <c r="AD29" t="e">
        <f>IF(OR(OR($A29="",$D29=""),J29=""),"",J29-(INT($Y29/18)+IF(INDEX('Tournament Setup'!$AH:$AH,MATCH($A29,'Tournament Setup'!$A:$A,0))&lt;=MOD($Y29,18),1,0)))</f>
      </c>
      <c r="AE29" t="e">
        <f>IF(OR(OR($A29="",$D29=""),K29=""),"",K29-(INT($Y29/18)+IF(INDEX('Tournament Setup'!$AI:$AI,MATCH($A29,'Tournament Setup'!$A:$A,0))&lt;=MOD($Y29,18),1,0)))</f>
      </c>
      <c r="AF29" t="e">
        <f>IF(OR(OR($A29="",$D29=""),L29=""),"",L29-(INT($Y29/18)+IF(INDEX('Tournament Setup'!$AJ:$AJ,MATCH($A29,'Tournament Setup'!$A:$A,0))&lt;=MOD($Y29,18),1,0)))</f>
      </c>
      <c r="AG29" t="e">
        <f>IF(OR(OR($A29="",$D29=""),M29=""),"",M29-(INT($Y29/18)+IF(INDEX('Tournament Setup'!$AK:$AK,MATCH($A29,'Tournament Setup'!$A:$A,0))&lt;=MOD($Y29,18),1,0)))</f>
      </c>
      <c r="AH29" t="e">
        <f>IF(OR(OR($A29="",$D29=""),N29=""),"",N29-(INT($Y29/18)+IF(INDEX('Tournament Setup'!$AL:$AL,MATCH($A29,'Tournament Setup'!$A:$A,0))&lt;=MOD($Y29,18),1,0)))</f>
      </c>
      <c r="AI29" t="e">
        <f>IF(OR(OR($A29="",$D29=""),O29=""),"",O29-(INT($Y29/18)+IF(INDEX('Tournament Setup'!$AM:$AM,MATCH($A29,'Tournament Setup'!$A:$A,0))&lt;=MOD($Y29,18),1,0)))</f>
      </c>
      <c r="AJ29" t="e">
        <f>IF(OR(OR($A29="",$D29=""),P29=""),"",P29-(INT($Y29/18)+IF(INDEX('Tournament Setup'!$AN:$AN,MATCH($A29,'Tournament Setup'!$A:$A,0))&lt;=MOD($Y29,18),1,0)))</f>
      </c>
      <c r="AK29" t="e">
        <f>IF(OR(OR($A29="",$D29=""),Q29=""),"",Q29-(INT($Y29/18)+IF(INDEX('Tournament Setup'!$AO:$AO,MATCH($A29,'Tournament Setup'!$A:$A,0))&lt;=MOD($Y29,18),1,0)))</f>
      </c>
      <c r="AL29" t="e">
        <f>IF(OR(OR($A29="",$D29=""),R29=""),"",R29-(INT($Y29/18)+IF(INDEX('Tournament Setup'!$AP:$AP,MATCH($A29,'Tournament Setup'!$A:$A,0))&lt;=MOD($Y29,18),1,0)))</f>
      </c>
      <c r="AM29" t="e">
        <f>IF(OR(OR($A29="",$D29=""),S29=""),"",S29-(INT($Y29/18)+IF(INDEX('Tournament Setup'!$AQ:$AQ,MATCH($A29,'Tournament Setup'!$A:$A,0))&lt;=MOD($Y29,18),1,0)))</f>
      </c>
      <c r="AN29" t="e">
        <f>IF(OR(OR($A29="",$D29=""),T29=""),"",T29-(INT($Y29/18)+IF(INDEX('Tournament Setup'!$AR:$AR,MATCH($A29,'Tournament Setup'!$A:$A,0))&lt;=MOD($Y29,18),1,0)))</f>
      </c>
      <c r="AO29" t="e">
        <f>IF(OR(OR($A29="",$D29=""),U29=""),"",U29-(INT($Y29/18)+IF(INDEX('Tournament Setup'!$AS:$AS,MATCH($A29,'Tournament Setup'!$A:$A,0))&lt;=MOD($Y29,18),1,0)))</f>
      </c>
      <c r="AP29" t="e">
        <f>IF(OR(OR($A29="",$D29=""),V29=""),"",V29-(INT($Y29/18)+IF(INDEX('Tournament Setup'!$AT:$AT,MATCH($A29,'Tournament Setup'!$A:$A,0))&lt;=MOD($Y29,18),1,0)))</f>
      </c>
      <c r="AQ29" t="e">
        <f>IF(OR(OR($A29="",$D29=""),W29=""),"",W29-(INT($Y29/18)+IF(INDEX('Tournament Setup'!$AU:$AU,MATCH($A29,'Tournament Setup'!$A:$A,0))&lt;=MOD($Y29,18),1,0)))</f>
      </c>
    </row>
    <row r="30">
      <c r="X30" t="e">
        <f>IF(OR($A30="",$D30=""),"",SUM(F30:W30))</f>
      </c>
      <c r="Y30" t="e">
        <f>IF(OR($A30="",$D30=""),"",IF(INDEX('Tournament Setup'!$F:$F,MATCH($A30,'Tournament Setup'!$A:$A,0))="Net",ROUND(($E30-_xlfn.MINIFS($E$2:$E$401,$A$2:$A$401,$A30,$B$2:$B$401,$B30))*INDEX('Tournament Setup'!$G:$G,MATCH($A30,'Tournament Setup'!$A:$A,0))/100,0),0))</f>
      </c>
      <c r="Z30" t="e">
        <f>IF(OR(OR($A30="",$D30=""),F30=""),"",F30-(INT($Y30/18)+IF(INDEX('Tournament Setup'!$AD:$AD,MATCH($A30,'Tournament Setup'!$A:$A,0))&lt;=MOD($Y30,18),1,0)))</f>
      </c>
      <c r="AA30" t="e">
        <f>IF(OR(OR($A30="",$D30=""),G30=""),"",G30-(INT($Y30/18)+IF(INDEX('Tournament Setup'!$AE:$AE,MATCH($A30,'Tournament Setup'!$A:$A,0))&lt;=MOD($Y30,18),1,0)))</f>
      </c>
      <c r="AB30" t="e">
        <f>IF(OR(OR($A30="",$D30=""),H30=""),"",H30-(INT($Y30/18)+IF(INDEX('Tournament Setup'!$AF:$AF,MATCH($A30,'Tournament Setup'!$A:$A,0))&lt;=MOD($Y30,18),1,0)))</f>
      </c>
      <c r="AC30" t="e">
        <f>IF(OR(OR($A30="",$D30=""),I30=""),"",I30-(INT($Y30/18)+IF(INDEX('Tournament Setup'!$AG:$AG,MATCH($A30,'Tournament Setup'!$A:$A,0))&lt;=MOD($Y30,18),1,0)))</f>
      </c>
      <c r="AD30" t="e">
        <f>IF(OR(OR($A30="",$D30=""),J30=""),"",J30-(INT($Y30/18)+IF(INDEX('Tournament Setup'!$AH:$AH,MATCH($A30,'Tournament Setup'!$A:$A,0))&lt;=MOD($Y30,18),1,0)))</f>
      </c>
      <c r="AE30" t="e">
        <f>IF(OR(OR($A30="",$D30=""),K30=""),"",K30-(INT($Y30/18)+IF(INDEX('Tournament Setup'!$AI:$AI,MATCH($A30,'Tournament Setup'!$A:$A,0))&lt;=MOD($Y30,18),1,0)))</f>
      </c>
      <c r="AF30" t="e">
        <f>IF(OR(OR($A30="",$D30=""),L30=""),"",L30-(INT($Y30/18)+IF(INDEX('Tournament Setup'!$AJ:$AJ,MATCH($A30,'Tournament Setup'!$A:$A,0))&lt;=MOD($Y30,18),1,0)))</f>
      </c>
      <c r="AG30" t="e">
        <f>IF(OR(OR($A30="",$D30=""),M30=""),"",M30-(INT($Y30/18)+IF(INDEX('Tournament Setup'!$AK:$AK,MATCH($A30,'Tournament Setup'!$A:$A,0))&lt;=MOD($Y30,18),1,0)))</f>
      </c>
      <c r="AH30" t="e">
        <f>IF(OR(OR($A30="",$D30=""),N30=""),"",N30-(INT($Y30/18)+IF(INDEX('Tournament Setup'!$AL:$AL,MATCH($A30,'Tournament Setup'!$A:$A,0))&lt;=MOD($Y30,18),1,0)))</f>
      </c>
      <c r="AI30" t="e">
        <f>IF(OR(OR($A30="",$D30=""),O30=""),"",O30-(INT($Y30/18)+IF(INDEX('Tournament Setup'!$AM:$AM,MATCH($A30,'Tournament Setup'!$A:$A,0))&lt;=MOD($Y30,18),1,0)))</f>
      </c>
      <c r="AJ30" t="e">
        <f>IF(OR(OR($A30="",$D30=""),P30=""),"",P30-(INT($Y30/18)+IF(INDEX('Tournament Setup'!$AN:$AN,MATCH($A30,'Tournament Setup'!$A:$A,0))&lt;=MOD($Y30,18),1,0)))</f>
      </c>
      <c r="AK30" t="e">
        <f>IF(OR(OR($A30="",$D30=""),Q30=""),"",Q30-(INT($Y30/18)+IF(INDEX('Tournament Setup'!$AO:$AO,MATCH($A30,'Tournament Setup'!$A:$A,0))&lt;=MOD($Y30,18),1,0)))</f>
      </c>
      <c r="AL30" t="e">
        <f>IF(OR(OR($A30="",$D30=""),R30=""),"",R30-(INT($Y30/18)+IF(INDEX('Tournament Setup'!$AP:$AP,MATCH($A30,'Tournament Setup'!$A:$A,0))&lt;=MOD($Y30,18),1,0)))</f>
      </c>
      <c r="AM30" t="e">
        <f>IF(OR(OR($A30="",$D30=""),S30=""),"",S30-(INT($Y30/18)+IF(INDEX('Tournament Setup'!$AQ:$AQ,MATCH($A30,'Tournament Setup'!$A:$A,0))&lt;=MOD($Y30,18),1,0)))</f>
      </c>
      <c r="AN30" t="e">
        <f>IF(OR(OR($A30="",$D30=""),T30=""),"",T30-(INT($Y30/18)+IF(INDEX('Tournament Setup'!$AR:$AR,MATCH($A30,'Tournament Setup'!$A:$A,0))&lt;=MOD($Y30,18),1,0)))</f>
      </c>
      <c r="AO30" t="e">
        <f>IF(OR(OR($A30="",$D30=""),U30=""),"",U30-(INT($Y30/18)+IF(INDEX('Tournament Setup'!$AS:$AS,MATCH($A30,'Tournament Setup'!$A:$A,0))&lt;=MOD($Y30,18),1,0)))</f>
      </c>
      <c r="AP30" t="e">
        <f>IF(OR(OR($A30="",$D30=""),V30=""),"",V30-(INT($Y30/18)+IF(INDEX('Tournament Setup'!$AT:$AT,MATCH($A30,'Tournament Setup'!$A:$A,0))&lt;=MOD($Y30,18),1,0)))</f>
      </c>
      <c r="AQ30" t="e">
        <f>IF(OR(OR($A30="",$D30=""),W30=""),"",W30-(INT($Y30/18)+IF(INDEX('Tournament Setup'!$AU:$AU,MATCH($A30,'Tournament Setup'!$A:$A,0))&lt;=MOD($Y30,18),1,0)))</f>
      </c>
    </row>
    <row r="31">
      <c r="X31" t="e">
        <f>IF(OR($A31="",$D31=""),"",SUM(F31:W31))</f>
      </c>
      <c r="Y31" t="e">
        <f>IF(OR($A31="",$D31=""),"",IF(INDEX('Tournament Setup'!$F:$F,MATCH($A31,'Tournament Setup'!$A:$A,0))="Net",ROUND(($E31-_xlfn.MINIFS($E$2:$E$401,$A$2:$A$401,$A31,$B$2:$B$401,$B31))*INDEX('Tournament Setup'!$G:$G,MATCH($A31,'Tournament Setup'!$A:$A,0))/100,0),0))</f>
      </c>
      <c r="Z31" t="e">
        <f>IF(OR(OR($A31="",$D31=""),F31=""),"",F31-(INT($Y31/18)+IF(INDEX('Tournament Setup'!$AD:$AD,MATCH($A31,'Tournament Setup'!$A:$A,0))&lt;=MOD($Y31,18),1,0)))</f>
      </c>
      <c r="AA31" t="e">
        <f>IF(OR(OR($A31="",$D31=""),G31=""),"",G31-(INT($Y31/18)+IF(INDEX('Tournament Setup'!$AE:$AE,MATCH($A31,'Tournament Setup'!$A:$A,0))&lt;=MOD($Y31,18),1,0)))</f>
      </c>
      <c r="AB31" t="e">
        <f>IF(OR(OR($A31="",$D31=""),H31=""),"",H31-(INT($Y31/18)+IF(INDEX('Tournament Setup'!$AF:$AF,MATCH($A31,'Tournament Setup'!$A:$A,0))&lt;=MOD($Y31,18),1,0)))</f>
      </c>
      <c r="AC31" t="e">
        <f>IF(OR(OR($A31="",$D31=""),I31=""),"",I31-(INT($Y31/18)+IF(INDEX('Tournament Setup'!$AG:$AG,MATCH($A31,'Tournament Setup'!$A:$A,0))&lt;=MOD($Y31,18),1,0)))</f>
      </c>
      <c r="AD31" t="e">
        <f>IF(OR(OR($A31="",$D31=""),J31=""),"",J31-(INT($Y31/18)+IF(INDEX('Tournament Setup'!$AH:$AH,MATCH($A31,'Tournament Setup'!$A:$A,0))&lt;=MOD($Y31,18),1,0)))</f>
      </c>
      <c r="AE31" t="e">
        <f>IF(OR(OR($A31="",$D31=""),K31=""),"",K31-(INT($Y31/18)+IF(INDEX('Tournament Setup'!$AI:$AI,MATCH($A31,'Tournament Setup'!$A:$A,0))&lt;=MOD($Y31,18),1,0)))</f>
      </c>
      <c r="AF31" t="e">
        <f>IF(OR(OR($A31="",$D31=""),L31=""),"",L31-(INT($Y31/18)+IF(INDEX('Tournament Setup'!$AJ:$AJ,MATCH($A31,'Tournament Setup'!$A:$A,0))&lt;=MOD($Y31,18),1,0)))</f>
      </c>
      <c r="AG31" t="e">
        <f>IF(OR(OR($A31="",$D31=""),M31=""),"",M31-(INT($Y31/18)+IF(INDEX('Tournament Setup'!$AK:$AK,MATCH($A31,'Tournament Setup'!$A:$A,0))&lt;=MOD($Y31,18),1,0)))</f>
      </c>
      <c r="AH31" t="e">
        <f>IF(OR(OR($A31="",$D31=""),N31=""),"",N31-(INT($Y31/18)+IF(INDEX('Tournament Setup'!$AL:$AL,MATCH($A31,'Tournament Setup'!$A:$A,0))&lt;=MOD($Y31,18),1,0)))</f>
      </c>
      <c r="AI31" t="e">
        <f>IF(OR(OR($A31="",$D31=""),O31=""),"",O31-(INT($Y31/18)+IF(INDEX('Tournament Setup'!$AM:$AM,MATCH($A31,'Tournament Setup'!$A:$A,0))&lt;=MOD($Y31,18),1,0)))</f>
      </c>
      <c r="AJ31" t="e">
        <f>IF(OR(OR($A31="",$D31=""),P31=""),"",P31-(INT($Y31/18)+IF(INDEX('Tournament Setup'!$AN:$AN,MATCH($A31,'Tournament Setup'!$A:$A,0))&lt;=MOD($Y31,18),1,0)))</f>
      </c>
      <c r="AK31" t="e">
        <f>IF(OR(OR($A31="",$D31=""),Q31=""),"",Q31-(INT($Y31/18)+IF(INDEX('Tournament Setup'!$AO:$AO,MATCH($A31,'Tournament Setup'!$A:$A,0))&lt;=MOD($Y31,18),1,0)))</f>
      </c>
      <c r="AL31" t="e">
        <f>IF(OR(OR($A31="",$D31=""),R31=""),"",R31-(INT($Y31/18)+IF(INDEX('Tournament Setup'!$AP:$AP,MATCH($A31,'Tournament Setup'!$A:$A,0))&lt;=MOD($Y31,18),1,0)))</f>
      </c>
      <c r="AM31" t="e">
        <f>IF(OR(OR($A31="",$D31=""),S31=""),"",S31-(INT($Y31/18)+IF(INDEX('Tournament Setup'!$AQ:$AQ,MATCH($A31,'Tournament Setup'!$A:$A,0))&lt;=MOD($Y31,18),1,0)))</f>
      </c>
      <c r="AN31" t="e">
        <f>IF(OR(OR($A31="",$D31=""),T31=""),"",T31-(INT($Y31/18)+IF(INDEX('Tournament Setup'!$AR:$AR,MATCH($A31,'Tournament Setup'!$A:$A,0))&lt;=MOD($Y31,18),1,0)))</f>
      </c>
      <c r="AO31" t="e">
        <f>IF(OR(OR($A31="",$D31=""),U31=""),"",U31-(INT($Y31/18)+IF(INDEX('Tournament Setup'!$AS:$AS,MATCH($A31,'Tournament Setup'!$A:$A,0))&lt;=MOD($Y31,18),1,0)))</f>
      </c>
      <c r="AP31" t="e">
        <f>IF(OR(OR($A31="",$D31=""),V31=""),"",V31-(INT($Y31/18)+IF(INDEX('Tournament Setup'!$AT:$AT,MATCH($A31,'Tournament Setup'!$A:$A,0))&lt;=MOD($Y31,18),1,0)))</f>
      </c>
      <c r="AQ31" t="e">
        <f>IF(OR(OR($A31="",$D31=""),W31=""),"",W31-(INT($Y31/18)+IF(INDEX('Tournament Setup'!$AU:$AU,MATCH($A31,'Tournament Setup'!$A:$A,0))&lt;=MOD($Y31,18),1,0)))</f>
      </c>
    </row>
    <row r="32">
      <c r="X32" t="e">
        <f>IF(OR($A32="",$D32=""),"",SUM(F32:W32))</f>
      </c>
      <c r="Y32" t="e">
        <f>IF(OR($A32="",$D32=""),"",IF(INDEX('Tournament Setup'!$F:$F,MATCH($A32,'Tournament Setup'!$A:$A,0))="Net",ROUND(($E32-_xlfn.MINIFS($E$2:$E$401,$A$2:$A$401,$A32,$B$2:$B$401,$B32))*INDEX('Tournament Setup'!$G:$G,MATCH($A32,'Tournament Setup'!$A:$A,0))/100,0),0))</f>
      </c>
      <c r="Z32" t="e">
        <f>IF(OR(OR($A32="",$D32=""),F32=""),"",F32-(INT($Y32/18)+IF(INDEX('Tournament Setup'!$AD:$AD,MATCH($A32,'Tournament Setup'!$A:$A,0))&lt;=MOD($Y32,18),1,0)))</f>
      </c>
      <c r="AA32" t="e">
        <f>IF(OR(OR($A32="",$D32=""),G32=""),"",G32-(INT($Y32/18)+IF(INDEX('Tournament Setup'!$AE:$AE,MATCH($A32,'Tournament Setup'!$A:$A,0))&lt;=MOD($Y32,18),1,0)))</f>
      </c>
      <c r="AB32" t="e">
        <f>IF(OR(OR($A32="",$D32=""),H32=""),"",H32-(INT($Y32/18)+IF(INDEX('Tournament Setup'!$AF:$AF,MATCH($A32,'Tournament Setup'!$A:$A,0))&lt;=MOD($Y32,18),1,0)))</f>
      </c>
      <c r="AC32" t="e">
        <f>IF(OR(OR($A32="",$D32=""),I32=""),"",I32-(INT($Y32/18)+IF(INDEX('Tournament Setup'!$AG:$AG,MATCH($A32,'Tournament Setup'!$A:$A,0))&lt;=MOD($Y32,18),1,0)))</f>
      </c>
      <c r="AD32" t="e">
        <f>IF(OR(OR($A32="",$D32=""),J32=""),"",J32-(INT($Y32/18)+IF(INDEX('Tournament Setup'!$AH:$AH,MATCH($A32,'Tournament Setup'!$A:$A,0))&lt;=MOD($Y32,18),1,0)))</f>
      </c>
      <c r="AE32" t="e">
        <f>IF(OR(OR($A32="",$D32=""),K32=""),"",K32-(INT($Y32/18)+IF(INDEX('Tournament Setup'!$AI:$AI,MATCH($A32,'Tournament Setup'!$A:$A,0))&lt;=MOD($Y32,18),1,0)))</f>
      </c>
      <c r="AF32" t="e">
        <f>IF(OR(OR($A32="",$D32=""),L32=""),"",L32-(INT($Y32/18)+IF(INDEX('Tournament Setup'!$AJ:$AJ,MATCH($A32,'Tournament Setup'!$A:$A,0))&lt;=MOD($Y32,18),1,0)))</f>
      </c>
      <c r="AG32" t="e">
        <f>IF(OR(OR($A32="",$D32=""),M32=""),"",M32-(INT($Y32/18)+IF(INDEX('Tournament Setup'!$AK:$AK,MATCH($A32,'Tournament Setup'!$A:$A,0))&lt;=MOD($Y32,18),1,0)))</f>
      </c>
      <c r="AH32" t="e">
        <f>IF(OR(OR($A32="",$D32=""),N32=""),"",N32-(INT($Y32/18)+IF(INDEX('Tournament Setup'!$AL:$AL,MATCH($A32,'Tournament Setup'!$A:$A,0))&lt;=MOD($Y32,18),1,0)))</f>
      </c>
      <c r="AI32" t="e">
        <f>IF(OR(OR($A32="",$D32=""),O32=""),"",O32-(INT($Y32/18)+IF(INDEX('Tournament Setup'!$AM:$AM,MATCH($A32,'Tournament Setup'!$A:$A,0))&lt;=MOD($Y32,18),1,0)))</f>
      </c>
      <c r="AJ32" t="e">
        <f>IF(OR(OR($A32="",$D32=""),P32=""),"",P32-(INT($Y32/18)+IF(INDEX('Tournament Setup'!$AN:$AN,MATCH($A32,'Tournament Setup'!$A:$A,0))&lt;=MOD($Y32,18),1,0)))</f>
      </c>
      <c r="AK32" t="e">
        <f>IF(OR(OR($A32="",$D32=""),Q32=""),"",Q32-(INT($Y32/18)+IF(INDEX('Tournament Setup'!$AO:$AO,MATCH($A32,'Tournament Setup'!$A:$A,0))&lt;=MOD($Y32,18),1,0)))</f>
      </c>
      <c r="AL32" t="e">
        <f>IF(OR(OR($A32="",$D32=""),R32=""),"",R32-(INT($Y32/18)+IF(INDEX('Tournament Setup'!$AP:$AP,MATCH($A32,'Tournament Setup'!$A:$A,0))&lt;=MOD($Y32,18),1,0)))</f>
      </c>
      <c r="AM32" t="e">
        <f>IF(OR(OR($A32="",$D32=""),S32=""),"",S32-(INT($Y32/18)+IF(INDEX('Tournament Setup'!$AQ:$AQ,MATCH($A32,'Tournament Setup'!$A:$A,0))&lt;=MOD($Y32,18),1,0)))</f>
      </c>
      <c r="AN32" t="e">
        <f>IF(OR(OR($A32="",$D32=""),T32=""),"",T32-(INT($Y32/18)+IF(INDEX('Tournament Setup'!$AR:$AR,MATCH($A32,'Tournament Setup'!$A:$A,0))&lt;=MOD($Y32,18),1,0)))</f>
      </c>
      <c r="AO32" t="e">
        <f>IF(OR(OR($A32="",$D32=""),U32=""),"",U32-(INT($Y32/18)+IF(INDEX('Tournament Setup'!$AS:$AS,MATCH($A32,'Tournament Setup'!$A:$A,0))&lt;=MOD($Y32,18),1,0)))</f>
      </c>
      <c r="AP32" t="e">
        <f>IF(OR(OR($A32="",$D32=""),V32=""),"",V32-(INT($Y32/18)+IF(INDEX('Tournament Setup'!$AT:$AT,MATCH($A32,'Tournament Setup'!$A:$A,0))&lt;=MOD($Y32,18),1,0)))</f>
      </c>
      <c r="AQ32" t="e">
        <f>IF(OR(OR($A32="",$D32=""),W32=""),"",W32-(INT($Y32/18)+IF(INDEX('Tournament Setup'!$AU:$AU,MATCH($A32,'Tournament Setup'!$A:$A,0))&lt;=MOD($Y32,18),1,0)))</f>
      </c>
    </row>
    <row r="33">
      <c r="X33" t="e">
        <f>IF(OR($A33="",$D33=""),"",SUM(F33:W33))</f>
      </c>
      <c r="Y33" t="e">
        <f>IF(OR($A33="",$D33=""),"",IF(INDEX('Tournament Setup'!$F:$F,MATCH($A33,'Tournament Setup'!$A:$A,0))="Net",ROUND(($E33-_xlfn.MINIFS($E$2:$E$401,$A$2:$A$401,$A33,$B$2:$B$401,$B33))*INDEX('Tournament Setup'!$G:$G,MATCH($A33,'Tournament Setup'!$A:$A,0))/100,0),0))</f>
      </c>
      <c r="Z33" t="e">
        <f>IF(OR(OR($A33="",$D33=""),F33=""),"",F33-(INT($Y33/18)+IF(INDEX('Tournament Setup'!$AD:$AD,MATCH($A33,'Tournament Setup'!$A:$A,0))&lt;=MOD($Y33,18),1,0)))</f>
      </c>
      <c r="AA33" t="e">
        <f>IF(OR(OR($A33="",$D33=""),G33=""),"",G33-(INT($Y33/18)+IF(INDEX('Tournament Setup'!$AE:$AE,MATCH($A33,'Tournament Setup'!$A:$A,0))&lt;=MOD($Y33,18),1,0)))</f>
      </c>
      <c r="AB33" t="e">
        <f>IF(OR(OR($A33="",$D33=""),H33=""),"",H33-(INT($Y33/18)+IF(INDEX('Tournament Setup'!$AF:$AF,MATCH($A33,'Tournament Setup'!$A:$A,0))&lt;=MOD($Y33,18),1,0)))</f>
      </c>
      <c r="AC33" t="e">
        <f>IF(OR(OR($A33="",$D33=""),I33=""),"",I33-(INT($Y33/18)+IF(INDEX('Tournament Setup'!$AG:$AG,MATCH($A33,'Tournament Setup'!$A:$A,0))&lt;=MOD($Y33,18),1,0)))</f>
      </c>
      <c r="AD33" t="e">
        <f>IF(OR(OR($A33="",$D33=""),J33=""),"",J33-(INT($Y33/18)+IF(INDEX('Tournament Setup'!$AH:$AH,MATCH($A33,'Tournament Setup'!$A:$A,0))&lt;=MOD($Y33,18),1,0)))</f>
      </c>
      <c r="AE33" t="e">
        <f>IF(OR(OR($A33="",$D33=""),K33=""),"",K33-(INT($Y33/18)+IF(INDEX('Tournament Setup'!$AI:$AI,MATCH($A33,'Tournament Setup'!$A:$A,0))&lt;=MOD($Y33,18),1,0)))</f>
      </c>
      <c r="AF33" t="e">
        <f>IF(OR(OR($A33="",$D33=""),L33=""),"",L33-(INT($Y33/18)+IF(INDEX('Tournament Setup'!$AJ:$AJ,MATCH($A33,'Tournament Setup'!$A:$A,0))&lt;=MOD($Y33,18),1,0)))</f>
      </c>
      <c r="AG33" t="e">
        <f>IF(OR(OR($A33="",$D33=""),M33=""),"",M33-(INT($Y33/18)+IF(INDEX('Tournament Setup'!$AK:$AK,MATCH($A33,'Tournament Setup'!$A:$A,0))&lt;=MOD($Y33,18),1,0)))</f>
      </c>
      <c r="AH33" t="e">
        <f>IF(OR(OR($A33="",$D33=""),N33=""),"",N33-(INT($Y33/18)+IF(INDEX('Tournament Setup'!$AL:$AL,MATCH($A33,'Tournament Setup'!$A:$A,0))&lt;=MOD($Y33,18),1,0)))</f>
      </c>
      <c r="AI33" t="e">
        <f>IF(OR(OR($A33="",$D33=""),O33=""),"",O33-(INT($Y33/18)+IF(INDEX('Tournament Setup'!$AM:$AM,MATCH($A33,'Tournament Setup'!$A:$A,0))&lt;=MOD($Y33,18),1,0)))</f>
      </c>
      <c r="AJ33" t="e">
        <f>IF(OR(OR($A33="",$D33=""),P33=""),"",P33-(INT($Y33/18)+IF(INDEX('Tournament Setup'!$AN:$AN,MATCH($A33,'Tournament Setup'!$A:$A,0))&lt;=MOD($Y33,18),1,0)))</f>
      </c>
      <c r="AK33" t="e">
        <f>IF(OR(OR($A33="",$D33=""),Q33=""),"",Q33-(INT($Y33/18)+IF(INDEX('Tournament Setup'!$AO:$AO,MATCH($A33,'Tournament Setup'!$A:$A,0))&lt;=MOD($Y33,18),1,0)))</f>
      </c>
      <c r="AL33" t="e">
        <f>IF(OR(OR($A33="",$D33=""),R33=""),"",R33-(INT($Y33/18)+IF(INDEX('Tournament Setup'!$AP:$AP,MATCH($A33,'Tournament Setup'!$A:$A,0))&lt;=MOD($Y33,18),1,0)))</f>
      </c>
      <c r="AM33" t="e">
        <f>IF(OR(OR($A33="",$D33=""),S33=""),"",S33-(INT($Y33/18)+IF(INDEX('Tournament Setup'!$AQ:$AQ,MATCH($A33,'Tournament Setup'!$A:$A,0))&lt;=MOD($Y33,18),1,0)))</f>
      </c>
      <c r="AN33" t="e">
        <f>IF(OR(OR($A33="",$D33=""),T33=""),"",T33-(INT($Y33/18)+IF(INDEX('Tournament Setup'!$AR:$AR,MATCH($A33,'Tournament Setup'!$A:$A,0))&lt;=MOD($Y33,18),1,0)))</f>
      </c>
      <c r="AO33" t="e">
        <f>IF(OR(OR($A33="",$D33=""),U33=""),"",U33-(INT($Y33/18)+IF(INDEX('Tournament Setup'!$AS:$AS,MATCH($A33,'Tournament Setup'!$A:$A,0))&lt;=MOD($Y33,18),1,0)))</f>
      </c>
      <c r="AP33" t="e">
        <f>IF(OR(OR($A33="",$D33=""),V33=""),"",V33-(INT($Y33/18)+IF(INDEX('Tournament Setup'!$AT:$AT,MATCH($A33,'Tournament Setup'!$A:$A,0))&lt;=MOD($Y33,18),1,0)))</f>
      </c>
      <c r="AQ33" t="e">
        <f>IF(OR(OR($A33="",$D33=""),W33=""),"",W33-(INT($Y33/18)+IF(INDEX('Tournament Setup'!$AU:$AU,MATCH($A33,'Tournament Setup'!$A:$A,0))&lt;=MOD($Y33,18),1,0)))</f>
      </c>
    </row>
    <row r="34">
      <c r="X34" t="e">
        <f>IF(OR($A34="",$D34=""),"",SUM(F34:W34))</f>
      </c>
      <c r="Y34" t="e">
        <f>IF(OR($A34="",$D34=""),"",IF(INDEX('Tournament Setup'!$F:$F,MATCH($A34,'Tournament Setup'!$A:$A,0))="Net",ROUND(($E34-_xlfn.MINIFS($E$2:$E$401,$A$2:$A$401,$A34,$B$2:$B$401,$B34))*INDEX('Tournament Setup'!$G:$G,MATCH($A34,'Tournament Setup'!$A:$A,0))/100,0),0))</f>
      </c>
      <c r="Z34" t="e">
        <f>IF(OR(OR($A34="",$D34=""),F34=""),"",F34-(INT($Y34/18)+IF(INDEX('Tournament Setup'!$AD:$AD,MATCH($A34,'Tournament Setup'!$A:$A,0))&lt;=MOD($Y34,18),1,0)))</f>
      </c>
      <c r="AA34" t="e">
        <f>IF(OR(OR($A34="",$D34=""),G34=""),"",G34-(INT($Y34/18)+IF(INDEX('Tournament Setup'!$AE:$AE,MATCH($A34,'Tournament Setup'!$A:$A,0))&lt;=MOD($Y34,18),1,0)))</f>
      </c>
      <c r="AB34" t="e">
        <f>IF(OR(OR($A34="",$D34=""),H34=""),"",H34-(INT($Y34/18)+IF(INDEX('Tournament Setup'!$AF:$AF,MATCH($A34,'Tournament Setup'!$A:$A,0))&lt;=MOD($Y34,18),1,0)))</f>
      </c>
      <c r="AC34" t="e">
        <f>IF(OR(OR($A34="",$D34=""),I34=""),"",I34-(INT($Y34/18)+IF(INDEX('Tournament Setup'!$AG:$AG,MATCH($A34,'Tournament Setup'!$A:$A,0))&lt;=MOD($Y34,18),1,0)))</f>
      </c>
      <c r="AD34" t="e">
        <f>IF(OR(OR($A34="",$D34=""),J34=""),"",J34-(INT($Y34/18)+IF(INDEX('Tournament Setup'!$AH:$AH,MATCH($A34,'Tournament Setup'!$A:$A,0))&lt;=MOD($Y34,18),1,0)))</f>
      </c>
      <c r="AE34" t="e">
        <f>IF(OR(OR($A34="",$D34=""),K34=""),"",K34-(INT($Y34/18)+IF(INDEX('Tournament Setup'!$AI:$AI,MATCH($A34,'Tournament Setup'!$A:$A,0))&lt;=MOD($Y34,18),1,0)))</f>
      </c>
      <c r="AF34" t="e">
        <f>IF(OR(OR($A34="",$D34=""),L34=""),"",L34-(INT($Y34/18)+IF(INDEX('Tournament Setup'!$AJ:$AJ,MATCH($A34,'Tournament Setup'!$A:$A,0))&lt;=MOD($Y34,18),1,0)))</f>
      </c>
      <c r="AG34" t="e">
        <f>IF(OR(OR($A34="",$D34=""),M34=""),"",M34-(INT($Y34/18)+IF(INDEX('Tournament Setup'!$AK:$AK,MATCH($A34,'Tournament Setup'!$A:$A,0))&lt;=MOD($Y34,18),1,0)))</f>
      </c>
      <c r="AH34" t="e">
        <f>IF(OR(OR($A34="",$D34=""),N34=""),"",N34-(INT($Y34/18)+IF(INDEX('Tournament Setup'!$AL:$AL,MATCH($A34,'Tournament Setup'!$A:$A,0))&lt;=MOD($Y34,18),1,0)))</f>
      </c>
      <c r="AI34" t="e">
        <f>IF(OR(OR($A34="",$D34=""),O34=""),"",O34-(INT($Y34/18)+IF(INDEX('Tournament Setup'!$AM:$AM,MATCH($A34,'Tournament Setup'!$A:$A,0))&lt;=MOD($Y34,18),1,0)))</f>
      </c>
      <c r="AJ34" t="e">
        <f>IF(OR(OR($A34="",$D34=""),P34=""),"",P34-(INT($Y34/18)+IF(INDEX('Tournament Setup'!$AN:$AN,MATCH($A34,'Tournament Setup'!$A:$A,0))&lt;=MOD($Y34,18),1,0)))</f>
      </c>
      <c r="AK34" t="e">
        <f>IF(OR(OR($A34="",$D34=""),Q34=""),"",Q34-(INT($Y34/18)+IF(INDEX('Tournament Setup'!$AO:$AO,MATCH($A34,'Tournament Setup'!$A:$A,0))&lt;=MOD($Y34,18),1,0)))</f>
      </c>
      <c r="AL34" t="e">
        <f>IF(OR(OR($A34="",$D34=""),R34=""),"",R34-(INT($Y34/18)+IF(INDEX('Tournament Setup'!$AP:$AP,MATCH($A34,'Tournament Setup'!$A:$A,0))&lt;=MOD($Y34,18),1,0)))</f>
      </c>
      <c r="AM34" t="e">
        <f>IF(OR(OR($A34="",$D34=""),S34=""),"",S34-(INT($Y34/18)+IF(INDEX('Tournament Setup'!$AQ:$AQ,MATCH($A34,'Tournament Setup'!$A:$A,0))&lt;=MOD($Y34,18),1,0)))</f>
      </c>
      <c r="AN34" t="e">
        <f>IF(OR(OR($A34="",$D34=""),T34=""),"",T34-(INT($Y34/18)+IF(INDEX('Tournament Setup'!$AR:$AR,MATCH($A34,'Tournament Setup'!$A:$A,0))&lt;=MOD($Y34,18),1,0)))</f>
      </c>
      <c r="AO34" t="e">
        <f>IF(OR(OR($A34="",$D34=""),U34=""),"",U34-(INT($Y34/18)+IF(INDEX('Tournament Setup'!$AS:$AS,MATCH($A34,'Tournament Setup'!$A:$A,0))&lt;=MOD($Y34,18),1,0)))</f>
      </c>
      <c r="AP34" t="e">
        <f>IF(OR(OR($A34="",$D34=""),V34=""),"",V34-(INT($Y34/18)+IF(INDEX('Tournament Setup'!$AT:$AT,MATCH($A34,'Tournament Setup'!$A:$A,0))&lt;=MOD($Y34,18),1,0)))</f>
      </c>
      <c r="AQ34" t="e">
        <f>IF(OR(OR($A34="",$D34=""),W34=""),"",W34-(INT($Y34/18)+IF(INDEX('Tournament Setup'!$AU:$AU,MATCH($A34,'Tournament Setup'!$A:$A,0))&lt;=MOD($Y34,18),1,0)))</f>
      </c>
    </row>
    <row r="35">
      <c r="X35" t="e">
        <f>IF(OR($A35="",$D35=""),"",SUM(F35:W35))</f>
      </c>
      <c r="Y35" t="e">
        <f>IF(OR($A35="",$D35=""),"",IF(INDEX('Tournament Setup'!$F:$F,MATCH($A35,'Tournament Setup'!$A:$A,0))="Net",ROUND(($E35-_xlfn.MINIFS($E$2:$E$401,$A$2:$A$401,$A35,$B$2:$B$401,$B35))*INDEX('Tournament Setup'!$G:$G,MATCH($A35,'Tournament Setup'!$A:$A,0))/100,0),0))</f>
      </c>
      <c r="Z35" t="e">
        <f>IF(OR(OR($A35="",$D35=""),F35=""),"",F35-(INT($Y35/18)+IF(INDEX('Tournament Setup'!$AD:$AD,MATCH($A35,'Tournament Setup'!$A:$A,0))&lt;=MOD($Y35,18),1,0)))</f>
      </c>
      <c r="AA35" t="e">
        <f>IF(OR(OR($A35="",$D35=""),G35=""),"",G35-(INT($Y35/18)+IF(INDEX('Tournament Setup'!$AE:$AE,MATCH($A35,'Tournament Setup'!$A:$A,0))&lt;=MOD($Y35,18),1,0)))</f>
      </c>
      <c r="AB35" t="e">
        <f>IF(OR(OR($A35="",$D35=""),H35=""),"",H35-(INT($Y35/18)+IF(INDEX('Tournament Setup'!$AF:$AF,MATCH($A35,'Tournament Setup'!$A:$A,0))&lt;=MOD($Y35,18),1,0)))</f>
      </c>
      <c r="AC35" t="e">
        <f>IF(OR(OR($A35="",$D35=""),I35=""),"",I35-(INT($Y35/18)+IF(INDEX('Tournament Setup'!$AG:$AG,MATCH($A35,'Tournament Setup'!$A:$A,0))&lt;=MOD($Y35,18),1,0)))</f>
      </c>
      <c r="AD35" t="e">
        <f>IF(OR(OR($A35="",$D35=""),J35=""),"",J35-(INT($Y35/18)+IF(INDEX('Tournament Setup'!$AH:$AH,MATCH($A35,'Tournament Setup'!$A:$A,0))&lt;=MOD($Y35,18),1,0)))</f>
      </c>
      <c r="AE35" t="e">
        <f>IF(OR(OR($A35="",$D35=""),K35=""),"",K35-(INT($Y35/18)+IF(INDEX('Tournament Setup'!$AI:$AI,MATCH($A35,'Tournament Setup'!$A:$A,0))&lt;=MOD($Y35,18),1,0)))</f>
      </c>
      <c r="AF35" t="e">
        <f>IF(OR(OR($A35="",$D35=""),L35=""),"",L35-(INT($Y35/18)+IF(INDEX('Tournament Setup'!$AJ:$AJ,MATCH($A35,'Tournament Setup'!$A:$A,0))&lt;=MOD($Y35,18),1,0)))</f>
      </c>
      <c r="AG35" t="e">
        <f>IF(OR(OR($A35="",$D35=""),M35=""),"",M35-(INT($Y35/18)+IF(INDEX('Tournament Setup'!$AK:$AK,MATCH($A35,'Tournament Setup'!$A:$A,0))&lt;=MOD($Y35,18),1,0)))</f>
      </c>
      <c r="AH35" t="e">
        <f>IF(OR(OR($A35="",$D35=""),N35=""),"",N35-(INT($Y35/18)+IF(INDEX('Tournament Setup'!$AL:$AL,MATCH($A35,'Tournament Setup'!$A:$A,0))&lt;=MOD($Y35,18),1,0)))</f>
      </c>
      <c r="AI35" t="e">
        <f>IF(OR(OR($A35="",$D35=""),O35=""),"",O35-(INT($Y35/18)+IF(INDEX('Tournament Setup'!$AM:$AM,MATCH($A35,'Tournament Setup'!$A:$A,0))&lt;=MOD($Y35,18),1,0)))</f>
      </c>
      <c r="AJ35" t="e">
        <f>IF(OR(OR($A35="",$D35=""),P35=""),"",P35-(INT($Y35/18)+IF(INDEX('Tournament Setup'!$AN:$AN,MATCH($A35,'Tournament Setup'!$A:$A,0))&lt;=MOD($Y35,18),1,0)))</f>
      </c>
      <c r="AK35" t="e">
        <f>IF(OR(OR($A35="",$D35=""),Q35=""),"",Q35-(INT($Y35/18)+IF(INDEX('Tournament Setup'!$AO:$AO,MATCH($A35,'Tournament Setup'!$A:$A,0))&lt;=MOD($Y35,18),1,0)))</f>
      </c>
      <c r="AL35" t="e">
        <f>IF(OR(OR($A35="",$D35=""),R35=""),"",R35-(INT($Y35/18)+IF(INDEX('Tournament Setup'!$AP:$AP,MATCH($A35,'Tournament Setup'!$A:$A,0))&lt;=MOD($Y35,18),1,0)))</f>
      </c>
      <c r="AM35" t="e">
        <f>IF(OR(OR($A35="",$D35=""),S35=""),"",S35-(INT($Y35/18)+IF(INDEX('Tournament Setup'!$AQ:$AQ,MATCH($A35,'Tournament Setup'!$A:$A,0))&lt;=MOD($Y35,18),1,0)))</f>
      </c>
      <c r="AN35" t="e">
        <f>IF(OR(OR($A35="",$D35=""),T35=""),"",T35-(INT($Y35/18)+IF(INDEX('Tournament Setup'!$AR:$AR,MATCH($A35,'Tournament Setup'!$A:$A,0))&lt;=MOD($Y35,18),1,0)))</f>
      </c>
      <c r="AO35" t="e">
        <f>IF(OR(OR($A35="",$D35=""),U35=""),"",U35-(INT($Y35/18)+IF(INDEX('Tournament Setup'!$AS:$AS,MATCH($A35,'Tournament Setup'!$A:$A,0))&lt;=MOD($Y35,18),1,0)))</f>
      </c>
      <c r="AP35" t="e">
        <f>IF(OR(OR($A35="",$D35=""),V35=""),"",V35-(INT($Y35/18)+IF(INDEX('Tournament Setup'!$AT:$AT,MATCH($A35,'Tournament Setup'!$A:$A,0))&lt;=MOD($Y35,18),1,0)))</f>
      </c>
      <c r="AQ35" t="e">
        <f>IF(OR(OR($A35="",$D35=""),W35=""),"",W35-(INT($Y35/18)+IF(INDEX('Tournament Setup'!$AU:$AU,MATCH($A35,'Tournament Setup'!$A:$A,0))&lt;=MOD($Y35,18),1,0)))</f>
      </c>
    </row>
    <row r="36">
      <c r="X36" t="e">
        <f>IF(OR($A36="",$D36=""),"",SUM(F36:W36))</f>
      </c>
      <c r="Y36" t="e">
        <f>IF(OR($A36="",$D36=""),"",IF(INDEX('Tournament Setup'!$F:$F,MATCH($A36,'Tournament Setup'!$A:$A,0))="Net",ROUND(($E36-_xlfn.MINIFS($E$2:$E$401,$A$2:$A$401,$A36,$B$2:$B$401,$B36))*INDEX('Tournament Setup'!$G:$G,MATCH($A36,'Tournament Setup'!$A:$A,0))/100,0),0))</f>
      </c>
      <c r="Z36" t="e">
        <f>IF(OR(OR($A36="",$D36=""),F36=""),"",F36-(INT($Y36/18)+IF(INDEX('Tournament Setup'!$AD:$AD,MATCH($A36,'Tournament Setup'!$A:$A,0))&lt;=MOD($Y36,18),1,0)))</f>
      </c>
      <c r="AA36" t="e">
        <f>IF(OR(OR($A36="",$D36=""),G36=""),"",G36-(INT($Y36/18)+IF(INDEX('Tournament Setup'!$AE:$AE,MATCH($A36,'Tournament Setup'!$A:$A,0))&lt;=MOD($Y36,18),1,0)))</f>
      </c>
      <c r="AB36" t="e">
        <f>IF(OR(OR($A36="",$D36=""),H36=""),"",H36-(INT($Y36/18)+IF(INDEX('Tournament Setup'!$AF:$AF,MATCH($A36,'Tournament Setup'!$A:$A,0))&lt;=MOD($Y36,18),1,0)))</f>
      </c>
      <c r="AC36" t="e">
        <f>IF(OR(OR($A36="",$D36=""),I36=""),"",I36-(INT($Y36/18)+IF(INDEX('Tournament Setup'!$AG:$AG,MATCH($A36,'Tournament Setup'!$A:$A,0))&lt;=MOD($Y36,18),1,0)))</f>
      </c>
      <c r="AD36" t="e">
        <f>IF(OR(OR($A36="",$D36=""),J36=""),"",J36-(INT($Y36/18)+IF(INDEX('Tournament Setup'!$AH:$AH,MATCH($A36,'Tournament Setup'!$A:$A,0))&lt;=MOD($Y36,18),1,0)))</f>
      </c>
      <c r="AE36" t="e">
        <f>IF(OR(OR($A36="",$D36=""),K36=""),"",K36-(INT($Y36/18)+IF(INDEX('Tournament Setup'!$AI:$AI,MATCH($A36,'Tournament Setup'!$A:$A,0))&lt;=MOD($Y36,18),1,0)))</f>
      </c>
      <c r="AF36" t="e">
        <f>IF(OR(OR($A36="",$D36=""),L36=""),"",L36-(INT($Y36/18)+IF(INDEX('Tournament Setup'!$AJ:$AJ,MATCH($A36,'Tournament Setup'!$A:$A,0))&lt;=MOD($Y36,18),1,0)))</f>
      </c>
      <c r="AG36" t="e">
        <f>IF(OR(OR($A36="",$D36=""),M36=""),"",M36-(INT($Y36/18)+IF(INDEX('Tournament Setup'!$AK:$AK,MATCH($A36,'Tournament Setup'!$A:$A,0))&lt;=MOD($Y36,18),1,0)))</f>
      </c>
      <c r="AH36" t="e">
        <f>IF(OR(OR($A36="",$D36=""),N36=""),"",N36-(INT($Y36/18)+IF(INDEX('Tournament Setup'!$AL:$AL,MATCH($A36,'Tournament Setup'!$A:$A,0))&lt;=MOD($Y36,18),1,0)))</f>
      </c>
      <c r="AI36" t="e">
        <f>IF(OR(OR($A36="",$D36=""),O36=""),"",O36-(INT($Y36/18)+IF(INDEX('Tournament Setup'!$AM:$AM,MATCH($A36,'Tournament Setup'!$A:$A,0))&lt;=MOD($Y36,18),1,0)))</f>
      </c>
      <c r="AJ36" t="e">
        <f>IF(OR(OR($A36="",$D36=""),P36=""),"",P36-(INT($Y36/18)+IF(INDEX('Tournament Setup'!$AN:$AN,MATCH($A36,'Tournament Setup'!$A:$A,0))&lt;=MOD($Y36,18),1,0)))</f>
      </c>
      <c r="AK36" t="e">
        <f>IF(OR(OR($A36="",$D36=""),Q36=""),"",Q36-(INT($Y36/18)+IF(INDEX('Tournament Setup'!$AO:$AO,MATCH($A36,'Tournament Setup'!$A:$A,0))&lt;=MOD($Y36,18),1,0)))</f>
      </c>
      <c r="AL36" t="e">
        <f>IF(OR(OR($A36="",$D36=""),R36=""),"",R36-(INT($Y36/18)+IF(INDEX('Tournament Setup'!$AP:$AP,MATCH($A36,'Tournament Setup'!$A:$A,0))&lt;=MOD($Y36,18),1,0)))</f>
      </c>
      <c r="AM36" t="e">
        <f>IF(OR(OR($A36="",$D36=""),S36=""),"",S36-(INT($Y36/18)+IF(INDEX('Tournament Setup'!$AQ:$AQ,MATCH($A36,'Tournament Setup'!$A:$A,0))&lt;=MOD($Y36,18),1,0)))</f>
      </c>
      <c r="AN36" t="e">
        <f>IF(OR(OR($A36="",$D36=""),T36=""),"",T36-(INT($Y36/18)+IF(INDEX('Tournament Setup'!$AR:$AR,MATCH($A36,'Tournament Setup'!$A:$A,0))&lt;=MOD($Y36,18),1,0)))</f>
      </c>
      <c r="AO36" t="e">
        <f>IF(OR(OR($A36="",$D36=""),U36=""),"",U36-(INT($Y36/18)+IF(INDEX('Tournament Setup'!$AS:$AS,MATCH($A36,'Tournament Setup'!$A:$A,0))&lt;=MOD($Y36,18),1,0)))</f>
      </c>
      <c r="AP36" t="e">
        <f>IF(OR(OR($A36="",$D36=""),V36=""),"",V36-(INT($Y36/18)+IF(INDEX('Tournament Setup'!$AT:$AT,MATCH($A36,'Tournament Setup'!$A:$A,0))&lt;=MOD($Y36,18),1,0)))</f>
      </c>
      <c r="AQ36" t="e">
        <f>IF(OR(OR($A36="",$D36=""),W36=""),"",W36-(INT($Y36/18)+IF(INDEX('Tournament Setup'!$AU:$AU,MATCH($A36,'Tournament Setup'!$A:$A,0))&lt;=MOD($Y36,18),1,0)))</f>
      </c>
    </row>
    <row r="37">
      <c r="X37" t="e">
        <f>IF(OR($A37="",$D37=""),"",SUM(F37:W37))</f>
      </c>
      <c r="Y37" t="e">
        <f>IF(OR($A37="",$D37=""),"",IF(INDEX('Tournament Setup'!$F:$F,MATCH($A37,'Tournament Setup'!$A:$A,0))="Net",ROUND(($E37-_xlfn.MINIFS($E$2:$E$401,$A$2:$A$401,$A37,$B$2:$B$401,$B37))*INDEX('Tournament Setup'!$G:$G,MATCH($A37,'Tournament Setup'!$A:$A,0))/100,0),0))</f>
      </c>
      <c r="Z37" t="e">
        <f>IF(OR(OR($A37="",$D37=""),F37=""),"",F37-(INT($Y37/18)+IF(INDEX('Tournament Setup'!$AD:$AD,MATCH($A37,'Tournament Setup'!$A:$A,0))&lt;=MOD($Y37,18),1,0)))</f>
      </c>
      <c r="AA37" t="e">
        <f>IF(OR(OR($A37="",$D37=""),G37=""),"",G37-(INT($Y37/18)+IF(INDEX('Tournament Setup'!$AE:$AE,MATCH($A37,'Tournament Setup'!$A:$A,0))&lt;=MOD($Y37,18),1,0)))</f>
      </c>
      <c r="AB37" t="e">
        <f>IF(OR(OR($A37="",$D37=""),H37=""),"",H37-(INT($Y37/18)+IF(INDEX('Tournament Setup'!$AF:$AF,MATCH($A37,'Tournament Setup'!$A:$A,0))&lt;=MOD($Y37,18),1,0)))</f>
      </c>
      <c r="AC37" t="e">
        <f>IF(OR(OR($A37="",$D37=""),I37=""),"",I37-(INT($Y37/18)+IF(INDEX('Tournament Setup'!$AG:$AG,MATCH($A37,'Tournament Setup'!$A:$A,0))&lt;=MOD($Y37,18),1,0)))</f>
      </c>
      <c r="AD37" t="e">
        <f>IF(OR(OR($A37="",$D37=""),J37=""),"",J37-(INT($Y37/18)+IF(INDEX('Tournament Setup'!$AH:$AH,MATCH($A37,'Tournament Setup'!$A:$A,0))&lt;=MOD($Y37,18),1,0)))</f>
      </c>
      <c r="AE37" t="e">
        <f>IF(OR(OR($A37="",$D37=""),K37=""),"",K37-(INT($Y37/18)+IF(INDEX('Tournament Setup'!$AI:$AI,MATCH($A37,'Tournament Setup'!$A:$A,0))&lt;=MOD($Y37,18),1,0)))</f>
      </c>
      <c r="AF37" t="e">
        <f>IF(OR(OR($A37="",$D37=""),L37=""),"",L37-(INT($Y37/18)+IF(INDEX('Tournament Setup'!$AJ:$AJ,MATCH($A37,'Tournament Setup'!$A:$A,0))&lt;=MOD($Y37,18),1,0)))</f>
      </c>
      <c r="AG37" t="e">
        <f>IF(OR(OR($A37="",$D37=""),M37=""),"",M37-(INT($Y37/18)+IF(INDEX('Tournament Setup'!$AK:$AK,MATCH($A37,'Tournament Setup'!$A:$A,0))&lt;=MOD($Y37,18),1,0)))</f>
      </c>
      <c r="AH37" t="e">
        <f>IF(OR(OR($A37="",$D37=""),N37=""),"",N37-(INT($Y37/18)+IF(INDEX('Tournament Setup'!$AL:$AL,MATCH($A37,'Tournament Setup'!$A:$A,0))&lt;=MOD($Y37,18),1,0)))</f>
      </c>
      <c r="AI37" t="e">
        <f>IF(OR(OR($A37="",$D37=""),O37=""),"",O37-(INT($Y37/18)+IF(INDEX('Tournament Setup'!$AM:$AM,MATCH($A37,'Tournament Setup'!$A:$A,0))&lt;=MOD($Y37,18),1,0)))</f>
      </c>
      <c r="AJ37" t="e">
        <f>IF(OR(OR($A37="",$D37=""),P37=""),"",P37-(INT($Y37/18)+IF(INDEX('Tournament Setup'!$AN:$AN,MATCH($A37,'Tournament Setup'!$A:$A,0))&lt;=MOD($Y37,18),1,0)))</f>
      </c>
      <c r="AK37" t="e">
        <f>IF(OR(OR($A37="",$D37=""),Q37=""),"",Q37-(INT($Y37/18)+IF(INDEX('Tournament Setup'!$AO:$AO,MATCH($A37,'Tournament Setup'!$A:$A,0))&lt;=MOD($Y37,18),1,0)))</f>
      </c>
      <c r="AL37" t="e">
        <f>IF(OR(OR($A37="",$D37=""),R37=""),"",R37-(INT($Y37/18)+IF(INDEX('Tournament Setup'!$AP:$AP,MATCH($A37,'Tournament Setup'!$A:$A,0))&lt;=MOD($Y37,18),1,0)))</f>
      </c>
      <c r="AM37" t="e">
        <f>IF(OR(OR($A37="",$D37=""),S37=""),"",S37-(INT($Y37/18)+IF(INDEX('Tournament Setup'!$AQ:$AQ,MATCH($A37,'Tournament Setup'!$A:$A,0))&lt;=MOD($Y37,18),1,0)))</f>
      </c>
      <c r="AN37" t="e">
        <f>IF(OR(OR($A37="",$D37=""),T37=""),"",T37-(INT($Y37/18)+IF(INDEX('Tournament Setup'!$AR:$AR,MATCH($A37,'Tournament Setup'!$A:$A,0))&lt;=MOD($Y37,18),1,0)))</f>
      </c>
      <c r="AO37" t="e">
        <f>IF(OR(OR($A37="",$D37=""),U37=""),"",U37-(INT($Y37/18)+IF(INDEX('Tournament Setup'!$AS:$AS,MATCH($A37,'Tournament Setup'!$A:$A,0))&lt;=MOD($Y37,18),1,0)))</f>
      </c>
      <c r="AP37" t="e">
        <f>IF(OR(OR($A37="",$D37=""),V37=""),"",V37-(INT($Y37/18)+IF(INDEX('Tournament Setup'!$AT:$AT,MATCH($A37,'Tournament Setup'!$A:$A,0))&lt;=MOD($Y37,18),1,0)))</f>
      </c>
      <c r="AQ37" t="e">
        <f>IF(OR(OR($A37="",$D37=""),W37=""),"",W37-(INT($Y37/18)+IF(INDEX('Tournament Setup'!$AU:$AU,MATCH($A37,'Tournament Setup'!$A:$A,0))&lt;=MOD($Y37,18),1,0)))</f>
      </c>
    </row>
    <row r="38">
      <c r="X38" t="e">
        <f>IF(OR($A38="",$D38=""),"",SUM(F38:W38))</f>
      </c>
      <c r="Y38" t="e">
        <f>IF(OR($A38="",$D38=""),"",IF(INDEX('Tournament Setup'!$F:$F,MATCH($A38,'Tournament Setup'!$A:$A,0))="Net",ROUND(($E38-_xlfn.MINIFS($E$2:$E$401,$A$2:$A$401,$A38,$B$2:$B$401,$B38))*INDEX('Tournament Setup'!$G:$G,MATCH($A38,'Tournament Setup'!$A:$A,0))/100,0),0))</f>
      </c>
      <c r="Z38" t="e">
        <f>IF(OR(OR($A38="",$D38=""),F38=""),"",F38-(INT($Y38/18)+IF(INDEX('Tournament Setup'!$AD:$AD,MATCH($A38,'Tournament Setup'!$A:$A,0))&lt;=MOD($Y38,18),1,0)))</f>
      </c>
      <c r="AA38" t="e">
        <f>IF(OR(OR($A38="",$D38=""),G38=""),"",G38-(INT($Y38/18)+IF(INDEX('Tournament Setup'!$AE:$AE,MATCH($A38,'Tournament Setup'!$A:$A,0))&lt;=MOD($Y38,18),1,0)))</f>
      </c>
      <c r="AB38" t="e">
        <f>IF(OR(OR($A38="",$D38=""),H38=""),"",H38-(INT($Y38/18)+IF(INDEX('Tournament Setup'!$AF:$AF,MATCH($A38,'Tournament Setup'!$A:$A,0))&lt;=MOD($Y38,18),1,0)))</f>
      </c>
      <c r="AC38" t="e">
        <f>IF(OR(OR($A38="",$D38=""),I38=""),"",I38-(INT($Y38/18)+IF(INDEX('Tournament Setup'!$AG:$AG,MATCH($A38,'Tournament Setup'!$A:$A,0))&lt;=MOD($Y38,18),1,0)))</f>
      </c>
      <c r="AD38" t="e">
        <f>IF(OR(OR($A38="",$D38=""),J38=""),"",J38-(INT($Y38/18)+IF(INDEX('Tournament Setup'!$AH:$AH,MATCH($A38,'Tournament Setup'!$A:$A,0))&lt;=MOD($Y38,18),1,0)))</f>
      </c>
      <c r="AE38" t="e">
        <f>IF(OR(OR($A38="",$D38=""),K38=""),"",K38-(INT($Y38/18)+IF(INDEX('Tournament Setup'!$AI:$AI,MATCH($A38,'Tournament Setup'!$A:$A,0))&lt;=MOD($Y38,18),1,0)))</f>
      </c>
      <c r="AF38" t="e">
        <f>IF(OR(OR($A38="",$D38=""),L38=""),"",L38-(INT($Y38/18)+IF(INDEX('Tournament Setup'!$AJ:$AJ,MATCH($A38,'Tournament Setup'!$A:$A,0))&lt;=MOD($Y38,18),1,0)))</f>
      </c>
      <c r="AG38" t="e">
        <f>IF(OR(OR($A38="",$D38=""),M38=""),"",M38-(INT($Y38/18)+IF(INDEX('Tournament Setup'!$AK:$AK,MATCH($A38,'Tournament Setup'!$A:$A,0))&lt;=MOD($Y38,18),1,0)))</f>
      </c>
      <c r="AH38" t="e">
        <f>IF(OR(OR($A38="",$D38=""),N38=""),"",N38-(INT($Y38/18)+IF(INDEX('Tournament Setup'!$AL:$AL,MATCH($A38,'Tournament Setup'!$A:$A,0))&lt;=MOD($Y38,18),1,0)))</f>
      </c>
      <c r="AI38" t="e">
        <f>IF(OR(OR($A38="",$D38=""),O38=""),"",O38-(INT($Y38/18)+IF(INDEX('Tournament Setup'!$AM:$AM,MATCH($A38,'Tournament Setup'!$A:$A,0))&lt;=MOD($Y38,18),1,0)))</f>
      </c>
      <c r="AJ38" t="e">
        <f>IF(OR(OR($A38="",$D38=""),P38=""),"",P38-(INT($Y38/18)+IF(INDEX('Tournament Setup'!$AN:$AN,MATCH($A38,'Tournament Setup'!$A:$A,0))&lt;=MOD($Y38,18),1,0)))</f>
      </c>
      <c r="AK38" t="e">
        <f>IF(OR(OR($A38="",$D38=""),Q38=""),"",Q38-(INT($Y38/18)+IF(INDEX('Tournament Setup'!$AO:$AO,MATCH($A38,'Tournament Setup'!$A:$A,0))&lt;=MOD($Y38,18),1,0)))</f>
      </c>
      <c r="AL38" t="e">
        <f>IF(OR(OR($A38="",$D38=""),R38=""),"",R38-(INT($Y38/18)+IF(INDEX('Tournament Setup'!$AP:$AP,MATCH($A38,'Tournament Setup'!$A:$A,0))&lt;=MOD($Y38,18),1,0)))</f>
      </c>
      <c r="AM38" t="e">
        <f>IF(OR(OR($A38="",$D38=""),S38=""),"",S38-(INT($Y38/18)+IF(INDEX('Tournament Setup'!$AQ:$AQ,MATCH($A38,'Tournament Setup'!$A:$A,0))&lt;=MOD($Y38,18),1,0)))</f>
      </c>
      <c r="AN38" t="e">
        <f>IF(OR(OR($A38="",$D38=""),T38=""),"",T38-(INT($Y38/18)+IF(INDEX('Tournament Setup'!$AR:$AR,MATCH($A38,'Tournament Setup'!$A:$A,0))&lt;=MOD($Y38,18),1,0)))</f>
      </c>
      <c r="AO38" t="e">
        <f>IF(OR(OR($A38="",$D38=""),U38=""),"",U38-(INT($Y38/18)+IF(INDEX('Tournament Setup'!$AS:$AS,MATCH($A38,'Tournament Setup'!$A:$A,0))&lt;=MOD($Y38,18),1,0)))</f>
      </c>
      <c r="AP38" t="e">
        <f>IF(OR(OR($A38="",$D38=""),V38=""),"",V38-(INT($Y38/18)+IF(INDEX('Tournament Setup'!$AT:$AT,MATCH($A38,'Tournament Setup'!$A:$A,0))&lt;=MOD($Y38,18),1,0)))</f>
      </c>
      <c r="AQ38" t="e">
        <f>IF(OR(OR($A38="",$D38=""),W38=""),"",W38-(INT($Y38/18)+IF(INDEX('Tournament Setup'!$AU:$AU,MATCH($A38,'Tournament Setup'!$A:$A,0))&lt;=MOD($Y38,18),1,0)))</f>
      </c>
    </row>
    <row r="39">
      <c r="X39" t="e">
        <f>IF(OR($A39="",$D39=""),"",SUM(F39:W39))</f>
      </c>
      <c r="Y39" t="e">
        <f>IF(OR($A39="",$D39=""),"",IF(INDEX('Tournament Setup'!$F:$F,MATCH($A39,'Tournament Setup'!$A:$A,0))="Net",ROUND(($E39-_xlfn.MINIFS($E$2:$E$401,$A$2:$A$401,$A39,$B$2:$B$401,$B39))*INDEX('Tournament Setup'!$G:$G,MATCH($A39,'Tournament Setup'!$A:$A,0))/100,0),0))</f>
      </c>
      <c r="Z39" t="e">
        <f>IF(OR(OR($A39="",$D39=""),F39=""),"",F39-(INT($Y39/18)+IF(INDEX('Tournament Setup'!$AD:$AD,MATCH($A39,'Tournament Setup'!$A:$A,0))&lt;=MOD($Y39,18),1,0)))</f>
      </c>
      <c r="AA39" t="e">
        <f>IF(OR(OR($A39="",$D39=""),G39=""),"",G39-(INT($Y39/18)+IF(INDEX('Tournament Setup'!$AE:$AE,MATCH($A39,'Tournament Setup'!$A:$A,0))&lt;=MOD($Y39,18),1,0)))</f>
      </c>
      <c r="AB39" t="e">
        <f>IF(OR(OR($A39="",$D39=""),H39=""),"",H39-(INT($Y39/18)+IF(INDEX('Tournament Setup'!$AF:$AF,MATCH($A39,'Tournament Setup'!$A:$A,0))&lt;=MOD($Y39,18),1,0)))</f>
      </c>
      <c r="AC39" t="e">
        <f>IF(OR(OR($A39="",$D39=""),I39=""),"",I39-(INT($Y39/18)+IF(INDEX('Tournament Setup'!$AG:$AG,MATCH($A39,'Tournament Setup'!$A:$A,0))&lt;=MOD($Y39,18),1,0)))</f>
      </c>
      <c r="AD39" t="e">
        <f>IF(OR(OR($A39="",$D39=""),J39=""),"",J39-(INT($Y39/18)+IF(INDEX('Tournament Setup'!$AH:$AH,MATCH($A39,'Tournament Setup'!$A:$A,0))&lt;=MOD($Y39,18),1,0)))</f>
      </c>
      <c r="AE39" t="e">
        <f>IF(OR(OR($A39="",$D39=""),K39=""),"",K39-(INT($Y39/18)+IF(INDEX('Tournament Setup'!$AI:$AI,MATCH($A39,'Tournament Setup'!$A:$A,0))&lt;=MOD($Y39,18),1,0)))</f>
      </c>
      <c r="AF39" t="e">
        <f>IF(OR(OR($A39="",$D39=""),L39=""),"",L39-(INT($Y39/18)+IF(INDEX('Tournament Setup'!$AJ:$AJ,MATCH($A39,'Tournament Setup'!$A:$A,0))&lt;=MOD($Y39,18),1,0)))</f>
      </c>
      <c r="AG39" t="e">
        <f>IF(OR(OR($A39="",$D39=""),M39=""),"",M39-(INT($Y39/18)+IF(INDEX('Tournament Setup'!$AK:$AK,MATCH($A39,'Tournament Setup'!$A:$A,0))&lt;=MOD($Y39,18),1,0)))</f>
      </c>
      <c r="AH39" t="e">
        <f>IF(OR(OR($A39="",$D39=""),N39=""),"",N39-(INT($Y39/18)+IF(INDEX('Tournament Setup'!$AL:$AL,MATCH($A39,'Tournament Setup'!$A:$A,0))&lt;=MOD($Y39,18),1,0)))</f>
      </c>
      <c r="AI39" t="e">
        <f>IF(OR(OR($A39="",$D39=""),O39=""),"",O39-(INT($Y39/18)+IF(INDEX('Tournament Setup'!$AM:$AM,MATCH($A39,'Tournament Setup'!$A:$A,0))&lt;=MOD($Y39,18),1,0)))</f>
      </c>
      <c r="AJ39" t="e">
        <f>IF(OR(OR($A39="",$D39=""),P39=""),"",P39-(INT($Y39/18)+IF(INDEX('Tournament Setup'!$AN:$AN,MATCH($A39,'Tournament Setup'!$A:$A,0))&lt;=MOD($Y39,18),1,0)))</f>
      </c>
      <c r="AK39" t="e">
        <f>IF(OR(OR($A39="",$D39=""),Q39=""),"",Q39-(INT($Y39/18)+IF(INDEX('Tournament Setup'!$AO:$AO,MATCH($A39,'Tournament Setup'!$A:$A,0))&lt;=MOD($Y39,18),1,0)))</f>
      </c>
      <c r="AL39" t="e">
        <f>IF(OR(OR($A39="",$D39=""),R39=""),"",R39-(INT($Y39/18)+IF(INDEX('Tournament Setup'!$AP:$AP,MATCH($A39,'Tournament Setup'!$A:$A,0))&lt;=MOD($Y39,18),1,0)))</f>
      </c>
      <c r="AM39" t="e">
        <f>IF(OR(OR($A39="",$D39=""),S39=""),"",S39-(INT($Y39/18)+IF(INDEX('Tournament Setup'!$AQ:$AQ,MATCH($A39,'Tournament Setup'!$A:$A,0))&lt;=MOD($Y39,18),1,0)))</f>
      </c>
      <c r="AN39" t="e">
        <f>IF(OR(OR($A39="",$D39=""),T39=""),"",T39-(INT($Y39/18)+IF(INDEX('Tournament Setup'!$AR:$AR,MATCH($A39,'Tournament Setup'!$A:$A,0))&lt;=MOD($Y39,18),1,0)))</f>
      </c>
      <c r="AO39" t="e">
        <f>IF(OR(OR($A39="",$D39=""),U39=""),"",U39-(INT($Y39/18)+IF(INDEX('Tournament Setup'!$AS:$AS,MATCH($A39,'Tournament Setup'!$A:$A,0))&lt;=MOD($Y39,18),1,0)))</f>
      </c>
      <c r="AP39" t="e">
        <f>IF(OR(OR($A39="",$D39=""),V39=""),"",V39-(INT($Y39/18)+IF(INDEX('Tournament Setup'!$AT:$AT,MATCH($A39,'Tournament Setup'!$A:$A,0))&lt;=MOD($Y39,18),1,0)))</f>
      </c>
      <c r="AQ39" t="e">
        <f>IF(OR(OR($A39="",$D39=""),W39=""),"",W39-(INT($Y39/18)+IF(INDEX('Tournament Setup'!$AU:$AU,MATCH($A39,'Tournament Setup'!$A:$A,0))&lt;=MOD($Y39,18),1,0)))</f>
      </c>
    </row>
    <row r="40">
      <c r="X40" t="e">
        <f>IF(OR($A40="",$D40=""),"",SUM(F40:W40))</f>
      </c>
      <c r="Y40" t="e">
        <f>IF(OR($A40="",$D40=""),"",IF(INDEX('Tournament Setup'!$F:$F,MATCH($A40,'Tournament Setup'!$A:$A,0))="Net",ROUND(($E40-_xlfn.MINIFS($E$2:$E$401,$A$2:$A$401,$A40,$B$2:$B$401,$B40))*INDEX('Tournament Setup'!$G:$G,MATCH($A40,'Tournament Setup'!$A:$A,0))/100,0),0))</f>
      </c>
      <c r="Z40" t="e">
        <f>IF(OR(OR($A40="",$D40=""),F40=""),"",F40-(INT($Y40/18)+IF(INDEX('Tournament Setup'!$AD:$AD,MATCH($A40,'Tournament Setup'!$A:$A,0))&lt;=MOD($Y40,18),1,0)))</f>
      </c>
      <c r="AA40" t="e">
        <f>IF(OR(OR($A40="",$D40=""),G40=""),"",G40-(INT($Y40/18)+IF(INDEX('Tournament Setup'!$AE:$AE,MATCH($A40,'Tournament Setup'!$A:$A,0))&lt;=MOD($Y40,18),1,0)))</f>
      </c>
      <c r="AB40" t="e">
        <f>IF(OR(OR($A40="",$D40=""),H40=""),"",H40-(INT($Y40/18)+IF(INDEX('Tournament Setup'!$AF:$AF,MATCH($A40,'Tournament Setup'!$A:$A,0))&lt;=MOD($Y40,18),1,0)))</f>
      </c>
      <c r="AC40" t="e">
        <f>IF(OR(OR($A40="",$D40=""),I40=""),"",I40-(INT($Y40/18)+IF(INDEX('Tournament Setup'!$AG:$AG,MATCH($A40,'Tournament Setup'!$A:$A,0))&lt;=MOD($Y40,18),1,0)))</f>
      </c>
      <c r="AD40" t="e">
        <f>IF(OR(OR($A40="",$D40=""),J40=""),"",J40-(INT($Y40/18)+IF(INDEX('Tournament Setup'!$AH:$AH,MATCH($A40,'Tournament Setup'!$A:$A,0))&lt;=MOD($Y40,18),1,0)))</f>
      </c>
      <c r="AE40" t="e">
        <f>IF(OR(OR($A40="",$D40=""),K40=""),"",K40-(INT($Y40/18)+IF(INDEX('Tournament Setup'!$AI:$AI,MATCH($A40,'Tournament Setup'!$A:$A,0))&lt;=MOD($Y40,18),1,0)))</f>
      </c>
      <c r="AF40" t="e">
        <f>IF(OR(OR($A40="",$D40=""),L40=""),"",L40-(INT($Y40/18)+IF(INDEX('Tournament Setup'!$AJ:$AJ,MATCH($A40,'Tournament Setup'!$A:$A,0))&lt;=MOD($Y40,18),1,0)))</f>
      </c>
      <c r="AG40" t="e">
        <f>IF(OR(OR($A40="",$D40=""),M40=""),"",M40-(INT($Y40/18)+IF(INDEX('Tournament Setup'!$AK:$AK,MATCH($A40,'Tournament Setup'!$A:$A,0))&lt;=MOD($Y40,18),1,0)))</f>
      </c>
      <c r="AH40" t="e">
        <f>IF(OR(OR($A40="",$D40=""),N40=""),"",N40-(INT($Y40/18)+IF(INDEX('Tournament Setup'!$AL:$AL,MATCH($A40,'Tournament Setup'!$A:$A,0))&lt;=MOD($Y40,18),1,0)))</f>
      </c>
      <c r="AI40" t="e">
        <f>IF(OR(OR($A40="",$D40=""),O40=""),"",O40-(INT($Y40/18)+IF(INDEX('Tournament Setup'!$AM:$AM,MATCH($A40,'Tournament Setup'!$A:$A,0))&lt;=MOD($Y40,18),1,0)))</f>
      </c>
      <c r="AJ40" t="e">
        <f>IF(OR(OR($A40="",$D40=""),P40=""),"",P40-(INT($Y40/18)+IF(INDEX('Tournament Setup'!$AN:$AN,MATCH($A40,'Tournament Setup'!$A:$A,0))&lt;=MOD($Y40,18),1,0)))</f>
      </c>
      <c r="AK40" t="e">
        <f>IF(OR(OR($A40="",$D40=""),Q40=""),"",Q40-(INT($Y40/18)+IF(INDEX('Tournament Setup'!$AO:$AO,MATCH($A40,'Tournament Setup'!$A:$A,0))&lt;=MOD($Y40,18),1,0)))</f>
      </c>
      <c r="AL40" t="e">
        <f>IF(OR(OR($A40="",$D40=""),R40=""),"",R40-(INT($Y40/18)+IF(INDEX('Tournament Setup'!$AP:$AP,MATCH($A40,'Tournament Setup'!$A:$A,0))&lt;=MOD($Y40,18),1,0)))</f>
      </c>
      <c r="AM40" t="e">
        <f>IF(OR(OR($A40="",$D40=""),S40=""),"",S40-(INT($Y40/18)+IF(INDEX('Tournament Setup'!$AQ:$AQ,MATCH($A40,'Tournament Setup'!$A:$A,0))&lt;=MOD($Y40,18),1,0)))</f>
      </c>
      <c r="AN40" t="e">
        <f>IF(OR(OR($A40="",$D40=""),T40=""),"",T40-(INT($Y40/18)+IF(INDEX('Tournament Setup'!$AR:$AR,MATCH($A40,'Tournament Setup'!$A:$A,0))&lt;=MOD($Y40,18),1,0)))</f>
      </c>
      <c r="AO40" t="e">
        <f>IF(OR(OR($A40="",$D40=""),U40=""),"",U40-(INT($Y40/18)+IF(INDEX('Tournament Setup'!$AS:$AS,MATCH($A40,'Tournament Setup'!$A:$A,0))&lt;=MOD($Y40,18),1,0)))</f>
      </c>
      <c r="AP40" t="e">
        <f>IF(OR(OR($A40="",$D40=""),V40=""),"",V40-(INT($Y40/18)+IF(INDEX('Tournament Setup'!$AT:$AT,MATCH($A40,'Tournament Setup'!$A:$A,0))&lt;=MOD($Y40,18),1,0)))</f>
      </c>
      <c r="AQ40" t="e">
        <f>IF(OR(OR($A40="",$D40=""),W40=""),"",W40-(INT($Y40/18)+IF(INDEX('Tournament Setup'!$AU:$AU,MATCH($A40,'Tournament Setup'!$A:$A,0))&lt;=MOD($Y40,18),1,0)))</f>
      </c>
    </row>
    <row r="41">
      <c r="X41" t="e">
        <f>IF(OR($A41="",$D41=""),"",SUM(F41:W41))</f>
      </c>
      <c r="Y41" t="e">
        <f>IF(OR($A41="",$D41=""),"",IF(INDEX('Tournament Setup'!$F:$F,MATCH($A41,'Tournament Setup'!$A:$A,0))="Net",ROUND(($E41-_xlfn.MINIFS($E$2:$E$401,$A$2:$A$401,$A41,$B$2:$B$401,$B41))*INDEX('Tournament Setup'!$G:$G,MATCH($A41,'Tournament Setup'!$A:$A,0))/100,0),0))</f>
      </c>
      <c r="Z41" t="e">
        <f>IF(OR(OR($A41="",$D41=""),F41=""),"",F41-(INT($Y41/18)+IF(INDEX('Tournament Setup'!$AD:$AD,MATCH($A41,'Tournament Setup'!$A:$A,0))&lt;=MOD($Y41,18),1,0)))</f>
      </c>
      <c r="AA41" t="e">
        <f>IF(OR(OR($A41="",$D41=""),G41=""),"",G41-(INT($Y41/18)+IF(INDEX('Tournament Setup'!$AE:$AE,MATCH($A41,'Tournament Setup'!$A:$A,0))&lt;=MOD($Y41,18),1,0)))</f>
      </c>
      <c r="AB41" t="e">
        <f>IF(OR(OR($A41="",$D41=""),H41=""),"",H41-(INT($Y41/18)+IF(INDEX('Tournament Setup'!$AF:$AF,MATCH($A41,'Tournament Setup'!$A:$A,0))&lt;=MOD($Y41,18),1,0)))</f>
      </c>
      <c r="AC41" t="e">
        <f>IF(OR(OR($A41="",$D41=""),I41=""),"",I41-(INT($Y41/18)+IF(INDEX('Tournament Setup'!$AG:$AG,MATCH($A41,'Tournament Setup'!$A:$A,0))&lt;=MOD($Y41,18),1,0)))</f>
      </c>
      <c r="AD41" t="e">
        <f>IF(OR(OR($A41="",$D41=""),J41=""),"",J41-(INT($Y41/18)+IF(INDEX('Tournament Setup'!$AH:$AH,MATCH($A41,'Tournament Setup'!$A:$A,0))&lt;=MOD($Y41,18),1,0)))</f>
      </c>
      <c r="AE41" t="e">
        <f>IF(OR(OR($A41="",$D41=""),K41=""),"",K41-(INT($Y41/18)+IF(INDEX('Tournament Setup'!$AI:$AI,MATCH($A41,'Tournament Setup'!$A:$A,0))&lt;=MOD($Y41,18),1,0)))</f>
      </c>
      <c r="AF41" t="e">
        <f>IF(OR(OR($A41="",$D41=""),L41=""),"",L41-(INT($Y41/18)+IF(INDEX('Tournament Setup'!$AJ:$AJ,MATCH($A41,'Tournament Setup'!$A:$A,0))&lt;=MOD($Y41,18),1,0)))</f>
      </c>
      <c r="AG41" t="e">
        <f>IF(OR(OR($A41="",$D41=""),M41=""),"",M41-(INT($Y41/18)+IF(INDEX('Tournament Setup'!$AK:$AK,MATCH($A41,'Tournament Setup'!$A:$A,0))&lt;=MOD($Y41,18),1,0)))</f>
      </c>
      <c r="AH41" t="e">
        <f>IF(OR(OR($A41="",$D41=""),N41=""),"",N41-(INT($Y41/18)+IF(INDEX('Tournament Setup'!$AL:$AL,MATCH($A41,'Tournament Setup'!$A:$A,0))&lt;=MOD($Y41,18),1,0)))</f>
      </c>
      <c r="AI41" t="e">
        <f>IF(OR(OR($A41="",$D41=""),O41=""),"",O41-(INT($Y41/18)+IF(INDEX('Tournament Setup'!$AM:$AM,MATCH($A41,'Tournament Setup'!$A:$A,0))&lt;=MOD($Y41,18),1,0)))</f>
      </c>
      <c r="AJ41" t="e">
        <f>IF(OR(OR($A41="",$D41=""),P41=""),"",P41-(INT($Y41/18)+IF(INDEX('Tournament Setup'!$AN:$AN,MATCH($A41,'Tournament Setup'!$A:$A,0))&lt;=MOD($Y41,18),1,0)))</f>
      </c>
      <c r="AK41" t="e">
        <f>IF(OR(OR($A41="",$D41=""),Q41=""),"",Q41-(INT($Y41/18)+IF(INDEX('Tournament Setup'!$AO:$AO,MATCH($A41,'Tournament Setup'!$A:$A,0))&lt;=MOD($Y41,18),1,0)))</f>
      </c>
      <c r="AL41" t="e">
        <f>IF(OR(OR($A41="",$D41=""),R41=""),"",R41-(INT($Y41/18)+IF(INDEX('Tournament Setup'!$AP:$AP,MATCH($A41,'Tournament Setup'!$A:$A,0))&lt;=MOD($Y41,18),1,0)))</f>
      </c>
      <c r="AM41" t="e">
        <f>IF(OR(OR($A41="",$D41=""),S41=""),"",S41-(INT($Y41/18)+IF(INDEX('Tournament Setup'!$AQ:$AQ,MATCH($A41,'Tournament Setup'!$A:$A,0))&lt;=MOD($Y41,18),1,0)))</f>
      </c>
      <c r="AN41" t="e">
        <f>IF(OR(OR($A41="",$D41=""),T41=""),"",T41-(INT($Y41/18)+IF(INDEX('Tournament Setup'!$AR:$AR,MATCH($A41,'Tournament Setup'!$A:$A,0))&lt;=MOD($Y41,18),1,0)))</f>
      </c>
      <c r="AO41" t="e">
        <f>IF(OR(OR($A41="",$D41=""),U41=""),"",U41-(INT($Y41/18)+IF(INDEX('Tournament Setup'!$AS:$AS,MATCH($A41,'Tournament Setup'!$A:$A,0))&lt;=MOD($Y41,18),1,0)))</f>
      </c>
      <c r="AP41" t="e">
        <f>IF(OR(OR($A41="",$D41=""),V41=""),"",V41-(INT($Y41/18)+IF(INDEX('Tournament Setup'!$AT:$AT,MATCH($A41,'Tournament Setup'!$A:$A,0))&lt;=MOD($Y41,18),1,0)))</f>
      </c>
      <c r="AQ41" t="e">
        <f>IF(OR(OR($A41="",$D41=""),W41=""),"",W41-(INT($Y41/18)+IF(INDEX('Tournament Setup'!$AU:$AU,MATCH($A41,'Tournament Setup'!$A:$A,0))&lt;=MOD($Y41,18),1,0)))</f>
      </c>
    </row>
    <row r="42">
      <c r="X42" t="e">
        <f>IF(OR($A42="",$D42=""),"",SUM(F42:W42))</f>
      </c>
      <c r="Y42" t="e">
        <f>IF(OR($A42="",$D42=""),"",IF(INDEX('Tournament Setup'!$F:$F,MATCH($A42,'Tournament Setup'!$A:$A,0))="Net",ROUND(($E42-_xlfn.MINIFS($E$2:$E$401,$A$2:$A$401,$A42,$B$2:$B$401,$B42))*INDEX('Tournament Setup'!$G:$G,MATCH($A42,'Tournament Setup'!$A:$A,0))/100,0),0))</f>
      </c>
      <c r="Z42" t="e">
        <f>IF(OR(OR($A42="",$D42=""),F42=""),"",F42-(INT($Y42/18)+IF(INDEX('Tournament Setup'!$AD:$AD,MATCH($A42,'Tournament Setup'!$A:$A,0))&lt;=MOD($Y42,18),1,0)))</f>
      </c>
      <c r="AA42" t="e">
        <f>IF(OR(OR($A42="",$D42=""),G42=""),"",G42-(INT($Y42/18)+IF(INDEX('Tournament Setup'!$AE:$AE,MATCH($A42,'Tournament Setup'!$A:$A,0))&lt;=MOD($Y42,18),1,0)))</f>
      </c>
      <c r="AB42" t="e">
        <f>IF(OR(OR($A42="",$D42=""),H42=""),"",H42-(INT($Y42/18)+IF(INDEX('Tournament Setup'!$AF:$AF,MATCH($A42,'Tournament Setup'!$A:$A,0))&lt;=MOD($Y42,18),1,0)))</f>
      </c>
      <c r="AC42" t="e">
        <f>IF(OR(OR($A42="",$D42=""),I42=""),"",I42-(INT($Y42/18)+IF(INDEX('Tournament Setup'!$AG:$AG,MATCH($A42,'Tournament Setup'!$A:$A,0))&lt;=MOD($Y42,18),1,0)))</f>
      </c>
      <c r="AD42" t="e">
        <f>IF(OR(OR($A42="",$D42=""),J42=""),"",J42-(INT($Y42/18)+IF(INDEX('Tournament Setup'!$AH:$AH,MATCH($A42,'Tournament Setup'!$A:$A,0))&lt;=MOD($Y42,18),1,0)))</f>
      </c>
      <c r="AE42" t="e">
        <f>IF(OR(OR($A42="",$D42=""),K42=""),"",K42-(INT($Y42/18)+IF(INDEX('Tournament Setup'!$AI:$AI,MATCH($A42,'Tournament Setup'!$A:$A,0))&lt;=MOD($Y42,18),1,0)))</f>
      </c>
      <c r="AF42" t="e">
        <f>IF(OR(OR($A42="",$D42=""),L42=""),"",L42-(INT($Y42/18)+IF(INDEX('Tournament Setup'!$AJ:$AJ,MATCH($A42,'Tournament Setup'!$A:$A,0))&lt;=MOD($Y42,18),1,0)))</f>
      </c>
      <c r="AG42" t="e">
        <f>IF(OR(OR($A42="",$D42=""),M42=""),"",M42-(INT($Y42/18)+IF(INDEX('Tournament Setup'!$AK:$AK,MATCH($A42,'Tournament Setup'!$A:$A,0))&lt;=MOD($Y42,18),1,0)))</f>
      </c>
      <c r="AH42" t="e">
        <f>IF(OR(OR($A42="",$D42=""),N42=""),"",N42-(INT($Y42/18)+IF(INDEX('Tournament Setup'!$AL:$AL,MATCH($A42,'Tournament Setup'!$A:$A,0))&lt;=MOD($Y42,18),1,0)))</f>
      </c>
      <c r="AI42" t="e">
        <f>IF(OR(OR($A42="",$D42=""),O42=""),"",O42-(INT($Y42/18)+IF(INDEX('Tournament Setup'!$AM:$AM,MATCH($A42,'Tournament Setup'!$A:$A,0))&lt;=MOD($Y42,18),1,0)))</f>
      </c>
      <c r="AJ42" t="e">
        <f>IF(OR(OR($A42="",$D42=""),P42=""),"",P42-(INT($Y42/18)+IF(INDEX('Tournament Setup'!$AN:$AN,MATCH($A42,'Tournament Setup'!$A:$A,0))&lt;=MOD($Y42,18),1,0)))</f>
      </c>
      <c r="AK42" t="e">
        <f>IF(OR(OR($A42="",$D42=""),Q42=""),"",Q42-(INT($Y42/18)+IF(INDEX('Tournament Setup'!$AO:$AO,MATCH($A42,'Tournament Setup'!$A:$A,0))&lt;=MOD($Y42,18),1,0)))</f>
      </c>
      <c r="AL42" t="e">
        <f>IF(OR(OR($A42="",$D42=""),R42=""),"",R42-(INT($Y42/18)+IF(INDEX('Tournament Setup'!$AP:$AP,MATCH($A42,'Tournament Setup'!$A:$A,0))&lt;=MOD($Y42,18),1,0)))</f>
      </c>
      <c r="AM42" t="e">
        <f>IF(OR(OR($A42="",$D42=""),S42=""),"",S42-(INT($Y42/18)+IF(INDEX('Tournament Setup'!$AQ:$AQ,MATCH($A42,'Tournament Setup'!$A:$A,0))&lt;=MOD($Y42,18),1,0)))</f>
      </c>
      <c r="AN42" t="e">
        <f>IF(OR(OR($A42="",$D42=""),T42=""),"",T42-(INT($Y42/18)+IF(INDEX('Tournament Setup'!$AR:$AR,MATCH($A42,'Tournament Setup'!$A:$A,0))&lt;=MOD($Y42,18),1,0)))</f>
      </c>
      <c r="AO42" t="e">
        <f>IF(OR(OR($A42="",$D42=""),U42=""),"",U42-(INT($Y42/18)+IF(INDEX('Tournament Setup'!$AS:$AS,MATCH($A42,'Tournament Setup'!$A:$A,0))&lt;=MOD($Y42,18),1,0)))</f>
      </c>
      <c r="AP42" t="e">
        <f>IF(OR(OR($A42="",$D42=""),V42=""),"",V42-(INT($Y42/18)+IF(INDEX('Tournament Setup'!$AT:$AT,MATCH($A42,'Tournament Setup'!$A:$A,0))&lt;=MOD($Y42,18),1,0)))</f>
      </c>
      <c r="AQ42" t="e">
        <f>IF(OR(OR($A42="",$D42=""),W42=""),"",W42-(INT($Y42/18)+IF(INDEX('Tournament Setup'!$AU:$AU,MATCH($A42,'Tournament Setup'!$A:$A,0))&lt;=MOD($Y42,18),1,0)))</f>
      </c>
    </row>
    <row r="43">
      <c r="X43" t="e">
        <f>IF(OR($A43="",$D43=""),"",SUM(F43:W43))</f>
      </c>
      <c r="Y43" t="e">
        <f>IF(OR($A43="",$D43=""),"",IF(INDEX('Tournament Setup'!$F:$F,MATCH($A43,'Tournament Setup'!$A:$A,0))="Net",ROUND(($E43-_xlfn.MINIFS($E$2:$E$401,$A$2:$A$401,$A43,$B$2:$B$401,$B43))*INDEX('Tournament Setup'!$G:$G,MATCH($A43,'Tournament Setup'!$A:$A,0))/100,0),0))</f>
      </c>
      <c r="Z43" t="e">
        <f>IF(OR(OR($A43="",$D43=""),F43=""),"",F43-(INT($Y43/18)+IF(INDEX('Tournament Setup'!$AD:$AD,MATCH($A43,'Tournament Setup'!$A:$A,0))&lt;=MOD($Y43,18),1,0)))</f>
      </c>
      <c r="AA43" t="e">
        <f>IF(OR(OR($A43="",$D43=""),G43=""),"",G43-(INT($Y43/18)+IF(INDEX('Tournament Setup'!$AE:$AE,MATCH($A43,'Tournament Setup'!$A:$A,0))&lt;=MOD($Y43,18),1,0)))</f>
      </c>
      <c r="AB43" t="e">
        <f>IF(OR(OR($A43="",$D43=""),H43=""),"",H43-(INT($Y43/18)+IF(INDEX('Tournament Setup'!$AF:$AF,MATCH($A43,'Tournament Setup'!$A:$A,0))&lt;=MOD($Y43,18),1,0)))</f>
      </c>
      <c r="AC43" t="e">
        <f>IF(OR(OR($A43="",$D43=""),I43=""),"",I43-(INT($Y43/18)+IF(INDEX('Tournament Setup'!$AG:$AG,MATCH($A43,'Tournament Setup'!$A:$A,0))&lt;=MOD($Y43,18),1,0)))</f>
      </c>
      <c r="AD43" t="e">
        <f>IF(OR(OR($A43="",$D43=""),J43=""),"",J43-(INT($Y43/18)+IF(INDEX('Tournament Setup'!$AH:$AH,MATCH($A43,'Tournament Setup'!$A:$A,0))&lt;=MOD($Y43,18),1,0)))</f>
      </c>
      <c r="AE43" t="e">
        <f>IF(OR(OR($A43="",$D43=""),K43=""),"",K43-(INT($Y43/18)+IF(INDEX('Tournament Setup'!$AI:$AI,MATCH($A43,'Tournament Setup'!$A:$A,0))&lt;=MOD($Y43,18),1,0)))</f>
      </c>
      <c r="AF43" t="e">
        <f>IF(OR(OR($A43="",$D43=""),L43=""),"",L43-(INT($Y43/18)+IF(INDEX('Tournament Setup'!$AJ:$AJ,MATCH($A43,'Tournament Setup'!$A:$A,0))&lt;=MOD($Y43,18),1,0)))</f>
      </c>
      <c r="AG43" t="e">
        <f>IF(OR(OR($A43="",$D43=""),M43=""),"",M43-(INT($Y43/18)+IF(INDEX('Tournament Setup'!$AK:$AK,MATCH($A43,'Tournament Setup'!$A:$A,0))&lt;=MOD($Y43,18),1,0)))</f>
      </c>
      <c r="AH43" t="e">
        <f>IF(OR(OR($A43="",$D43=""),N43=""),"",N43-(INT($Y43/18)+IF(INDEX('Tournament Setup'!$AL:$AL,MATCH($A43,'Tournament Setup'!$A:$A,0))&lt;=MOD($Y43,18),1,0)))</f>
      </c>
      <c r="AI43" t="e">
        <f>IF(OR(OR($A43="",$D43=""),O43=""),"",O43-(INT($Y43/18)+IF(INDEX('Tournament Setup'!$AM:$AM,MATCH($A43,'Tournament Setup'!$A:$A,0))&lt;=MOD($Y43,18),1,0)))</f>
      </c>
      <c r="AJ43" t="e">
        <f>IF(OR(OR($A43="",$D43=""),P43=""),"",P43-(INT($Y43/18)+IF(INDEX('Tournament Setup'!$AN:$AN,MATCH($A43,'Tournament Setup'!$A:$A,0))&lt;=MOD($Y43,18),1,0)))</f>
      </c>
      <c r="AK43" t="e">
        <f>IF(OR(OR($A43="",$D43=""),Q43=""),"",Q43-(INT($Y43/18)+IF(INDEX('Tournament Setup'!$AO:$AO,MATCH($A43,'Tournament Setup'!$A:$A,0))&lt;=MOD($Y43,18),1,0)))</f>
      </c>
      <c r="AL43" t="e">
        <f>IF(OR(OR($A43="",$D43=""),R43=""),"",R43-(INT($Y43/18)+IF(INDEX('Tournament Setup'!$AP:$AP,MATCH($A43,'Tournament Setup'!$A:$A,0))&lt;=MOD($Y43,18),1,0)))</f>
      </c>
      <c r="AM43" t="e">
        <f>IF(OR(OR($A43="",$D43=""),S43=""),"",S43-(INT($Y43/18)+IF(INDEX('Tournament Setup'!$AQ:$AQ,MATCH($A43,'Tournament Setup'!$A:$A,0))&lt;=MOD($Y43,18),1,0)))</f>
      </c>
      <c r="AN43" t="e">
        <f>IF(OR(OR($A43="",$D43=""),T43=""),"",T43-(INT($Y43/18)+IF(INDEX('Tournament Setup'!$AR:$AR,MATCH($A43,'Tournament Setup'!$A:$A,0))&lt;=MOD($Y43,18),1,0)))</f>
      </c>
      <c r="AO43" t="e">
        <f>IF(OR(OR($A43="",$D43=""),U43=""),"",U43-(INT($Y43/18)+IF(INDEX('Tournament Setup'!$AS:$AS,MATCH($A43,'Tournament Setup'!$A:$A,0))&lt;=MOD($Y43,18),1,0)))</f>
      </c>
      <c r="AP43" t="e">
        <f>IF(OR(OR($A43="",$D43=""),V43=""),"",V43-(INT($Y43/18)+IF(INDEX('Tournament Setup'!$AT:$AT,MATCH($A43,'Tournament Setup'!$A:$A,0))&lt;=MOD($Y43,18),1,0)))</f>
      </c>
      <c r="AQ43" t="e">
        <f>IF(OR(OR($A43="",$D43=""),W43=""),"",W43-(INT($Y43/18)+IF(INDEX('Tournament Setup'!$AU:$AU,MATCH($A43,'Tournament Setup'!$A:$A,0))&lt;=MOD($Y43,18),1,0)))</f>
      </c>
    </row>
    <row r="44">
      <c r="X44" t="e">
        <f>IF(OR($A44="",$D44=""),"",SUM(F44:W44))</f>
      </c>
      <c r="Y44" t="e">
        <f>IF(OR($A44="",$D44=""),"",IF(INDEX('Tournament Setup'!$F:$F,MATCH($A44,'Tournament Setup'!$A:$A,0))="Net",ROUND(($E44-_xlfn.MINIFS($E$2:$E$401,$A$2:$A$401,$A44,$B$2:$B$401,$B44))*INDEX('Tournament Setup'!$G:$G,MATCH($A44,'Tournament Setup'!$A:$A,0))/100,0),0))</f>
      </c>
      <c r="Z44" t="e">
        <f>IF(OR(OR($A44="",$D44=""),F44=""),"",F44-(INT($Y44/18)+IF(INDEX('Tournament Setup'!$AD:$AD,MATCH($A44,'Tournament Setup'!$A:$A,0))&lt;=MOD($Y44,18),1,0)))</f>
      </c>
      <c r="AA44" t="e">
        <f>IF(OR(OR($A44="",$D44=""),G44=""),"",G44-(INT($Y44/18)+IF(INDEX('Tournament Setup'!$AE:$AE,MATCH($A44,'Tournament Setup'!$A:$A,0))&lt;=MOD($Y44,18),1,0)))</f>
      </c>
      <c r="AB44" t="e">
        <f>IF(OR(OR($A44="",$D44=""),H44=""),"",H44-(INT($Y44/18)+IF(INDEX('Tournament Setup'!$AF:$AF,MATCH($A44,'Tournament Setup'!$A:$A,0))&lt;=MOD($Y44,18),1,0)))</f>
      </c>
      <c r="AC44" t="e">
        <f>IF(OR(OR($A44="",$D44=""),I44=""),"",I44-(INT($Y44/18)+IF(INDEX('Tournament Setup'!$AG:$AG,MATCH($A44,'Tournament Setup'!$A:$A,0))&lt;=MOD($Y44,18),1,0)))</f>
      </c>
      <c r="AD44" t="e">
        <f>IF(OR(OR($A44="",$D44=""),J44=""),"",J44-(INT($Y44/18)+IF(INDEX('Tournament Setup'!$AH:$AH,MATCH($A44,'Tournament Setup'!$A:$A,0))&lt;=MOD($Y44,18),1,0)))</f>
      </c>
      <c r="AE44" t="e">
        <f>IF(OR(OR($A44="",$D44=""),K44=""),"",K44-(INT($Y44/18)+IF(INDEX('Tournament Setup'!$AI:$AI,MATCH($A44,'Tournament Setup'!$A:$A,0))&lt;=MOD($Y44,18),1,0)))</f>
      </c>
      <c r="AF44" t="e">
        <f>IF(OR(OR($A44="",$D44=""),L44=""),"",L44-(INT($Y44/18)+IF(INDEX('Tournament Setup'!$AJ:$AJ,MATCH($A44,'Tournament Setup'!$A:$A,0))&lt;=MOD($Y44,18),1,0)))</f>
      </c>
      <c r="AG44" t="e">
        <f>IF(OR(OR($A44="",$D44=""),M44=""),"",M44-(INT($Y44/18)+IF(INDEX('Tournament Setup'!$AK:$AK,MATCH($A44,'Tournament Setup'!$A:$A,0))&lt;=MOD($Y44,18),1,0)))</f>
      </c>
      <c r="AH44" t="e">
        <f>IF(OR(OR($A44="",$D44=""),N44=""),"",N44-(INT($Y44/18)+IF(INDEX('Tournament Setup'!$AL:$AL,MATCH($A44,'Tournament Setup'!$A:$A,0))&lt;=MOD($Y44,18),1,0)))</f>
      </c>
      <c r="AI44" t="e">
        <f>IF(OR(OR($A44="",$D44=""),O44=""),"",O44-(INT($Y44/18)+IF(INDEX('Tournament Setup'!$AM:$AM,MATCH($A44,'Tournament Setup'!$A:$A,0))&lt;=MOD($Y44,18),1,0)))</f>
      </c>
      <c r="AJ44" t="e">
        <f>IF(OR(OR($A44="",$D44=""),P44=""),"",P44-(INT($Y44/18)+IF(INDEX('Tournament Setup'!$AN:$AN,MATCH($A44,'Tournament Setup'!$A:$A,0))&lt;=MOD($Y44,18),1,0)))</f>
      </c>
      <c r="AK44" t="e">
        <f>IF(OR(OR($A44="",$D44=""),Q44=""),"",Q44-(INT($Y44/18)+IF(INDEX('Tournament Setup'!$AO:$AO,MATCH($A44,'Tournament Setup'!$A:$A,0))&lt;=MOD($Y44,18),1,0)))</f>
      </c>
      <c r="AL44" t="e">
        <f>IF(OR(OR($A44="",$D44=""),R44=""),"",R44-(INT($Y44/18)+IF(INDEX('Tournament Setup'!$AP:$AP,MATCH($A44,'Tournament Setup'!$A:$A,0))&lt;=MOD($Y44,18),1,0)))</f>
      </c>
      <c r="AM44" t="e">
        <f>IF(OR(OR($A44="",$D44=""),S44=""),"",S44-(INT($Y44/18)+IF(INDEX('Tournament Setup'!$AQ:$AQ,MATCH($A44,'Tournament Setup'!$A:$A,0))&lt;=MOD($Y44,18),1,0)))</f>
      </c>
      <c r="AN44" t="e">
        <f>IF(OR(OR($A44="",$D44=""),T44=""),"",T44-(INT($Y44/18)+IF(INDEX('Tournament Setup'!$AR:$AR,MATCH($A44,'Tournament Setup'!$A:$A,0))&lt;=MOD($Y44,18),1,0)))</f>
      </c>
      <c r="AO44" t="e">
        <f>IF(OR(OR($A44="",$D44=""),U44=""),"",U44-(INT($Y44/18)+IF(INDEX('Tournament Setup'!$AS:$AS,MATCH($A44,'Tournament Setup'!$A:$A,0))&lt;=MOD($Y44,18),1,0)))</f>
      </c>
      <c r="AP44" t="e">
        <f>IF(OR(OR($A44="",$D44=""),V44=""),"",V44-(INT($Y44/18)+IF(INDEX('Tournament Setup'!$AT:$AT,MATCH($A44,'Tournament Setup'!$A:$A,0))&lt;=MOD($Y44,18),1,0)))</f>
      </c>
      <c r="AQ44" t="e">
        <f>IF(OR(OR($A44="",$D44=""),W44=""),"",W44-(INT($Y44/18)+IF(INDEX('Tournament Setup'!$AU:$AU,MATCH($A44,'Tournament Setup'!$A:$A,0))&lt;=MOD($Y44,18),1,0)))</f>
      </c>
    </row>
    <row r="45">
      <c r="X45" t="e">
        <f>IF(OR($A45="",$D45=""),"",SUM(F45:W45))</f>
      </c>
      <c r="Y45" t="e">
        <f>IF(OR($A45="",$D45=""),"",IF(INDEX('Tournament Setup'!$F:$F,MATCH($A45,'Tournament Setup'!$A:$A,0))="Net",ROUND(($E45-_xlfn.MINIFS($E$2:$E$401,$A$2:$A$401,$A45,$B$2:$B$401,$B45))*INDEX('Tournament Setup'!$G:$G,MATCH($A45,'Tournament Setup'!$A:$A,0))/100,0),0))</f>
      </c>
      <c r="Z45" t="e">
        <f>IF(OR(OR($A45="",$D45=""),F45=""),"",F45-(INT($Y45/18)+IF(INDEX('Tournament Setup'!$AD:$AD,MATCH($A45,'Tournament Setup'!$A:$A,0))&lt;=MOD($Y45,18),1,0)))</f>
      </c>
      <c r="AA45" t="e">
        <f>IF(OR(OR($A45="",$D45=""),G45=""),"",G45-(INT($Y45/18)+IF(INDEX('Tournament Setup'!$AE:$AE,MATCH($A45,'Tournament Setup'!$A:$A,0))&lt;=MOD($Y45,18),1,0)))</f>
      </c>
      <c r="AB45" t="e">
        <f>IF(OR(OR($A45="",$D45=""),H45=""),"",H45-(INT($Y45/18)+IF(INDEX('Tournament Setup'!$AF:$AF,MATCH($A45,'Tournament Setup'!$A:$A,0))&lt;=MOD($Y45,18),1,0)))</f>
      </c>
      <c r="AC45" t="e">
        <f>IF(OR(OR($A45="",$D45=""),I45=""),"",I45-(INT($Y45/18)+IF(INDEX('Tournament Setup'!$AG:$AG,MATCH($A45,'Tournament Setup'!$A:$A,0))&lt;=MOD($Y45,18),1,0)))</f>
      </c>
      <c r="AD45" t="e">
        <f>IF(OR(OR($A45="",$D45=""),J45=""),"",J45-(INT($Y45/18)+IF(INDEX('Tournament Setup'!$AH:$AH,MATCH($A45,'Tournament Setup'!$A:$A,0))&lt;=MOD($Y45,18),1,0)))</f>
      </c>
      <c r="AE45" t="e">
        <f>IF(OR(OR($A45="",$D45=""),K45=""),"",K45-(INT($Y45/18)+IF(INDEX('Tournament Setup'!$AI:$AI,MATCH($A45,'Tournament Setup'!$A:$A,0))&lt;=MOD($Y45,18),1,0)))</f>
      </c>
      <c r="AF45" t="e">
        <f>IF(OR(OR($A45="",$D45=""),L45=""),"",L45-(INT($Y45/18)+IF(INDEX('Tournament Setup'!$AJ:$AJ,MATCH($A45,'Tournament Setup'!$A:$A,0))&lt;=MOD($Y45,18),1,0)))</f>
      </c>
      <c r="AG45" t="e">
        <f>IF(OR(OR($A45="",$D45=""),M45=""),"",M45-(INT($Y45/18)+IF(INDEX('Tournament Setup'!$AK:$AK,MATCH($A45,'Tournament Setup'!$A:$A,0))&lt;=MOD($Y45,18),1,0)))</f>
      </c>
      <c r="AH45" t="e">
        <f>IF(OR(OR($A45="",$D45=""),N45=""),"",N45-(INT($Y45/18)+IF(INDEX('Tournament Setup'!$AL:$AL,MATCH($A45,'Tournament Setup'!$A:$A,0))&lt;=MOD($Y45,18),1,0)))</f>
      </c>
      <c r="AI45" t="e">
        <f>IF(OR(OR($A45="",$D45=""),O45=""),"",O45-(INT($Y45/18)+IF(INDEX('Tournament Setup'!$AM:$AM,MATCH($A45,'Tournament Setup'!$A:$A,0))&lt;=MOD($Y45,18),1,0)))</f>
      </c>
      <c r="AJ45" t="e">
        <f>IF(OR(OR($A45="",$D45=""),P45=""),"",P45-(INT($Y45/18)+IF(INDEX('Tournament Setup'!$AN:$AN,MATCH($A45,'Tournament Setup'!$A:$A,0))&lt;=MOD($Y45,18),1,0)))</f>
      </c>
      <c r="AK45" t="e">
        <f>IF(OR(OR($A45="",$D45=""),Q45=""),"",Q45-(INT($Y45/18)+IF(INDEX('Tournament Setup'!$AO:$AO,MATCH($A45,'Tournament Setup'!$A:$A,0))&lt;=MOD($Y45,18),1,0)))</f>
      </c>
      <c r="AL45" t="e">
        <f>IF(OR(OR($A45="",$D45=""),R45=""),"",R45-(INT($Y45/18)+IF(INDEX('Tournament Setup'!$AP:$AP,MATCH($A45,'Tournament Setup'!$A:$A,0))&lt;=MOD($Y45,18),1,0)))</f>
      </c>
      <c r="AM45" t="e">
        <f>IF(OR(OR($A45="",$D45=""),S45=""),"",S45-(INT($Y45/18)+IF(INDEX('Tournament Setup'!$AQ:$AQ,MATCH($A45,'Tournament Setup'!$A:$A,0))&lt;=MOD($Y45,18),1,0)))</f>
      </c>
      <c r="AN45" t="e">
        <f>IF(OR(OR($A45="",$D45=""),T45=""),"",T45-(INT($Y45/18)+IF(INDEX('Tournament Setup'!$AR:$AR,MATCH($A45,'Tournament Setup'!$A:$A,0))&lt;=MOD($Y45,18),1,0)))</f>
      </c>
      <c r="AO45" t="e">
        <f>IF(OR(OR($A45="",$D45=""),U45=""),"",U45-(INT($Y45/18)+IF(INDEX('Tournament Setup'!$AS:$AS,MATCH($A45,'Tournament Setup'!$A:$A,0))&lt;=MOD($Y45,18),1,0)))</f>
      </c>
      <c r="AP45" t="e">
        <f>IF(OR(OR($A45="",$D45=""),V45=""),"",V45-(INT($Y45/18)+IF(INDEX('Tournament Setup'!$AT:$AT,MATCH($A45,'Tournament Setup'!$A:$A,0))&lt;=MOD($Y45,18),1,0)))</f>
      </c>
      <c r="AQ45" t="e">
        <f>IF(OR(OR($A45="",$D45=""),W45=""),"",W45-(INT($Y45/18)+IF(INDEX('Tournament Setup'!$AU:$AU,MATCH($A45,'Tournament Setup'!$A:$A,0))&lt;=MOD($Y45,18),1,0)))</f>
      </c>
    </row>
    <row r="46">
      <c r="X46" t="e">
        <f>IF(OR($A46="",$D46=""),"",SUM(F46:W46))</f>
      </c>
      <c r="Y46" t="e">
        <f>IF(OR($A46="",$D46=""),"",IF(INDEX('Tournament Setup'!$F:$F,MATCH($A46,'Tournament Setup'!$A:$A,0))="Net",ROUND(($E46-_xlfn.MINIFS($E$2:$E$401,$A$2:$A$401,$A46,$B$2:$B$401,$B46))*INDEX('Tournament Setup'!$G:$G,MATCH($A46,'Tournament Setup'!$A:$A,0))/100,0),0))</f>
      </c>
      <c r="Z46" t="e">
        <f>IF(OR(OR($A46="",$D46=""),F46=""),"",F46-(INT($Y46/18)+IF(INDEX('Tournament Setup'!$AD:$AD,MATCH($A46,'Tournament Setup'!$A:$A,0))&lt;=MOD($Y46,18),1,0)))</f>
      </c>
      <c r="AA46" t="e">
        <f>IF(OR(OR($A46="",$D46=""),G46=""),"",G46-(INT($Y46/18)+IF(INDEX('Tournament Setup'!$AE:$AE,MATCH($A46,'Tournament Setup'!$A:$A,0))&lt;=MOD($Y46,18),1,0)))</f>
      </c>
      <c r="AB46" t="e">
        <f>IF(OR(OR($A46="",$D46=""),H46=""),"",H46-(INT($Y46/18)+IF(INDEX('Tournament Setup'!$AF:$AF,MATCH($A46,'Tournament Setup'!$A:$A,0))&lt;=MOD($Y46,18),1,0)))</f>
      </c>
      <c r="AC46" t="e">
        <f>IF(OR(OR($A46="",$D46=""),I46=""),"",I46-(INT($Y46/18)+IF(INDEX('Tournament Setup'!$AG:$AG,MATCH($A46,'Tournament Setup'!$A:$A,0))&lt;=MOD($Y46,18),1,0)))</f>
      </c>
      <c r="AD46" t="e">
        <f>IF(OR(OR($A46="",$D46=""),J46=""),"",J46-(INT($Y46/18)+IF(INDEX('Tournament Setup'!$AH:$AH,MATCH($A46,'Tournament Setup'!$A:$A,0))&lt;=MOD($Y46,18),1,0)))</f>
      </c>
      <c r="AE46" t="e">
        <f>IF(OR(OR($A46="",$D46=""),K46=""),"",K46-(INT($Y46/18)+IF(INDEX('Tournament Setup'!$AI:$AI,MATCH($A46,'Tournament Setup'!$A:$A,0))&lt;=MOD($Y46,18),1,0)))</f>
      </c>
      <c r="AF46" t="e">
        <f>IF(OR(OR($A46="",$D46=""),L46=""),"",L46-(INT($Y46/18)+IF(INDEX('Tournament Setup'!$AJ:$AJ,MATCH($A46,'Tournament Setup'!$A:$A,0))&lt;=MOD($Y46,18),1,0)))</f>
      </c>
      <c r="AG46" t="e">
        <f>IF(OR(OR($A46="",$D46=""),M46=""),"",M46-(INT($Y46/18)+IF(INDEX('Tournament Setup'!$AK:$AK,MATCH($A46,'Tournament Setup'!$A:$A,0))&lt;=MOD($Y46,18),1,0)))</f>
      </c>
      <c r="AH46" t="e">
        <f>IF(OR(OR($A46="",$D46=""),N46=""),"",N46-(INT($Y46/18)+IF(INDEX('Tournament Setup'!$AL:$AL,MATCH($A46,'Tournament Setup'!$A:$A,0))&lt;=MOD($Y46,18),1,0)))</f>
      </c>
      <c r="AI46" t="e">
        <f>IF(OR(OR($A46="",$D46=""),O46=""),"",O46-(INT($Y46/18)+IF(INDEX('Tournament Setup'!$AM:$AM,MATCH($A46,'Tournament Setup'!$A:$A,0))&lt;=MOD($Y46,18),1,0)))</f>
      </c>
      <c r="AJ46" t="e">
        <f>IF(OR(OR($A46="",$D46=""),P46=""),"",P46-(INT($Y46/18)+IF(INDEX('Tournament Setup'!$AN:$AN,MATCH($A46,'Tournament Setup'!$A:$A,0))&lt;=MOD($Y46,18),1,0)))</f>
      </c>
      <c r="AK46" t="e">
        <f>IF(OR(OR($A46="",$D46=""),Q46=""),"",Q46-(INT($Y46/18)+IF(INDEX('Tournament Setup'!$AO:$AO,MATCH($A46,'Tournament Setup'!$A:$A,0))&lt;=MOD($Y46,18),1,0)))</f>
      </c>
      <c r="AL46" t="e">
        <f>IF(OR(OR($A46="",$D46=""),R46=""),"",R46-(INT($Y46/18)+IF(INDEX('Tournament Setup'!$AP:$AP,MATCH($A46,'Tournament Setup'!$A:$A,0))&lt;=MOD($Y46,18),1,0)))</f>
      </c>
      <c r="AM46" t="e">
        <f>IF(OR(OR($A46="",$D46=""),S46=""),"",S46-(INT($Y46/18)+IF(INDEX('Tournament Setup'!$AQ:$AQ,MATCH($A46,'Tournament Setup'!$A:$A,0))&lt;=MOD($Y46,18),1,0)))</f>
      </c>
      <c r="AN46" t="e">
        <f>IF(OR(OR($A46="",$D46=""),T46=""),"",T46-(INT($Y46/18)+IF(INDEX('Tournament Setup'!$AR:$AR,MATCH($A46,'Tournament Setup'!$A:$A,0))&lt;=MOD($Y46,18),1,0)))</f>
      </c>
      <c r="AO46" t="e">
        <f>IF(OR(OR($A46="",$D46=""),U46=""),"",U46-(INT($Y46/18)+IF(INDEX('Tournament Setup'!$AS:$AS,MATCH($A46,'Tournament Setup'!$A:$A,0))&lt;=MOD($Y46,18),1,0)))</f>
      </c>
      <c r="AP46" t="e">
        <f>IF(OR(OR($A46="",$D46=""),V46=""),"",V46-(INT($Y46/18)+IF(INDEX('Tournament Setup'!$AT:$AT,MATCH($A46,'Tournament Setup'!$A:$A,0))&lt;=MOD($Y46,18),1,0)))</f>
      </c>
      <c r="AQ46" t="e">
        <f>IF(OR(OR($A46="",$D46=""),W46=""),"",W46-(INT($Y46/18)+IF(INDEX('Tournament Setup'!$AU:$AU,MATCH($A46,'Tournament Setup'!$A:$A,0))&lt;=MOD($Y46,18),1,0)))</f>
      </c>
    </row>
    <row r="47">
      <c r="X47" t="e">
        <f>IF(OR($A47="",$D47=""),"",SUM(F47:W47))</f>
      </c>
      <c r="Y47" t="e">
        <f>IF(OR($A47="",$D47=""),"",IF(INDEX('Tournament Setup'!$F:$F,MATCH($A47,'Tournament Setup'!$A:$A,0))="Net",ROUND(($E47-_xlfn.MINIFS($E$2:$E$401,$A$2:$A$401,$A47,$B$2:$B$401,$B47))*INDEX('Tournament Setup'!$G:$G,MATCH($A47,'Tournament Setup'!$A:$A,0))/100,0),0))</f>
      </c>
      <c r="Z47" t="e">
        <f>IF(OR(OR($A47="",$D47=""),F47=""),"",F47-(INT($Y47/18)+IF(INDEX('Tournament Setup'!$AD:$AD,MATCH($A47,'Tournament Setup'!$A:$A,0))&lt;=MOD($Y47,18),1,0)))</f>
      </c>
      <c r="AA47" t="e">
        <f>IF(OR(OR($A47="",$D47=""),G47=""),"",G47-(INT($Y47/18)+IF(INDEX('Tournament Setup'!$AE:$AE,MATCH($A47,'Tournament Setup'!$A:$A,0))&lt;=MOD($Y47,18),1,0)))</f>
      </c>
      <c r="AB47" t="e">
        <f>IF(OR(OR($A47="",$D47=""),H47=""),"",H47-(INT($Y47/18)+IF(INDEX('Tournament Setup'!$AF:$AF,MATCH($A47,'Tournament Setup'!$A:$A,0))&lt;=MOD($Y47,18),1,0)))</f>
      </c>
      <c r="AC47" t="e">
        <f>IF(OR(OR($A47="",$D47=""),I47=""),"",I47-(INT($Y47/18)+IF(INDEX('Tournament Setup'!$AG:$AG,MATCH($A47,'Tournament Setup'!$A:$A,0))&lt;=MOD($Y47,18),1,0)))</f>
      </c>
      <c r="AD47" t="e">
        <f>IF(OR(OR($A47="",$D47=""),J47=""),"",J47-(INT($Y47/18)+IF(INDEX('Tournament Setup'!$AH:$AH,MATCH($A47,'Tournament Setup'!$A:$A,0))&lt;=MOD($Y47,18),1,0)))</f>
      </c>
      <c r="AE47" t="e">
        <f>IF(OR(OR($A47="",$D47=""),K47=""),"",K47-(INT($Y47/18)+IF(INDEX('Tournament Setup'!$AI:$AI,MATCH($A47,'Tournament Setup'!$A:$A,0))&lt;=MOD($Y47,18),1,0)))</f>
      </c>
      <c r="AF47" t="e">
        <f>IF(OR(OR($A47="",$D47=""),L47=""),"",L47-(INT($Y47/18)+IF(INDEX('Tournament Setup'!$AJ:$AJ,MATCH($A47,'Tournament Setup'!$A:$A,0))&lt;=MOD($Y47,18),1,0)))</f>
      </c>
      <c r="AG47" t="e">
        <f>IF(OR(OR($A47="",$D47=""),M47=""),"",M47-(INT($Y47/18)+IF(INDEX('Tournament Setup'!$AK:$AK,MATCH($A47,'Tournament Setup'!$A:$A,0))&lt;=MOD($Y47,18),1,0)))</f>
      </c>
      <c r="AH47" t="e">
        <f>IF(OR(OR($A47="",$D47=""),N47=""),"",N47-(INT($Y47/18)+IF(INDEX('Tournament Setup'!$AL:$AL,MATCH($A47,'Tournament Setup'!$A:$A,0))&lt;=MOD($Y47,18),1,0)))</f>
      </c>
      <c r="AI47" t="e">
        <f>IF(OR(OR($A47="",$D47=""),O47=""),"",O47-(INT($Y47/18)+IF(INDEX('Tournament Setup'!$AM:$AM,MATCH($A47,'Tournament Setup'!$A:$A,0))&lt;=MOD($Y47,18),1,0)))</f>
      </c>
      <c r="AJ47" t="e">
        <f>IF(OR(OR($A47="",$D47=""),P47=""),"",P47-(INT($Y47/18)+IF(INDEX('Tournament Setup'!$AN:$AN,MATCH($A47,'Tournament Setup'!$A:$A,0))&lt;=MOD($Y47,18),1,0)))</f>
      </c>
      <c r="AK47" t="e">
        <f>IF(OR(OR($A47="",$D47=""),Q47=""),"",Q47-(INT($Y47/18)+IF(INDEX('Tournament Setup'!$AO:$AO,MATCH($A47,'Tournament Setup'!$A:$A,0))&lt;=MOD($Y47,18),1,0)))</f>
      </c>
      <c r="AL47" t="e">
        <f>IF(OR(OR($A47="",$D47=""),R47=""),"",R47-(INT($Y47/18)+IF(INDEX('Tournament Setup'!$AP:$AP,MATCH($A47,'Tournament Setup'!$A:$A,0))&lt;=MOD($Y47,18),1,0)))</f>
      </c>
      <c r="AM47" t="e">
        <f>IF(OR(OR($A47="",$D47=""),S47=""),"",S47-(INT($Y47/18)+IF(INDEX('Tournament Setup'!$AQ:$AQ,MATCH($A47,'Tournament Setup'!$A:$A,0))&lt;=MOD($Y47,18),1,0)))</f>
      </c>
      <c r="AN47" t="e">
        <f>IF(OR(OR($A47="",$D47=""),T47=""),"",T47-(INT($Y47/18)+IF(INDEX('Tournament Setup'!$AR:$AR,MATCH($A47,'Tournament Setup'!$A:$A,0))&lt;=MOD($Y47,18),1,0)))</f>
      </c>
      <c r="AO47" t="e">
        <f>IF(OR(OR($A47="",$D47=""),U47=""),"",U47-(INT($Y47/18)+IF(INDEX('Tournament Setup'!$AS:$AS,MATCH($A47,'Tournament Setup'!$A:$A,0))&lt;=MOD($Y47,18),1,0)))</f>
      </c>
      <c r="AP47" t="e">
        <f>IF(OR(OR($A47="",$D47=""),V47=""),"",V47-(INT($Y47/18)+IF(INDEX('Tournament Setup'!$AT:$AT,MATCH($A47,'Tournament Setup'!$A:$A,0))&lt;=MOD($Y47,18),1,0)))</f>
      </c>
      <c r="AQ47" t="e">
        <f>IF(OR(OR($A47="",$D47=""),W47=""),"",W47-(INT($Y47/18)+IF(INDEX('Tournament Setup'!$AU:$AU,MATCH($A47,'Tournament Setup'!$A:$A,0))&lt;=MOD($Y47,18),1,0)))</f>
      </c>
    </row>
    <row r="48">
      <c r="X48" t="e">
        <f>IF(OR($A48="",$D48=""),"",SUM(F48:W48))</f>
      </c>
      <c r="Y48" t="e">
        <f>IF(OR($A48="",$D48=""),"",IF(INDEX('Tournament Setup'!$F:$F,MATCH($A48,'Tournament Setup'!$A:$A,0))="Net",ROUND(($E48-_xlfn.MINIFS($E$2:$E$401,$A$2:$A$401,$A48,$B$2:$B$401,$B48))*INDEX('Tournament Setup'!$G:$G,MATCH($A48,'Tournament Setup'!$A:$A,0))/100,0),0))</f>
      </c>
      <c r="Z48" t="e">
        <f>IF(OR(OR($A48="",$D48=""),F48=""),"",F48-(INT($Y48/18)+IF(INDEX('Tournament Setup'!$AD:$AD,MATCH($A48,'Tournament Setup'!$A:$A,0))&lt;=MOD($Y48,18),1,0)))</f>
      </c>
      <c r="AA48" t="e">
        <f>IF(OR(OR($A48="",$D48=""),G48=""),"",G48-(INT($Y48/18)+IF(INDEX('Tournament Setup'!$AE:$AE,MATCH($A48,'Tournament Setup'!$A:$A,0))&lt;=MOD($Y48,18),1,0)))</f>
      </c>
      <c r="AB48" t="e">
        <f>IF(OR(OR($A48="",$D48=""),H48=""),"",H48-(INT($Y48/18)+IF(INDEX('Tournament Setup'!$AF:$AF,MATCH($A48,'Tournament Setup'!$A:$A,0))&lt;=MOD($Y48,18),1,0)))</f>
      </c>
      <c r="AC48" t="e">
        <f>IF(OR(OR($A48="",$D48=""),I48=""),"",I48-(INT($Y48/18)+IF(INDEX('Tournament Setup'!$AG:$AG,MATCH($A48,'Tournament Setup'!$A:$A,0))&lt;=MOD($Y48,18),1,0)))</f>
      </c>
      <c r="AD48" t="e">
        <f>IF(OR(OR($A48="",$D48=""),J48=""),"",J48-(INT($Y48/18)+IF(INDEX('Tournament Setup'!$AH:$AH,MATCH($A48,'Tournament Setup'!$A:$A,0))&lt;=MOD($Y48,18),1,0)))</f>
      </c>
      <c r="AE48" t="e">
        <f>IF(OR(OR($A48="",$D48=""),K48=""),"",K48-(INT($Y48/18)+IF(INDEX('Tournament Setup'!$AI:$AI,MATCH($A48,'Tournament Setup'!$A:$A,0))&lt;=MOD($Y48,18),1,0)))</f>
      </c>
      <c r="AF48" t="e">
        <f>IF(OR(OR($A48="",$D48=""),L48=""),"",L48-(INT($Y48/18)+IF(INDEX('Tournament Setup'!$AJ:$AJ,MATCH($A48,'Tournament Setup'!$A:$A,0))&lt;=MOD($Y48,18),1,0)))</f>
      </c>
      <c r="AG48" t="e">
        <f>IF(OR(OR($A48="",$D48=""),M48=""),"",M48-(INT($Y48/18)+IF(INDEX('Tournament Setup'!$AK:$AK,MATCH($A48,'Tournament Setup'!$A:$A,0))&lt;=MOD($Y48,18),1,0)))</f>
      </c>
      <c r="AH48" t="e">
        <f>IF(OR(OR($A48="",$D48=""),N48=""),"",N48-(INT($Y48/18)+IF(INDEX('Tournament Setup'!$AL:$AL,MATCH($A48,'Tournament Setup'!$A:$A,0))&lt;=MOD($Y48,18),1,0)))</f>
      </c>
      <c r="AI48" t="e">
        <f>IF(OR(OR($A48="",$D48=""),O48=""),"",O48-(INT($Y48/18)+IF(INDEX('Tournament Setup'!$AM:$AM,MATCH($A48,'Tournament Setup'!$A:$A,0))&lt;=MOD($Y48,18),1,0)))</f>
      </c>
      <c r="AJ48" t="e">
        <f>IF(OR(OR($A48="",$D48=""),P48=""),"",P48-(INT($Y48/18)+IF(INDEX('Tournament Setup'!$AN:$AN,MATCH($A48,'Tournament Setup'!$A:$A,0))&lt;=MOD($Y48,18),1,0)))</f>
      </c>
      <c r="AK48" t="e">
        <f>IF(OR(OR($A48="",$D48=""),Q48=""),"",Q48-(INT($Y48/18)+IF(INDEX('Tournament Setup'!$AO:$AO,MATCH($A48,'Tournament Setup'!$A:$A,0))&lt;=MOD($Y48,18),1,0)))</f>
      </c>
      <c r="AL48" t="e">
        <f>IF(OR(OR($A48="",$D48=""),R48=""),"",R48-(INT($Y48/18)+IF(INDEX('Tournament Setup'!$AP:$AP,MATCH($A48,'Tournament Setup'!$A:$A,0))&lt;=MOD($Y48,18),1,0)))</f>
      </c>
      <c r="AM48" t="e">
        <f>IF(OR(OR($A48="",$D48=""),S48=""),"",S48-(INT($Y48/18)+IF(INDEX('Tournament Setup'!$AQ:$AQ,MATCH($A48,'Tournament Setup'!$A:$A,0))&lt;=MOD($Y48,18),1,0)))</f>
      </c>
      <c r="AN48" t="e">
        <f>IF(OR(OR($A48="",$D48=""),T48=""),"",T48-(INT($Y48/18)+IF(INDEX('Tournament Setup'!$AR:$AR,MATCH($A48,'Tournament Setup'!$A:$A,0))&lt;=MOD($Y48,18),1,0)))</f>
      </c>
      <c r="AO48" t="e">
        <f>IF(OR(OR($A48="",$D48=""),U48=""),"",U48-(INT($Y48/18)+IF(INDEX('Tournament Setup'!$AS:$AS,MATCH($A48,'Tournament Setup'!$A:$A,0))&lt;=MOD($Y48,18),1,0)))</f>
      </c>
      <c r="AP48" t="e">
        <f>IF(OR(OR($A48="",$D48=""),V48=""),"",V48-(INT($Y48/18)+IF(INDEX('Tournament Setup'!$AT:$AT,MATCH($A48,'Tournament Setup'!$A:$A,0))&lt;=MOD($Y48,18),1,0)))</f>
      </c>
      <c r="AQ48" t="e">
        <f>IF(OR(OR($A48="",$D48=""),W48=""),"",W48-(INT($Y48/18)+IF(INDEX('Tournament Setup'!$AU:$AU,MATCH($A48,'Tournament Setup'!$A:$A,0))&lt;=MOD($Y48,18),1,0)))</f>
      </c>
    </row>
    <row r="49">
      <c r="X49" t="e">
        <f>IF(OR($A49="",$D49=""),"",SUM(F49:W49))</f>
      </c>
      <c r="Y49" t="e">
        <f>IF(OR($A49="",$D49=""),"",IF(INDEX('Tournament Setup'!$F:$F,MATCH($A49,'Tournament Setup'!$A:$A,0))="Net",ROUND(($E49-_xlfn.MINIFS($E$2:$E$401,$A$2:$A$401,$A49,$B$2:$B$401,$B49))*INDEX('Tournament Setup'!$G:$G,MATCH($A49,'Tournament Setup'!$A:$A,0))/100,0),0))</f>
      </c>
      <c r="Z49" t="e">
        <f>IF(OR(OR($A49="",$D49=""),F49=""),"",F49-(INT($Y49/18)+IF(INDEX('Tournament Setup'!$AD:$AD,MATCH($A49,'Tournament Setup'!$A:$A,0))&lt;=MOD($Y49,18),1,0)))</f>
      </c>
      <c r="AA49" t="e">
        <f>IF(OR(OR($A49="",$D49=""),G49=""),"",G49-(INT($Y49/18)+IF(INDEX('Tournament Setup'!$AE:$AE,MATCH($A49,'Tournament Setup'!$A:$A,0))&lt;=MOD($Y49,18),1,0)))</f>
      </c>
      <c r="AB49" t="e">
        <f>IF(OR(OR($A49="",$D49=""),H49=""),"",H49-(INT($Y49/18)+IF(INDEX('Tournament Setup'!$AF:$AF,MATCH($A49,'Tournament Setup'!$A:$A,0))&lt;=MOD($Y49,18),1,0)))</f>
      </c>
      <c r="AC49" t="e">
        <f>IF(OR(OR($A49="",$D49=""),I49=""),"",I49-(INT($Y49/18)+IF(INDEX('Tournament Setup'!$AG:$AG,MATCH($A49,'Tournament Setup'!$A:$A,0))&lt;=MOD($Y49,18),1,0)))</f>
      </c>
      <c r="AD49" t="e">
        <f>IF(OR(OR($A49="",$D49=""),J49=""),"",J49-(INT($Y49/18)+IF(INDEX('Tournament Setup'!$AH:$AH,MATCH($A49,'Tournament Setup'!$A:$A,0))&lt;=MOD($Y49,18),1,0)))</f>
      </c>
      <c r="AE49" t="e">
        <f>IF(OR(OR($A49="",$D49=""),K49=""),"",K49-(INT($Y49/18)+IF(INDEX('Tournament Setup'!$AI:$AI,MATCH($A49,'Tournament Setup'!$A:$A,0))&lt;=MOD($Y49,18),1,0)))</f>
      </c>
      <c r="AF49" t="e">
        <f>IF(OR(OR($A49="",$D49=""),L49=""),"",L49-(INT($Y49/18)+IF(INDEX('Tournament Setup'!$AJ:$AJ,MATCH($A49,'Tournament Setup'!$A:$A,0))&lt;=MOD($Y49,18),1,0)))</f>
      </c>
      <c r="AG49" t="e">
        <f>IF(OR(OR($A49="",$D49=""),M49=""),"",M49-(INT($Y49/18)+IF(INDEX('Tournament Setup'!$AK:$AK,MATCH($A49,'Tournament Setup'!$A:$A,0))&lt;=MOD($Y49,18),1,0)))</f>
      </c>
      <c r="AH49" t="e">
        <f>IF(OR(OR($A49="",$D49=""),N49=""),"",N49-(INT($Y49/18)+IF(INDEX('Tournament Setup'!$AL:$AL,MATCH($A49,'Tournament Setup'!$A:$A,0))&lt;=MOD($Y49,18),1,0)))</f>
      </c>
      <c r="AI49" t="e">
        <f>IF(OR(OR($A49="",$D49=""),O49=""),"",O49-(INT($Y49/18)+IF(INDEX('Tournament Setup'!$AM:$AM,MATCH($A49,'Tournament Setup'!$A:$A,0))&lt;=MOD($Y49,18),1,0)))</f>
      </c>
      <c r="AJ49" t="e">
        <f>IF(OR(OR($A49="",$D49=""),P49=""),"",P49-(INT($Y49/18)+IF(INDEX('Tournament Setup'!$AN:$AN,MATCH($A49,'Tournament Setup'!$A:$A,0))&lt;=MOD($Y49,18),1,0)))</f>
      </c>
      <c r="AK49" t="e">
        <f>IF(OR(OR($A49="",$D49=""),Q49=""),"",Q49-(INT($Y49/18)+IF(INDEX('Tournament Setup'!$AO:$AO,MATCH($A49,'Tournament Setup'!$A:$A,0))&lt;=MOD($Y49,18),1,0)))</f>
      </c>
      <c r="AL49" t="e">
        <f>IF(OR(OR($A49="",$D49=""),R49=""),"",R49-(INT($Y49/18)+IF(INDEX('Tournament Setup'!$AP:$AP,MATCH($A49,'Tournament Setup'!$A:$A,0))&lt;=MOD($Y49,18),1,0)))</f>
      </c>
      <c r="AM49" t="e">
        <f>IF(OR(OR($A49="",$D49=""),S49=""),"",S49-(INT($Y49/18)+IF(INDEX('Tournament Setup'!$AQ:$AQ,MATCH($A49,'Tournament Setup'!$A:$A,0))&lt;=MOD($Y49,18),1,0)))</f>
      </c>
      <c r="AN49" t="e">
        <f>IF(OR(OR($A49="",$D49=""),T49=""),"",T49-(INT($Y49/18)+IF(INDEX('Tournament Setup'!$AR:$AR,MATCH($A49,'Tournament Setup'!$A:$A,0))&lt;=MOD($Y49,18),1,0)))</f>
      </c>
      <c r="AO49" t="e">
        <f>IF(OR(OR($A49="",$D49=""),U49=""),"",U49-(INT($Y49/18)+IF(INDEX('Tournament Setup'!$AS:$AS,MATCH($A49,'Tournament Setup'!$A:$A,0))&lt;=MOD($Y49,18),1,0)))</f>
      </c>
      <c r="AP49" t="e">
        <f>IF(OR(OR($A49="",$D49=""),V49=""),"",V49-(INT($Y49/18)+IF(INDEX('Tournament Setup'!$AT:$AT,MATCH($A49,'Tournament Setup'!$A:$A,0))&lt;=MOD($Y49,18),1,0)))</f>
      </c>
      <c r="AQ49" t="e">
        <f>IF(OR(OR($A49="",$D49=""),W49=""),"",W49-(INT($Y49/18)+IF(INDEX('Tournament Setup'!$AU:$AU,MATCH($A49,'Tournament Setup'!$A:$A,0))&lt;=MOD($Y49,18),1,0)))</f>
      </c>
    </row>
    <row r="50">
      <c r="X50" t="e">
        <f>IF(OR($A50="",$D50=""),"",SUM(F50:W50))</f>
      </c>
      <c r="Y50" t="e">
        <f>IF(OR($A50="",$D50=""),"",IF(INDEX('Tournament Setup'!$F:$F,MATCH($A50,'Tournament Setup'!$A:$A,0))="Net",ROUND(($E50-_xlfn.MINIFS($E$2:$E$401,$A$2:$A$401,$A50,$B$2:$B$401,$B50))*INDEX('Tournament Setup'!$G:$G,MATCH($A50,'Tournament Setup'!$A:$A,0))/100,0),0))</f>
      </c>
      <c r="Z50" t="e">
        <f>IF(OR(OR($A50="",$D50=""),F50=""),"",F50-(INT($Y50/18)+IF(INDEX('Tournament Setup'!$AD:$AD,MATCH($A50,'Tournament Setup'!$A:$A,0))&lt;=MOD($Y50,18),1,0)))</f>
      </c>
      <c r="AA50" t="e">
        <f>IF(OR(OR($A50="",$D50=""),G50=""),"",G50-(INT($Y50/18)+IF(INDEX('Tournament Setup'!$AE:$AE,MATCH($A50,'Tournament Setup'!$A:$A,0))&lt;=MOD($Y50,18),1,0)))</f>
      </c>
      <c r="AB50" t="e">
        <f>IF(OR(OR($A50="",$D50=""),H50=""),"",H50-(INT($Y50/18)+IF(INDEX('Tournament Setup'!$AF:$AF,MATCH($A50,'Tournament Setup'!$A:$A,0))&lt;=MOD($Y50,18),1,0)))</f>
      </c>
      <c r="AC50" t="e">
        <f>IF(OR(OR($A50="",$D50=""),I50=""),"",I50-(INT($Y50/18)+IF(INDEX('Tournament Setup'!$AG:$AG,MATCH($A50,'Tournament Setup'!$A:$A,0))&lt;=MOD($Y50,18),1,0)))</f>
      </c>
      <c r="AD50" t="e">
        <f>IF(OR(OR($A50="",$D50=""),J50=""),"",J50-(INT($Y50/18)+IF(INDEX('Tournament Setup'!$AH:$AH,MATCH($A50,'Tournament Setup'!$A:$A,0))&lt;=MOD($Y50,18),1,0)))</f>
      </c>
      <c r="AE50" t="e">
        <f>IF(OR(OR($A50="",$D50=""),K50=""),"",K50-(INT($Y50/18)+IF(INDEX('Tournament Setup'!$AI:$AI,MATCH($A50,'Tournament Setup'!$A:$A,0))&lt;=MOD($Y50,18),1,0)))</f>
      </c>
      <c r="AF50" t="e">
        <f>IF(OR(OR($A50="",$D50=""),L50=""),"",L50-(INT($Y50/18)+IF(INDEX('Tournament Setup'!$AJ:$AJ,MATCH($A50,'Tournament Setup'!$A:$A,0))&lt;=MOD($Y50,18),1,0)))</f>
      </c>
      <c r="AG50" t="e">
        <f>IF(OR(OR($A50="",$D50=""),M50=""),"",M50-(INT($Y50/18)+IF(INDEX('Tournament Setup'!$AK:$AK,MATCH($A50,'Tournament Setup'!$A:$A,0))&lt;=MOD($Y50,18),1,0)))</f>
      </c>
      <c r="AH50" t="e">
        <f>IF(OR(OR($A50="",$D50=""),N50=""),"",N50-(INT($Y50/18)+IF(INDEX('Tournament Setup'!$AL:$AL,MATCH($A50,'Tournament Setup'!$A:$A,0))&lt;=MOD($Y50,18),1,0)))</f>
      </c>
      <c r="AI50" t="e">
        <f>IF(OR(OR($A50="",$D50=""),O50=""),"",O50-(INT($Y50/18)+IF(INDEX('Tournament Setup'!$AM:$AM,MATCH($A50,'Tournament Setup'!$A:$A,0))&lt;=MOD($Y50,18),1,0)))</f>
      </c>
      <c r="AJ50" t="e">
        <f>IF(OR(OR($A50="",$D50=""),P50=""),"",P50-(INT($Y50/18)+IF(INDEX('Tournament Setup'!$AN:$AN,MATCH($A50,'Tournament Setup'!$A:$A,0))&lt;=MOD($Y50,18),1,0)))</f>
      </c>
      <c r="AK50" t="e">
        <f>IF(OR(OR($A50="",$D50=""),Q50=""),"",Q50-(INT($Y50/18)+IF(INDEX('Tournament Setup'!$AO:$AO,MATCH($A50,'Tournament Setup'!$A:$A,0))&lt;=MOD($Y50,18),1,0)))</f>
      </c>
      <c r="AL50" t="e">
        <f>IF(OR(OR($A50="",$D50=""),R50=""),"",R50-(INT($Y50/18)+IF(INDEX('Tournament Setup'!$AP:$AP,MATCH($A50,'Tournament Setup'!$A:$A,0))&lt;=MOD($Y50,18),1,0)))</f>
      </c>
      <c r="AM50" t="e">
        <f>IF(OR(OR($A50="",$D50=""),S50=""),"",S50-(INT($Y50/18)+IF(INDEX('Tournament Setup'!$AQ:$AQ,MATCH($A50,'Tournament Setup'!$A:$A,0))&lt;=MOD($Y50,18),1,0)))</f>
      </c>
      <c r="AN50" t="e">
        <f>IF(OR(OR($A50="",$D50=""),T50=""),"",T50-(INT($Y50/18)+IF(INDEX('Tournament Setup'!$AR:$AR,MATCH($A50,'Tournament Setup'!$A:$A,0))&lt;=MOD($Y50,18),1,0)))</f>
      </c>
      <c r="AO50" t="e">
        <f>IF(OR(OR($A50="",$D50=""),U50=""),"",U50-(INT($Y50/18)+IF(INDEX('Tournament Setup'!$AS:$AS,MATCH($A50,'Tournament Setup'!$A:$A,0))&lt;=MOD($Y50,18),1,0)))</f>
      </c>
      <c r="AP50" t="e">
        <f>IF(OR(OR($A50="",$D50=""),V50=""),"",V50-(INT($Y50/18)+IF(INDEX('Tournament Setup'!$AT:$AT,MATCH($A50,'Tournament Setup'!$A:$A,0))&lt;=MOD($Y50,18),1,0)))</f>
      </c>
      <c r="AQ50" t="e">
        <f>IF(OR(OR($A50="",$D50=""),W50=""),"",W50-(INT($Y50/18)+IF(INDEX('Tournament Setup'!$AU:$AU,MATCH($A50,'Tournament Setup'!$A:$A,0))&lt;=MOD($Y50,18),1,0)))</f>
      </c>
    </row>
    <row r="51">
      <c r="X51" t="e">
        <f>IF(OR($A51="",$D51=""),"",SUM(F51:W51))</f>
      </c>
      <c r="Y51" t="e">
        <f>IF(OR($A51="",$D51=""),"",IF(INDEX('Tournament Setup'!$F:$F,MATCH($A51,'Tournament Setup'!$A:$A,0))="Net",ROUND(($E51-_xlfn.MINIFS($E$2:$E$401,$A$2:$A$401,$A51,$B$2:$B$401,$B51))*INDEX('Tournament Setup'!$G:$G,MATCH($A51,'Tournament Setup'!$A:$A,0))/100,0),0))</f>
      </c>
      <c r="Z51" t="e">
        <f>IF(OR(OR($A51="",$D51=""),F51=""),"",F51-(INT($Y51/18)+IF(INDEX('Tournament Setup'!$AD:$AD,MATCH($A51,'Tournament Setup'!$A:$A,0))&lt;=MOD($Y51,18),1,0)))</f>
      </c>
      <c r="AA51" t="e">
        <f>IF(OR(OR($A51="",$D51=""),G51=""),"",G51-(INT($Y51/18)+IF(INDEX('Tournament Setup'!$AE:$AE,MATCH($A51,'Tournament Setup'!$A:$A,0))&lt;=MOD($Y51,18),1,0)))</f>
      </c>
      <c r="AB51" t="e">
        <f>IF(OR(OR($A51="",$D51=""),H51=""),"",H51-(INT($Y51/18)+IF(INDEX('Tournament Setup'!$AF:$AF,MATCH($A51,'Tournament Setup'!$A:$A,0))&lt;=MOD($Y51,18),1,0)))</f>
      </c>
      <c r="AC51" t="e">
        <f>IF(OR(OR($A51="",$D51=""),I51=""),"",I51-(INT($Y51/18)+IF(INDEX('Tournament Setup'!$AG:$AG,MATCH($A51,'Tournament Setup'!$A:$A,0))&lt;=MOD($Y51,18),1,0)))</f>
      </c>
      <c r="AD51" t="e">
        <f>IF(OR(OR($A51="",$D51=""),J51=""),"",J51-(INT($Y51/18)+IF(INDEX('Tournament Setup'!$AH:$AH,MATCH($A51,'Tournament Setup'!$A:$A,0))&lt;=MOD($Y51,18),1,0)))</f>
      </c>
      <c r="AE51" t="e">
        <f>IF(OR(OR($A51="",$D51=""),K51=""),"",K51-(INT($Y51/18)+IF(INDEX('Tournament Setup'!$AI:$AI,MATCH($A51,'Tournament Setup'!$A:$A,0))&lt;=MOD($Y51,18),1,0)))</f>
      </c>
      <c r="AF51" t="e">
        <f>IF(OR(OR($A51="",$D51=""),L51=""),"",L51-(INT($Y51/18)+IF(INDEX('Tournament Setup'!$AJ:$AJ,MATCH($A51,'Tournament Setup'!$A:$A,0))&lt;=MOD($Y51,18),1,0)))</f>
      </c>
      <c r="AG51" t="e">
        <f>IF(OR(OR($A51="",$D51=""),M51=""),"",M51-(INT($Y51/18)+IF(INDEX('Tournament Setup'!$AK:$AK,MATCH($A51,'Tournament Setup'!$A:$A,0))&lt;=MOD($Y51,18),1,0)))</f>
      </c>
      <c r="AH51" t="e">
        <f>IF(OR(OR($A51="",$D51=""),N51=""),"",N51-(INT($Y51/18)+IF(INDEX('Tournament Setup'!$AL:$AL,MATCH($A51,'Tournament Setup'!$A:$A,0))&lt;=MOD($Y51,18),1,0)))</f>
      </c>
      <c r="AI51" t="e">
        <f>IF(OR(OR($A51="",$D51=""),O51=""),"",O51-(INT($Y51/18)+IF(INDEX('Tournament Setup'!$AM:$AM,MATCH($A51,'Tournament Setup'!$A:$A,0))&lt;=MOD($Y51,18),1,0)))</f>
      </c>
      <c r="AJ51" t="e">
        <f>IF(OR(OR($A51="",$D51=""),P51=""),"",P51-(INT($Y51/18)+IF(INDEX('Tournament Setup'!$AN:$AN,MATCH($A51,'Tournament Setup'!$A:$A,0))&lt;=MOD($Y51,18),1,0)))</f>
      </c>
      <c r="AK51" t="e">
        <f>IF(OR(OR($A51="",$D51=""),Q51=""),"",Q51-(INT($Y51/18)+IF(INDEX('Tournament Setup'!$AO:$AO,MATCH($A51,'Tournament Setup'!$A:$A,0))&lt;=MOD($Y51,18),1,0)))</f>
      </c>
      <c r="AL51" t="e">
        <f>IF(OR(OR($A51="",$D51=""),R51=""),"",R51-(INT($Y51/18)+IF(INDEX('Tournament Setup'!$AP:$AP,MATCH($A51,'Tournament Setup'!$A:$A,0))&lt;=MOD($Y51,18),1,0)))</f>
      </c>
      <c r="AM51" t="e">
        <f>IF(OR(OR($A51="",$D51=""),S51=""),"",S51-(INT($Y51/18)+IF(INDEX('Tournament Setup'!$AQ:$AQ,MATCH($A51,'Tournament Setup'!$A:$A,0))&lt;=MOD($Y51,18),1,0)))</f>
      </c>
      <c r="AN51" t="e">
        <f>IF(OR(OR($A51="",$D51=""),T51=""),"",T51-(INT($Y51/18)+IF(INDEX('Tournament Setup'!$AR:$AR,MATCH($A51,'Tournament Setup'!$A:$A,0))&lt;=MOD($Y51,18),1,0)))</f>
      </c>
      <c r="AO51" t="e">
        <f>IF(OR(OR($A51="",$D51=""),U51=""),"",U51-(INT($Y51/18)+IF(INDEX('Tournament Setup'!$AS:$AS,MATCH($A51,'Tournament Setup'!$A:$A,0))&lt;=MOD($Y51,18),1,0)))</f>
      </c>
      <c r="AP51" t="e">
        <f>IF(OR(OR($A51="",$D51=""),V51=""),"",V51-(INT($Y51/18)+IF(INDEX('Tournament Setup'!$AT:$AT,MATCH($A51,'Tournament Setup'!$A:$A,0))&lt;=MOD($Y51,18),1,0)))</f>
      </c>
      <c r="AQ51" t="e">
        <f>IF(OR(OR($A51="",$D51=""),W51=""),"",W51-(INT($Y51/18)+IF(INDEX('Tournament Setup'!$AU:$AU,MATCH($A51,'Tournament Setup'!$A:$A,0))&lt;=MOD($Y51,18),1,0)))</f>
      </c>
    </row>
    <row r="52">
      <c r="X52" t="e">
        <f>IF(OR($A52="",$D52=""),"",SUM(F52:W52))</f>
      </c>
      <c r="Y52" t="e">
        <f>IF(OR($A52="",$D52=""),"",IF(INDEX('Tournament Setup'!$F:$F,MATCH($A52,'Tournament Setup'!$A:$A,0))="Net",ROUND(($E52-_xlfn.MINIFS($E$2:$E$401,$A$2:$A$401,$A52,$B$2:$B$401,$B52))*INDEX('Tournament Setup'!$G:$G,MATCH($A52,'Tournament Setup'!$A:$A,0))/100,0),0))</f>
      </c>
      <c r="Z52" t="e">
        <f>IF(OR(OR($A52="",$D52=""),F52=""),"",F52-(INT($Y52/18)+IF(INDEX('Tournament Setup'!$AD:$AD,MATCH($A52,'Tournament Setup'!$A:$A,0))&lt;=MOD($Y52,18),1,0)))</f>
      </c>
      <c r="AA52" t="e">
        <f>IF(OR(OR($A52="",$D52=""),G52=""),"",G52-(INT($Y52/18)+IF(INDEX('Tournament Setup'!$AE:$AE,MATCH($A52,'Tournament Setup'!$A:$A,0))&lt;=MOD($Y52,18),1,0)))</f>
      </c>
      <c r="AB52" t="e">
        <f>IF(OR(OR($A52="",$D52=""),H52=""),"",H52-(INT($Y52/18)+IF(INDEX('Tournament Setup'!$AF:$AF,MATCH($A52,'Tournament Setup'!$A:$A,0))&lt;=MOD($Y52,18),1,0)))</f>
      </c>
      <c r="AC52" t="e">
        <f>IF(OR(OR($A52="",$D52=""),I52=""),"",I52-(INT($Y52/18)+IF(INDEX('Tournament Setup'!$AG:$AG,MATCH($A52,'Tournament Setup'!$A:$A,0))&lt;=MOD($Y52,18),1,0)))</f>
      </c>
      <c r="AD52" t="e">
        <f>IF(OR(OR($A52="",$D52=""),J52=""),"",J52-(INT($Y52/18)+IF(INDEX('Tournament Setup'!$AH:$AH,MATCH($A52,'Tournament Setup'!$A:$A,0))&lt;=MOD($Y52,18),1,0)))</f>
      </c>
      <c r="AE52" t="e">
        <f>IF(OR(OR($A52="",$D52=""),K52=""),"",K52-(INT($Y52/18)+IF(INDEX('Tournament Setup'!$AI:$AI,MATCH($A52,'Tournament Setup'!$A:$A,0))&lt;=MOD($Y52,18),1,0)))</f>
      </c>
      <c r="AF52" t="e">
        <f>IF(OR(OR($A52="",$D52=""),L52=""),"",L52-(INT($Y52/18)+IF(INDEX('Tournament Setup'!$AJ:$AJ,MATCH($A52,'Tournament Setup'!$A:$A,0))&lt;=MOD($Y52,18),1,0)))</f>
      </c>
      <c r="AG52" t="e">
        <f>IF(OR(OR($A52="",$D52=""),M52=""),"",M52-(INT($Y52/18)+IF(INDEX('Tournament Setup'!$AK:$AK,MATCH($A52,'Tournament Setup'!$A:$A,0))&lt;=MOD($Y52,18),1,0)))</f>
      </c>
      <c r="AH52" t="e">
        <f>IF(OR(OR($A52="",$D52=""),N52=""),"",N52-(INT($Y52/18)+IF(INDEX('Tournament Setup'!$AL:$AL,MATCH($A52,'Tournament Setup'!$A:$A,0))&lt;=MOD($Y52,18),1,0)))</f>
      </c>
      <c r="AI52" t="e">
        <f>IF(OR(OR($A52="",$D52=""),O52=""),"",O52-(INT($Y52/18)+IF(INDEX('Tournament Setup'!$AM:$AM,MATCH($A52,'Tournament Setup'!$A:$A,0))&lt;=MOD($Y52,18),1,0)))</f>
      </c>
      <c r="AJ52" t="e">
        <f>IF(OR(OR($A52="",$D52=""),P52=""),"",P52-(INT($Y52/18)+IF(INDEX('Tournament Setup'!$AN:$AN,MATCH($A52,'Tournament Setup'!$A:$A,0))&lt;=MOD($Y52,18),1,0)))</f>
      </c>
      <c r="AK52" t="e">
        <f>IF(OR(OR($A52="",$D52=""),Q52=""),"",Q52-(INT($Y52/18)+IF(INDEX('Tournament Setup'!$AO:$AO,MATCH($A52,'Tournament Setup'!$A:$A,0))&lt;=MOD($Y52,18),1,0)))</f>
      </c>
      <c r="AL52" t="e">
        <f>IF(OR(OR($A52="",$D52=""),R52=""),"",R52-(INT($Y52/18)+IF(INDEX('Tournament Setup'!$AP:$AP,MATCH($A52,'Tournament Setup'!$A:$A,0))&lt;=MOD($Y52,18),1,0)))</f>
      </c>
      <c r="AM52" t="e">
        <f>IF(OR(OR($A52="",$D52=""),S52=""),"",S52-(INT($Y52/18)+IF(INDEX('Tournament Setup'!$AQ:$AQ,MATCH($A52,'Tournament Setup'!$A:$A,0))&lt;=MOD($Y52,18),1,0)))</f>
      </c>
      <c r="AN52" t="e">
        <f>IF(OR(OR($A52="",$D52=""),T52=""),"",T52-(INT($Y52/18)+IF(INDEX('Tournament Setup'!$AR:$AR,MATCH($A52,'Tournament Setup'!$A:$A,0))&lt;=MOD($Y52,18),1,0)))</f>
      </c>
      <c r="AO52" t="e">
        <f>IF(OR(OR($A52="",$D52=""),U52=""),"",U52-(INT($Y52/18)+IF(INDEX('Tournament Setup'!$AS:$AS,MATCH($A52,'Tournament Setup'!$A:$A,0))&lt;=MOD($Y52,18),1,0)))</f>
      </c>
      <c r="AP52" t="e">
        <f>IF(OR(OR($A52="",$D52=""),V52=""),"",V52-(INT($Y52/18)+IF(INDEX('Tournament Setup'!$AT:$AT,MATCH($A52,'Tournament Setup'!$A:$A,0))&lt;=MOD($Y52,18),1,0)))</f>
      </c>
      <c r="AQ52" t="e">
        <f>IF(OR(OR($A52="",$D52=""),W52=""),"",W52-(INT($Y52/18)+IF(INDEX('Tournament Setup'!$AU:$AU,MATCH($A52,'Tournament Setup'!$A:$A,0))&lt;=MOD($Y52,18),1,0)))</f>
      </c>
    </row>
    <row r="53">
      <c r="X53" t="e">
        <f>IF(OR($A53="",$D53=""),"",SUM(F53:W53))</f>
      </c>
      <c r="Y53" t="e">
        <f>IF(OR($A53="",$D53=""),"",IF(INDEX('Tournament Setup'!$F:$F,MATCH($A53,'Tournament Setup'!$A:$A,0))="Net",ROUND(($E53-_xlfn.MINIFS($E$2:$E$401,$A$2:$A$401,$A53,$B$2:$B$401,$B53))*INDEX('Tournament Setup'!$G:$G,MATCH($A53,'Tournament Setup'!$A:$A,0))/100,0),0))</f>
      </c>
      <c r="Z53" t="e">
        <f>IF(OR(OR($A53="",$D53=""),F53=""),"",F53-(INT($Y53/18)+IF(INDEX('Tournament Setup'!$AD:$AD,MATCH($A53,'Tournament Setup'!$A:$A,0))&lt;=MOD($Y53,18),1,0)))</f>
      </c>
      <c r="AA53" t="e">
        <f>IF(OR(OR($A53="",$D53=""),G53=""),"",G53-(INT($Y53/18)+IF(INDEX('Tournament Setup'!$AE:$AE,MATCH($A53,'Tournament Setup'!$A:$A,0))&lt;=MOD($Y53,18),1,0)))</f>
      </c>
      <c r="AB53" t="e">
        <f>IF(OR(OR($A53="",$D53=""),H53=""),"",H53-(INT($Y53/18)+IF(INDEX('Tournament Setup'!$AF:$AF,MATCH($A53,'Tournament Setup'!$A:$A,0))&lt;=MOD($Y53,18),1,0)))</f>
      </c>
      <c r="AC53" t="e">
        <f>IF(OR(OR($A53="",$D53=""),I53=""),"",I53-(INT($Y53/18)+IF(INDEX('Tournament Setup'!$AG:$AG,MATCH($A53,'Tournament Setup'!$A:$A,0))&lt;=MOD($Y53,18),1,0)))</f>
      </c>
      <c r="AD53" t="e">
        <f>IF(OR(OR($A53="",$D53=""),J53=""),"",J53-(INT($Y53/18)+IF(INDEX('Tournament Setup'!$AH:$AH,MATCH($A53,'Tournament Setup'!$A:$A,0))&lt;=MOD($Y53,18),1,0)))</f>
      </c>
      <c r="AE53" t="e">
        <f>IF(OR(OR($A53="",$D53=""),K53=""),"",K53-(INT($Y53/18)+IF(INDEX('Tournament Setup'!$AI:$AI,MATCH($A53,'Tournament Setup'!$A:$A,0))&lt;=MOD($Y53,18),1,0)))</f>
      </c>
      <c r="AF53" t="e">
        <f>IF(OR(OR($A53="",$D53=""),L53=""),"",L53-(INT($Y53/18)+IF(INDEX('Tournament Setup'!$AJ:$AJ,MATCH($A53,'Tournament Setup'!$A:$A,0))&lt;=MOD($Y53,18),1,0)))</f>
      </c>
      <c r="AG53" t="e">
        <f>IF(OR(OR($A53="",$D53=""),M53=""),"",M53-(INT($Y53/18)+IF(INDEX('Tournament Setup'!$AK:$AK,MATCH($A53,'Tournament Setup'!$A:$A,0))&lt;=MOD($Y53,18),1,0)))</f>
      </c>
      <c r="AH53" t="e">
        <f>IF(OR(OR($A53="",$D53=""),N53=""),"",N53-(INT($Y53/18)+IF(INDEX('Tournament Setup'!$AL:$AL,MATCH($A53,'Tournament Setup'!$A:$A,0))&lt;=MOD($Y53,18),1,0)))</f>
      </c>
      <c r="AI53" t="e">
        <f>IF(OR(OR($A53="",$D53=""),O53=""),"",O53-(INT($Y53/18)+IF(INDEX('Tournament Setup'!$AM:$AM,MATCH($A53,'Tournament Setup'!$A:$A,0))&lt;=MOD($Y53,18),1,0)))</f>
      </c>
      <c r="AJ53" t="e">
        <f>IF(OR(OR($A53="",$D53=""),P53=""),"",P53-(INT($Y53/18)+IF(INDEX('Tournament Setup'!$AN:$AN,MATCH($A53,'Tournament Setup'!$A:$A,0))&lt;=MOD($Y53,18),1,0)))</f>
      </c>
      <c r="AK53" t="e">
        <f>IF(OR(OR($A53="",$D53=""),Q53=""),"",Q53-(INT($Y53/18)+IF(INDEX('Tournament Setup'!$AO:$AO,MATCH($A53,'Tournament Setup'!$A:$A,0))&lt;=MOD($Y53,18),1,0)))</f>
      </c>
      <c r="AL53" t="e">
        <f>IF(OR(OR($A53="",$D53=""),R53=""),"",R53-(INT($Y53/18)+IF(INDEX('Tournament Setup'!$AP:$AP,MATCH($A53,'Tournament Setup'!$A:$A,0))&lt;=MOD($Y53,18),1,0)))</f>
      </c>
      <c r="AM53" t="e">
        <f>IF(OR(OR($A53="",$D53=""),S53=""),"",S53-(INT($Y53/18)+IF(INDEX('Tournament Setup'!$AQ:$AQ,MATCH($A53,'Tournament Setup'!$A:$A,0))&lt;=MOD($Y53,18),1,0)))</f>
      </c>
      <c r="AN53" t="e">
        <f>IF(OR(OR($A53="",$D53=""),T53=""),"",T53-(INT($Y53/18)+IF(INDEX('Tournament Setup'!$AR:$AR,MATCH($A53,'Tournament Setup'!$A:$A,0))&lt;=MOD($Y53,18),1,0)))</f>
      </c>
      <c r="AO53" t="e">
        <f>IF(OR(OR($A53="",$D53=""),U53=""),"",U53-(INT($Y53/18)+IF(INDEX('Tournament Setup'!$AS:$AS,MATCH($A53,'Tournament Setup'!$A:$A,0))&lt;=MOD($Y53,18),1,0)))</f>
      </c>
      <c r="AP53" t="e">
        <f>IF(OR(OR($A53="",$D53=""),V53=""),"",V53-(INT($Y53/18)+IF(INDEX('Tournament Setup'!$AT:$AT,MATCH($A53,'Tournament Setup'!$A:$A,0))&lt;=MOD($Y53,18),1,0)))</f>
      </c>
      <c r="AQ53" t="e">
        <f>IF(OR(OR($A53="",$D53=""),W53=""),"",W53-(INT($Y53/18)+IF(INDEX('Tournament Setup'!$AU:$AU,MATCH($A53,'Tournament Setup'!$A:$A,0))&lt;=MOD($Y53,18),1,0)))</f>
      </c>
    </row>
    <row r="54">
      <c r="X54" t="e">
        <f>IF(OR($A54="",$D54=""),"",SUM(F54:W54))</f>
      </c>
      <c r="Y54" t="e">
        <f>IF(OR($A54="",$D54=""),"",IF(INDEX('Tournament Setup'!$F:$F,MATCH($A54,'Tournament Setup'!$A:$A,0))="Net",ROUND(($E54-_xlfn.MINIFS($E$2:$E$401,$A$2:$A$401,$A54,$B$2:$B$401,$B54))*INDEX('Tournament Setup'!$G:$G,MATCH($A54,'Tournament Setup'!$A:$A,0))/100,0),0))</f>
      </c>
      <c r="Z54" t="e">
        <f>IF(OR(OR($A54="",$D54=""),F54=""),"",F54-(INT($Y54/18)+IF(INDEX('Tournament Setup'!$AD:$AD,MATCH($A54,'Tournament Setup'!$A:$A,0))&lt;=MOD($Y54,18),1,0)))</f>
      </c>
      <c r="AA54" t="e">
        <f>IF(OR(OR($A54="",$D54=""),G54=""),"",G54-(INT($Y54/18)+IF(INDEX('Tournament Setup'!$AE:$AE,MATCH($A54,'Tournament Setup'!$A:$A,0))&lt;=MOD($Y54,18),1,0)))</f>
      </c>
      <c r="AB54" t="e">
        <f>IF(OR(OR($A54="",$D54=""),H54=""),"",H54-(INT($Y54/18)+IF(INDEX('Tournament Setup'!$AF:$AF,MATCH($A54,'Tournament Setup'!$A:$A,0))&lt;=MOD($Y54,18),1,0)))</f>
      </c>
      <c r="AC54" t="e">
        <f>IF(OR(OR($A54="",$D54=""),I54=""),"",I54-(INT($Y54/18)+IF(INDEX('Tournament Setup'!$AG:$AG,MATCH($A54,'Tournament Setup'!$A:$A,0))&lt;=MOD($Y54,18),1,0)))</f>
      </c>
      <c r="AD54" t="e">
        <f>IF(OR(OR($A54="",$D54=""),J54=""),"",J54-(INT($Y54/18)+IF(INDEX('Tournament Setup'!$AH:$AH,MATCH($A54,'Tournament Setup'!$A:$A,0))&lt;=MOD($Y54,18),1,0)))</f>
      </c>
      <c r="AE54" t="e">
        <f>IF(OR(OR($A54="",$D54=""),K54=""),"",K54-(INT($Y54/18)+IF(INDEX('Tournament Setup'!$AI:$AI,MATCH($A54,'Tournament Setup'!$A:$A,0))&lt;=MOD($Y54,18),1,0)))</f>
      </c>
      <c r="AF54" t="e">
        <f>IF(OR(OR($A54="",$D54=""),L54=""),"",L54-(INT($Y54/18)+IF(INDEX('Tournament Setup'!$AJ:$AJ,MATCH($A54,'Tournament Setup'!$A:$A,0))&lt;=MOD($Y54,18),1,0)))</f>
      </c>
      <c r="AG54" t="e">
        <f>IF(OR(OR($A54="",$D54=""),M54=""),"",M54-(INT($Y54/18)+IF(INDEX('Tournament Setup'!$AK:$AK,MATCH($A54,'Tournament Setup'!$A:$A,0))&lt;=MOD($Y54,18),1,0)))</f>
      </c>
      <c r="AH54" t="e">
        <f>IF(OR(OR($A54="",$D54=""),N54=""),"",N54-(INT($Y54/18)+IF(INDEX('Tournament Setup'!$AL:$AL,MATCH($A54,'Tournament Setup'!$A:$A,0))&lt;=MOD($Y54,18),1,0)))</f>
      </c>
      <c r="AI54" t="e">
        <f>IF(OR(OR($A54="",$D54=""),O54=""),"",O54-(INT($Y54/18)+IF(INDEX('Tournament Setup'!$AM:$AM,MATCH($A54,'Tournament Setup'!$A:$A,0))&lt;=MOD($Y54,18),1,0)))</f>
      </c>
      <c r="AJ54" t="e">
        <f>IF(OR(OR($A54="",$D54=""),P54=""),"",P54-(INT($Y54/18)+IF(INDEX('Tournament Setup'!$AN:$AN,MATCH($A54,'Tournament Setup'!$A:$A,0))&lt;=MOD($Y54,18),1,0)))</f>
      </c>
      <c r="AK54" t="e">
        <f>IF(OR(OR($A54="",$D54=""),Q54=""),"",Q54-(INT($Y54/18)+IF(INDEX('Tournament Setup'!$AO:$AO,MATCH($A54,'Tournament Setup'!$A:$A,0))&lt;=MOD($Y54,18),1,0)))</f>
      </c>
      <c r="AL54" t="e">
        <f>IF(OR(OR($A54="",$D54=""),R54=""),"",R54-(INT($Y54/18)+IF(INDEX('Tournament Setup'!$AP:$AP,MATCH($A54,'Tournament Setup'!$A:$A,0))&lt;=MOD($Y54,18),1,0)))</f>
      </c>
      <c r="AM54" t="e">
        <f>IF(OR(OR($A54="",$D54=""),S54=""),"",S54-(INT($Y54/18)+IF(INDEX('Tournament Setup'!$AQ:$AQ,MATCH($A54,'Tournament Setup'!$A:$A,0))&lt;=MOD($Y54,18),1,0)))</f>
      </c>
      <c r="AN54" t="e">
        <f>IF(OR(OR($A54="",$D54=""),T54=""),"",T54-(INT($Y54/18)+IF(INDEX('Tournament Setup'!$AR:$AR,MATCH($A54,'Tournament Setup'!$A:$A,0))&lt;=MOD($Y54,18),1,0)))</f>
      </c>
      <c r="AO54" t="e">
        <f>IF(OR(OR($A54="",$D54=""),U54=""),"",U54-(INT($Y54/18)+IF(INDEX('Tournament Setup'!$AS:$AS,MATCH($A54,'Tournament Setup'!$A:$A,0))&lt;=MOD($Y54,18),1,0)))</f>
      </c>
      <c r="AP54" t="e">
        <f>IF(OR(OR($A54="",$D54=""),V54=""),"",V54-(INT($Y54/18)+IF(INDEX('Tournament Setup'!$AT:$AT,MATCH($A54,'Tournament Setup'!$A:$A,0))&lt;=MOD($Y54,18),1,0)))</f>
      </c>
      <c r="AQ54" t="e">
        <f>IF(OR(OR($A54="",$D54=""),W54=""),"",W54-(INT($Y54/18)+IF(INDEX('Tournament Setup'!$AU:$AU,MATCH($A54,'Tournament Setup'!$A:$A,0))&lt;=MOD($Y54,18),1,0)))</f>
      </c>
    </row>
    <row r="55">
      <c r="X55" t="e">
        <f>IF(OR($A55="",$D55=""),"",SUM(F55:W55))</f>
      </c>
      <c r="Y55" t="e">
        <f>IF(OR($A55="",$D55=""),"",IF(INDEX('Tournament Setup'!$F:$F,MATCH($A55,'Tournament Setup'!$A:$A,0))="Net",ROUND(($E55-_xlfn.MINIFS($E$2:$E$401,$A$2:$A$401,$A55,$B$2:$B$401,$B55))*INDEX('Tournament Setup'!$G:$G,MATCH($A55,'Tournament Setup'!$A:$A,0))/100,0),0))</f>
      </c>
      <c r="Z55" t="e">
        <f>IF(OR(OR($A55="",$D55=""),F55=""),"",F55-(INT($Y55/18)+IF(INDEX('Tournament Setup'!$AD:$AD,MATCH($A55,'Tournament Setup'!$A:$A,0))&lt;=MOD($Y55,18),1,0)))</f>
      </c>
      <c r="AA55" t="e">
        <f>IF(OR(OR($A55="",$D55=""),G55=""),"",G55-(INT($Y55/18)+IF(INDEX('Tournament Setup'!$AE:$AE,MATCH($A55,'Tournament Setup'!$A:$A,0))&lt;=MOD($Y55,18),1,0)))</f>
      </c>
      <c r="AB55" t="e">
        <f>IF(OR(OR($A55="",$D55=""),H55=""),"",H55-(INT($Y55/18)+IF(INDEX('Tournament Setup'!$AF:$AF,MATCH($A55,'Tournament Setup'!$A:$A,0))&lt;=MOD($Y55,18),1,0)))</f>
      </c>
      <c r="AC55" t="e">
        <f>IF(OR(OR($A55="",$D55=""),I55=""),"",I55-(INT($Y55/18)+IF(INDEX('Tournament Setup'!$AG:$AG,MATCH($A55,'Tournament Setup'!$A:$A,0))&lt;=MOD($Y55,18),1,0)))</f>
      </c>
      <c r="AD55" t="e">
        <f>IF(OR(OR($A55="",$D55=""),J55=""),"",J55-(INT($Y55/18)+IF(INDEX('Tournament Setup'!$AH:$AH,MATCH($A55,'Tournament Setup'!$A:$A,0))&lt;=MOD($Y55,18),1,0)))</f>
      </c>
      <c r="AE55" t="e">
        <f>IF(OR(OR($A55="",$D55=""),K55=""),"",K55-(INT($Y55/18)+IF(INDEX('Tournament Setup'!$AI:$AI,MATCH($A55,'Tournament Setup'!$A:$A,0))&lt;=MOD($Y55,18),1,0)))</f>
      </c>
      <c r="AF55" t="e">
        <f>IF(OR(OR($A55="",$D55=""),L55=""),"",L55-(INT($Y55/18)+IF(INDEX('Tournament Setup'!$AJ:$AJ,MATCH($A55,'Tournament Setup'!$A:$A,0))&lt;=MOD($Y55,18),1,0)))</f>
      </c>
      <c r="AG55" t="e">
        <f>IF(OR(OR($A55="",$D55=""),M55=""),"",M55-(INT($Y55/18)+IF(INDEX('Tournament Setup'!$AK:$AK,MATCH($A55,'Tournament Setup'!$A:$A,0))&lt;=MOD($Y55,18),1,0)))</f>
      </c>
      <c r="AH55" t="e">
        <f>IF(OR(OR($A55="",$D55=""),N55=""),"",N55-(INT($Y55/18)+IF(INDEX('Tournament Setup'!$AL:$AL,MATCH($A55,'Tournament Setup'!$A:$A,0))&lt;=MOD($Y55,18),1,0)))</f>
      </c>
      <c r="AI55" t="e">
        <f>IF(OR(OR($A55="",$D55=""),O55=""),"",O55-(INT($Y55/18)+IF(INDEX('Tournament Setup'!$AM:$AM,MATCH($A55,'Tournament Setup'!$A:$A,0))&lt;=MOD($Y55,18),1,0)))</f>
      </c>
      <c r="AJ55" t="e">
        <f>IF(OR(OR($A55="",$D55=""),P55=""),"",P55-(INT($Y55/18)+IF(INDEX('Tournament Setup'!$AN:$AN,MATCH($A55,'Tournament Setup'!$A:$A,0))&lt;=MOD($Y55,18),1,0)))</f>
      </c>
      <c r="AK55" t="e">
        <f>IF(OR(OR($A55="",$D55=""),Q55=""),"",Q55-(INT($Y55/18)+IF(INDEX('Tournament Setup'!$AO:$AO,MATCH($A55,'Tournament Setup'!$A:$A,0))&lt;=MOD($Y55,18),1,0)))</f>
      </c>
      <c r="AL55" t="e">
        <f>IF(OR(OR($A55="",$D55=""),R55=""),"",R55-(INT($Y55/18)+IF(INDEX('Tournament Setup'!$AP:$AP,MATCH($A55,'Tournament Setup'!$A:$A,0))&lt;=MOD($Y55,18),1,0)))</f>
      </c>
      <c r="AM55" t="e">
        <f>IF(OR(OR($A55="",$D55=""),S55=""),"",S55-(INT($Y55/18)+IF(INDEX('Tournament Setup'!$AQ:$AQ,MATCH($A55,'Tournament Setup'!$A:$A,0))&lt;=MOD($Y55,18),1,0)))</f>
      </c>
      <c r="AN55" t="e">
        <f>IF(OR(OR($A55="",$D55=""),T55=""),"",T55-(INT($Y55/18)+IF(INDEX('Tournament Setup'!$AR:$AR,MATCH($A55,'Tournament Setup'!$A:$A,0))&lt;=MOD($Y55,18),1,0)))</f>
      </c>
      <c r="AO55" t="e">
        <f>IF(OR(OR($A55="",$D55=""),U55=""),"",U55-(INT($Y55/18)+IF(INDEX('Tournament Setup'!$AS:$AS,MATCH($A55,'Tournament Setup'!$A:$A,0))&lt;=MOD($Y55,18),1,0)))</f>
      </c>
      <c r="AP55" t="e">
        <f>IF(OR(OR($A55="",$D55=""),V55=""),"",V55-(INT($Y55/18)+IF(INDEX('Tournament Setup'!$AT:$AT,MATCH($A55,'Tournament Setup'!$A:$A,0))&lt;=MOD($Y55,18),1,0)))</f>
      </c>
      <c r="AQ55" t="e">
        <f>IF(OR(OR($A55="",$D55=""),W55=""),"",W55-(INT($Y55/18)+IF(INDEX('Tournament Setup'!$AU:$AU,MATCH($A55,'Tournament Setup'!$A:$A,0))&lt;=MOD($Y55,18),1,0)))</f>
      </c>
    </row>
    <row r="56">
      <c r="X56" t="e">
        <f>IF(OR($A56="",$D56=""),"",SUM(F56:W56))</f>
      </c>
      <c r="Y56" t="e">
        <f>IF(OR($A56="",$D56=""),"",IF(INDEX('Tournament Setup'!$F:$F,MATCH($A56,'Tournament Setup'!$A:$A,0))="Net",ROUND(($E56-_xlfn.MINIFS($E$2:$E$401,$A$2:$A$401,$A56,$B$2:$B$401,$B56))*INDEX('Tournament Setup'!$G:$G,MATCH($A56,'Tournament Setup'!$A:$A,0))/100,0),0))</f>
      </c>
      <c r="Z56" t="e">
        <f>IF(OR(OR($A56="",$D56=""),F56=""),"",F56-(INT($Y56/18)+IF(INDEX('Tournament Setup'!$AD:$AD,MATCH($A56,'Tournament Setup'!$A:$A,0))&lt;=MOD($Y56,18),1,0)))</f>
      </c>
      <c r="AA56" t="e">
        <f>IF(OR(OR($A56="",$D56=""),G56=""),"",G56-(INT($Y56/18)+IF(INDEX('Tournament Setup'!$AE:$AE,MATCH($A56,'Tournament Setup'!$A:$A,0))&lt;=MOD($Y56,18),1,0)))</f>
      </c>
      <c r="AB56" t="e">
        <f>IF(OR(OR($A56="",$D56=""),H56=""),"",H56-(INT($Y56/18)+IF(INDEX('Tournament Setup'!$AF:$AF,MATCH($A56,'Tournament Setup'!$A:$A,0))&lt;=MOD($Y56,18),1,0)))</f>
      </c>
      <c r="AC56" t="e">
        <f>IF(OR(OR($A56="",$D56=""),I56=""),"",I56-(INT($Y56/18)+IF(INDEX('Tournament Setup'!$AG:$AG,MATCH($A56,'Tournament Setup'!$A:$A,0))&lt;=MOD($Y56,18),1,0)))</f>
      </c>
      <c r="AD56" t="e">
        <f>IF(OR(OR($A56="",$D56=""),J56=""),"",J56-(INT($Y56/18)+IF(INDEX('Tournament Setup'!$AH:$AH,MATCH($A56,'Tournament Setup'!$A:$A,0))&lt;=MOD($Y56,18),1,0)))</f>
      </c>
      <c r="AE56" t="e">
        <f>IF(OR(OR($A56="",$D56=""),K56=""),"",K56-(INT($Y56/18)+IF(INDEX('Tournament Setup'!$AI:$AI,MATCH($A56,'Tournament Setup'!$A:$A,0))&lt;=MOD($Y56,18),1,0)))</f>
      </c>
      <c r="AF56" t="e">
        <f>IF(OR(OR($A56="",$D56=""),L56=""),"",L56-(INT($Y56/18)+IF(INDEX('Tournament Setup'!$AJ:$AJ,MATCH($A56,'Tournament Setup'!$A:$A,0))&lt;=MOD($Y56,18),1,0)))</f>
      </c>
      <c r="AG56" t="e">
        <f>IF(OR(OR($A56="",$D56=""),M56=""),"",M56-(INT($Y56/18)+IF(INDEX('Tournament Setup'!$AK:$AK,MATCH($A56,'Tournament Setup'!$A:$A,0))&lt;=MOD($Y56,18),1,0)))</f>
      </c>
      <c r="AH56" t="e">
        <f>IF(OR(OR($A56="",$D56=""),N56=""),"",N56-(INT($Y56/18)+IF(INDEX('Tournament Setup'!$AL:$AL,MATCH($A56,'Tournament Setup'!$A:$A,0))&lt;=MOD($Y56,18),1,0)))</f>
      </c>
      <c r="AI56" t="e">
        <f>IF(OR(OR($A56="",$D56=""),O56=""),"",O56-(INT($Y56/18)+IF(INDEX('Tournament Setup'!$AM:$AM,MATCH($A56,'Tournament Setup'!$A:$A,0))&lt;=MOD($Y56,18),1,0)))</f>
      </c>
      <c r="AJ56" t="e">
        <f>IF(OR(OR($A56="",$D56=""),P56=""),"",P56-(INT($Y56/18)+IF(INDEX('Tournament Setup'!$AN:$AN,MATCH($A56,'Tournament Setup'!$A:$A,0))&lt;=MOD($Y56,18),1,0)))</f>
      </c>
      <c r="AK56" t="e">
        <f>IF(OR(OR($A56="",$D56=""),Q56=""),"",Q56-(INT($Y56/18)+IF(INDEX('Tournament Setup'!$AO:$AO,MATCH($A56,'Tournament Setup'!$A:$A,0))&lt;=MOD($Y56,18),1,0)))</f>
      </c>
      <c r="AL56" t="e">
        <f>IF(OR(OR($A56="",$D56=""),R56=""),"",R56-(INT($Y56/18)+IF(INDEX('Tournament Setup'!$AP:$AP,MATCH($A56,'Tournament Setup'!$A:$A,0))&lt;=MOD($Y56,18),1,0)))</f>
      </c>
      <c r="AM56" t="e">
        <f>IF(OR(OR($A56="",$D56=""),S56=""),"",S56-(INT($Y56/18)+IF(INDEX('Tournament Setup'!$AQ:$AQ,MATCH($A56,'Tournament Setup'!$A:$A,0))&lt;=MOD($Y56,18),1,0)))</f>
      </c>
      <c r="AN56" t="e">
        <f>IF(OR(OR($A56="",$D56=""),T56=""),"",T56-(INT($Y56/18)+IF(INDEX('Tournament Setup'!$AR:$AR,MATCH($A56,'Tournament Setup'!$A:$A,0))&lt;=MOD($Y56,18),1,0)))</f>
      </c>
      <c r="AO56" t="e">
        <f>IF(OR(OR($A56="",$D56=""),U56=""),"",U56-(INT($Y56/18)+IF(INDEX('Tournament Setup'!$AS:$AS,MATCH($A56,'Tournament Setup'!$A:$A,0))&lt;=MOD($Y56,18),1,0)))</f>
      </c>
      <c r="AP56" t="e">
        <f>IF(OR(OR($A56="",$D56=""),V56=""),"",V56-(INT($Y56/18)+IF(INDEX('Tournament Setup'!$AT:$AT,MATCH($A56,'Tournament Setup'!$A:$A,0))&lt;=MOD($Y56,18),1,0)))</f>
      </c>
      <c r="AQ56" t="e">
        <f>IF(OR(OR($A56="",$D56=""),W56=""),"",W56-(INT($Y56/18)+IF(INDEX('Tournament Setup'!$AU:$AU,MATCH($A56,'Tournament Setup'!$A:$A,0))&lt;=MOD($Y56,18),1,0)))</f>
      </c>
    </row>
    <row r="57">
      <c r="X57" t="e">
        <f>IF(OR($A57="",$D57=""),"",SUM(F57:W57))</f>
      </c>
      <c r="Y57" t="e">
        <f>IF(OR($A57="",$D57=""),"",IF(INDEX('Tournament Setup'!$F:$F,MATCH($A57,'Tournament Setup'!$A:$A,0))="Net",ROUND(($E57-_xlfn.MINIFS($E$2:$E$401,$A$2:$A$401,$A57,$B$2:$B$401,$B57))*INDEX('Tournament Setup'!$G:$G,MATCH($A57,'Tournament Setup'!$A:$A,0))/100,0),0))</f>
      </c>
      <c r="Z57" t="e">
        <f>IF(OR(OR($A57="",$D57=""),F57=""),"",F57-(INT($Y57/18)+IF(INDEX('Tournament Setup'!$AD:$AD,MATCH($A57,'Tournament Setup'!$A:$A,0))&lt;=MOD($Y57,18),1,0)))</f>
      </c>
      <c r="AA57" t="e">
        <f>IF(OR(OR($A57="",$D57=""),G57=""),"",G57-(INT($Y57/18)+IF(INDEX('Tournament Setup'!$AE:$AE,MATCH($A57,'Tournament Setup'!$A:$A,0))&lt;=MOD($Y57,18),1,0)))</f>
      </c>
      <c r="AB57" t="e">
        <f>IF(OR(OR($A57="",$D57=""),H57=""),"",H57-(INT($Y57/18)+IF(INDEX('Tournament Setup'!$AF:$AF,MATCH($A57,'Tournament Setup'!$A:$A,0))&lt;=MOD($Y57,18),1,0)))</f>
      </c>
      <c r="AC57" t="e">
        <f>IF(OR(OR($A57="",$D57=""),I57=""),"",I57-(INT($Y57/18)+IF(INDEX('Tournament Setup'!$AG:$AG,MATCH($A57,'Tournament Setup'!$A:$A,0))&lt;=MOD($Y57,18),1,0)))</f>
      </c>
      <c r="AD57" t="e">
        <f>IF(OR(OR($A57="",$D57=""),J57=""),"",J57-(INT($Y57/18)+IF(INDEX('Tournament Setup'!$AH:$AH,MATCH($A57,'Tournament Setup'!$A:$A,0))&lt;=MOD($Y57,18),1,0)))</f>
      </c>
      <c r="AE57" t="e">
        <f>IF(OR(OR($A57="",$D57=""),K57=""),"",K57-(INT($Y57/18)+IF(INDEX('Tournament Setup'!$AI:$AI,MATCH($A57,'Tournament Setup'!$A:$A,0))&lt;=MOD($Y57,18),1,0)))</f>
      </c>
      <c r="AF57" t="e">
        <f>IF(OR(OR($A57="",$D57=""),L57=""),"",L57-(INT($Y57/18)+IF(INDEX('Tournament Setup'!$AJ:$AJ,MATCH($A57,'Tournament Setup'!$A:$A,0))&lt;=MOD($Y57,18),1,0)))</f>
      </c>
      <c r="AG57" t="e">
        <f>IF(OR(OR($A57="",$D57=""),M57=""),"",M57-(INT($Y57/18)+IF(INDEX('Tournament Setup'!$AK:$AK,MATCH($A57,'Tournament Setup'!$A:$A,0))&lt;=MOD($Y57,18),1,0)))</f>
      </c>
      <c r="AH57" t="e">
        <f>IF(OR(OR($A57="",$D57=""),N57=""),"",N57-(INT($Y57/18)+IF(INDEX('Tournament Setup'!$AL:$AL,MATCH($A57,'Tournament Setup'!$A:$A,0))&lt;=MOD($Y57,18),1,0)))</f>
      </c>
      <c r="AI57" t="e">
        <f>IF(OR(OR($A57="",$D57=""),O57=""),"",O57-(INT($Y57/18)+IF(INDEX('Tournament Setup'!$AM:$AM,MATCH($A57,'Tournament Setup'!$A:$A,0))&lt;=MOD($Y57,18),1,0)))</f>
      </c>
      <c r="AJ57" t="e">
        <f>IF(OR(OR($A57="",$D57=""),P57=""),"",P57-(INT($Y57/18)+IF(INDEX('Tournament Setup'!$AN:$AN,MATCH($A57,'Tournament Setup'!$A:$A,0))&lt;=MOD($Y57,18),1,0)))</f>
      </c>
      <c r="AK57" t="e">
        <f>IF(OR(OR($A57="",$D57=""),Q57=""),"",Q57-(INT($Y57/18)+IF(INDEX('Tournament Setup'!$AO:$AO,MATCH($A57,'Tournament Setup'!$A:$A,0))&lt;=MOD($Y57,18),1,0)))</f>
      </c>
      <c r="AL57" t="e">
        <f>IF(OR(OR($A57="",$D57=""),R57=""),"",R57-(INT($Y57/18)+IF(INDEX('Tournament Setup'!$AP:$AP,MATCH($A57,'Tournament Setup'!$A:$A,0))&lt;=MOD($Y57,18),1,0)))</f>
      </c>
      <c r="AM57" t="e">
        <f>IF(OR(OR($A57="",$D57=""),S57=""),"",S57-(INT($Y57/18)+IF(INDEX('Tournament Setup'!$AQ:$AQ,MATCH($A57,'Tournament Setup'!$A:$A,0))&lt;=MOD($Y57,18),1,0)))</f>
      </c>
      <c r="AN57" t="e">
        <f>IF(OR(OR($A57="",$D57=""),T57=""),"",T57-(INT($Y57/18)+IF(INDEX('Tournament Setup'!$AR:$AR,MATCH($A57,'Tournament Setup'!$A:$A,0))&lt;=MOD($Y57,18),1,0)))</f>
      </c>
      <c r="AO57" t="e">
        <f>IF(OR(OR($A57="",$D57=""),U57=""),"",U57-(INT($Y57/18)+IF(INDEX('Tournament Setup'!$AS:$AS,MATCH($A57,'Tournament Setup'!$A:$A,0))&lt;=MOD($Y57,18),1,0)))</f>
      </c>
      <c r="AP57" t="e">
        <f>IF(OR(OR($A57="",$D57=""),V57=""),"",V57-(INT($Y57/18)+IF(INDEX('Tournament Setup'!$AT:$AT,MATCH($A57,'Tournament Setup'!$A:$A,0))&lt;=MOD($Y57,18),1,0)))</f>
      </c>
      <c r="AQ57" t="e">
        <f>IF(OR(OR($A57="",$D57=""),W57=""),"",W57-(INT($Y57/18)+IF(INDEX('Tournament Setup'!$AU:$AU,MATCH($A57,'Tournament Setup'!$A:$A,0))&lt;=MOD($Y57,18),1,0)))</f>
      </c>
    </row>
    <row r="58">
      <c r="X58" t="e">
        <f>IF(OR($A58="",$D58=""),"",SUM(F58:W58))</f>
      </c>
      <c r="Y58" t="e">
        <f>IF(OR($A58="",$D58=""),"",IF(INDEX('Tournament Setup'!$F:$F,MATCH($A58,'Tournament Setup'!$A:$A,0))="Net",ROUND(($E58-_xlfn.MINIFS($E$2:$E$401,$A$2:$A$401,$A58,$B$2:$B$401,$B58))*INDEX('Tournament Setup'!$G:$G,MATCH($A58,'Tournament Setup'!$A:$A,0))/100,0),0))</f>
      </c>
      <c r="Z58" t="e">
        <f>IF(OR(OR($A58="",$D58=""),F58=""),"",F58-(INT($Y58/18)+IF(INDEX('Tournament Setup'!$AD:$AD,MATCH($A58,'Tournament Setup'!$A:$A,0))&lt;=MOD($Y58,18),1,0)))</f>
      </c>
      <c r="AA58" t="e">
        <f>IF(OR(OR($A58="",$D58=""),G58=""),"",G58-(INT($Y58/18)+IF(INDEX('Tournament Setup'!$AE:$AE,MATCH($A58,'Tournament Setup'!$A:$A,0))&lt;=MOD($Y58,18),1,0)))</f>
      </c>
      <c r="AB58" t="e">
        <f>IF(OR(OR($A58="",$D58=""),H58=""),"",H58-(INT($Y58/18)+IF(INDEX('Tournament Setup'!$AF:$AF,MATCH($A58,'Tournament Setup'!$A:$A,0))&lt;=MOD($Y58,18),1,0)))</f>
      </c>
      <c r="AC58" t="e">
        <f>IF(OR(OR($A58="",$D58=""),I58=""),"",I58-(INT($Y58/18)+IF(INDEX('Tournament Setup'!$AG:$AG,MATCH($A58,'Tournament Setup'!$A:$A,0))&lt;=MOD($Y58,18),1,0)))</f>
      </c>
      <c r="AD58" t="e">
        <f>IF(OR(OR($A58="",$D58=""),J58=""),"",J58-(INT($Y58/18)+IF(INDEX('Tournament Setup'!$AH:$AH,MATCH($A58,'Tournament Setup'!$A:$A,0))&lt;=MOD($Y58,18),1,0)))</f>
      </c>
      <c r="AE58" t="e">
        <f>IF(OR(OR($A58="",$D58=""),K58=""),"",K58-(INT($Y58/18)+IF(INDEX('Tournament Setup'!$AI:$AI,MATCH($A58,'Tournament Setup'!$A:$A,0))&lt;=MOD($Y58,18),1,0)))</f>
      </c>
      <c r="AF58" t="e">
        <f>IF(OR(OR($A58="",$D58=""),L58=""),"",L58-(INT($Y58/18)+IF(INDEX('Tournament Setup'!$AJ:$AJ,MATCH($A58,'Tournament Setup'!$A:$A,0))&lt;=MOD($Y58,18),1,0)))</f>
      </c>
      <c r="AG58" t="e">
        <f>IF(OR(OR($A58="",$D58=""),M58=""),"",M58-(INT($Y58/18)+IF(INDEX('Tournament Setup'!$AK:$AK,MATCH($A58,'Tournament Setup'!$A:$A,0))&lt;=MOD($Y58,18),1,0)))</f>
      </c>
      <c r="AH58" t="e">
        <f>IF(OR(OR($A58="",$D58=""),N58=""),"",N58-(INT($Y58/18)+IF(INDEX('Tournament Setup'!$AL:$AL,MATCH($A58,'Tournament Setup'!$A:$A,0))&lt;=MOD($Y58,18),1,0)))</f>
      </c>
      <c r="AI58" t="e">
        <f>IF(OR(OR($A58="",$D58=""),O58=""),"",O58-(INT($Y58/18)+IF(INDEX('Tournament Setup'!$AM:$AM,MATCH($A58,'Tournament Setup'!$A:$A,0))&lt;=MOD($Y58,18),1,0)))</f>
      </c>
      <c r="AJ58" t="e">
        <f>IF(OR(OR($A58="",$D58=""),P58=""),"",P58-(INT($Y58/18)+IF(INDEX('Tournament Setup'!$AN:$AN,MATCH($A58,'Tournament Setup'!$A:$A,0))&lt;=MOD($Y58,18),1,0)))</f>
      </c>
      <c r="AK58" t="e">
        <f>IF(OR(OR($A58="",$D58=""),Q58=""),"",Q58-(INT($Y58/18)+IF(INDEX('Tournament Setup'!$AO:$AO,MATCH($A58,'Tournament Setup'!$A:$A,0))&lt;=MOD($Y58,18),1,0)))</f>
      </c>
      <c r="AL58" t="e">
        <f>IF(OR(OR($A58="",$D58=""),R58=""),"",R58-(INT($Y58/18)+IF(INDEX('Tournament Setup'!$AP:$AP,MATCH($A58,'Tournament Setup'!$A:$A,0))&lt;=MOD($Y58,18),1,0)))</f>
      </c>
      <c r="AM58" t="e">
        <f>IF(OR(OR($A58="",$D58=""),S58=""),"",S58-(INT($Y58/18)+IF(INDEX('Tournament Setup'!$AQ:$AQ,MATCH($A58,'Tournament Setup'!$A:$A,0))&lt;=MOD($Y58,18),1,0)))</f>
      </c>
      <c r="AN58" t="e">
        <f>IF(OR(OR($A58="",$D58=""),T58=""),"",T58-(INT($Y58/18)+IF(INDEX('Tournament Setup'!$AR:$AR,MATCH($A58,'Tournament Setup'!$A:$A,0))&lt;=MOD($Y58,18),1,0)))</f>
      </c>
      <c r="AO58" t="e">
        <f>IF(OR(OR($A58="",$D58=""),U58=""),"",U58-(INT($Y58/18)+IF(INDEX('Tournament Setup'!$AS:$AS,MATCH($A58,'Tournament Setup'!$A:$A,0))&lt;=MOD($Y58,18),1,0)))</f>
      </c>
      <c r="AP58" t="e">
        <f>IF(OR(OR($A58="",$D58=""),V58=""),"",V58-(INT($Y58/18)+IF(INDEX('Tournament Setup'!$AT:$AT,MATCH($A58,'Tournament Setup'!$A:$A,0))&lt;=MOD($Y58,18),1,0)))</f>
      </c>
      <c r="AQ58" t="e">
        <f>IF(OR(OR($A58="",$D58=""),W58=""),"",W58-(INT($Y58/18)+IF(INDEX('Tournament Setup'!$AU:$AU,MATCH($A58,'Tournament Setup'!$A:$A,0))&lt;=MOD($Y58,18),1,0)))</f>
      </c>
    </row>
    <row r="59">
      <c r="X59" t="e">
        <f>IF(OR($A59="",$D59=""),"",SUM(F59:W59))</f>
      </c>
      <c r="Y59" t="e">
        <f>IF(OR($A59="",$D59=""),"",IF(INDEX('Tournament Setup'!$F:$F,MATCH($A59,'Tournament Setup'!$A:$A,0))="Net",ROUND(($E59-_xlfn.MINIFS($E$2:$E$401,$A$2:$A$401,$A59,$B$2:$B$401,$B59))*INDEX('Tournament Setup'!$G:$G,MATCH($A59,'Tournament Setup'!$A:$A,0))/100,0),0))</f>
      </c>
      <c r="Z59" t="e">
        <f>IF(OR(OR($A59="",$D59=""),F59=""),"",F59-(INT($Y59/18)+IF(INDEX('Tournament Setup'!$AD:$AD,MATCH($A59,'Tournament Setup'!$A:$A,0))&lt;=MOD($Y59,18),1,0)))</f>
      </c>
      <c r="AA59" t="e">
        <f>IF(OR(OR($A59="",$D59=""),G59=""),"",G59-(INT($Y59/18)+IF(INDEX('Tournament Setup'!$AE:$AE,MATCH($A59,'Tournament Setup'!$A:$A,0))&lt;=MOD($Y59,18),1,0)))</f>
      </c>
      <c r="AB59" t="e">
        <f>IF(OR(OR($A59="",$D59=""),H59=""),"",H59-(INT($Y59/18)+IF(INDEX('Tournament Setup'!$AF:$AF,MATCH($A59,'Tournament Setup'!$A:$A,0))&lt;=MOD($Y59,18),1,0)))</f>
      </c>
      <c r="AC59" t="e">
        <f>IF(OR(OR($A59="",$D59=""),I59=""),"",I59-(INT($Y59/18)+IF(INDEX('Tournament Setup'!$AG:$AG,MATCH($A59,'Tournament Setup'!$A:$A,0))&lt;=MOD($Y59,18),1,0)))</f>
      </c>
      <c r="AD59" t="e">
        <f>IF(OR(OR($A59="",$D59=""),J59=""),"",J59-(INT($Y59/18)+IF(INDEX('Tournament Setup'!$AH:$AH,MATCH($A59,'Tournament Setup'!$A:$A,0))&lt;=MOD($Y59,18),1,0)))</f>
      </c>
      <c r="AE59" t="e">
        <f>IF(OR(OR($A59="",$D59=""),K59=""),"",K59-(INT($Y59/18)+IF(INDEX('Tournament Setup'!$AI:$AI,MATCH($A59,'Tournament Setup'!$A:$A,0))&lt;=MOD($Y59,18),1,0)))</f>
      </c>
      <c r="AF59" t="e">
        <f>IF(OR(OR($A59="",$D59=""),L59=""),"",L59-(INT($Y59/18)+IF(INDEX('Tournament Setup'!$AJ:$AJ,MATCH($A59,'Tournament Setup'!$A:$A,0))&lt;=MOD($Y59,18),1,0)))</f>
      </c>
      <c r="AG59" t="e">
        <f>IF(OR(OR($A59="",$D59=""),M59=""),"",M59-(INT($Y59/18)+IF(INDEX('Tournament Setup'!$AK:$AK,MATCH($A59,'Tournament Setup'!$A:$A,0))&lt;=MOD($Y59,18),1,0)))</f>
      </c>
      <c r="AH59" t="e">
        <f>IF(OR(OR($A59="",$D59=""),N59=""),"",N59-(INT($Y59/18)+IF(INDEX('Tournament Setup'!$AL:$AL,MATCH($A59,'Tournament Setup'!$A:$A,0))&lt;=MOD($Y59,18),1,0)))</f>
      </c>
      <c r="AI59" t="e">
        <f>IF(OR(OR($A59="",$D59=""),O59=""),"",O59-(INT($Y59/18)+IF(INDEX('Tournament Setup'!$AM:$AM,MATCH($A59,'Tournament Setup'!$A:$A,0))&lt;=MOD($Y59,18),1,0)))</f>
      </c>
      <c r="AJ59" t="e">
        <f>IF(OR(OR($A59="",$D59=""),P59=""),"",P59-(INT($Y59/18)+IF(INDEX('Tournament Setup'!$AN:$AN,MATCH($A59,'Tournament Setup'!$A:$A,0))&lt;=MOD($Y59,18),1,0)))</f>
      </c>
      <c r="AK59" t="e">
        <f>IF(OR(OR($A59="",$D59=""),Q59=""),"",Q59-(INT($Y59/18)+IF(INDEX('Tournament Setup'!$AO:$AO,MATCH($A59,'Tournament Setup'!$A:$A,0))&lt;=MOD($Y59,18),1,0)))</f>
      </c>
      <c r="AL59" t="e">
        <f>IF(OR(OR($A59="",$D59=""),R59=""),"",R59-(INT($Y59/18)+IF(INDEX('Tournament Setup'!$AP:$AP,MATCH($A59,'Tournament Setup'!$A:$A,0))&lt;=MOD($Y59,18),1,0)))</f>
      </c>
      <c r="AM59" t="e">
        <f>IF(OR(OR($A59="",$D59=""),S59=""),"",S59-(INT($Y59/18)+IF(INDEX('Tournament Setup'!$AQ:$AQ,MATCH($A59,'Tournament Setup'!$A:$A,0))&lt;=MOD($Y59,18),1,0)))</f>
      </c>
      <c r="AN59" t="e">
        <f>IF(OR(OR($A59="",$D59=""),T59=""),"",T59-(INT($Y59/18)+IF(INDEX('Tournament Setup'!$AR:$AR,MATCH($A59,'Tournament Setup'!$A:$A,0))&lt;=MOD($Y59,18),1,0)))</f>
      </c>
      <c r="AO59" t="e">
        <f>IF(OR(OR($A59="",$D59=""),U59=""),"",U59-(INT($Y59/18)+IF(INDEX('Tournament Setup'!$AS:$AS,MATCH($A59,'Tournament Setup'!$A:$A,0))&lt;=MOD($Y59,18),1,0)))</f>
      </c>
      <c r="AP59" t="e">
        <f>IF(OR(OR($A59="",$D59=""),V59=""),"",V59-(INT($Y59/18)+IF(INDEX('Tournament Setup'!$AT:$AT,MATCH($A59,'Tournament Setup'!$A:$A,0))&lt;=MOD($Y59,18),1,0)))</f>
      </c>
      <c r="AQ59" t="e">
        <f>IF(OR(OR($A59="",$D59=""),W59=""),"",W59-(INT($Y59/18)+IF(INDEX('Tournament Setup'!$AU:$AU,MATCH($A59,'Tournament Setup'!$A:$A,0))&lt;=MOD($Y59,18),1,0)))</f>
      </c>
    </row>
    <row r="60">
      <c r="X60" t="e">
        <f>IF(OR($A60="",$D60=""),"",SUM(F60:W60))</f>
      </c>
      <c r="Y60" t="e">
        <f>IF(OR($A60="",$D60=""),"",IF(INDEX('Tournament Setup'!$F:$F,MATCH($A60,'Tournament Setup'!$A:$A,0))="Net",ROUND(($E60-_xlfn.MINIFS($E$2:$E$401,$A$2:$A$401,$A60,$B$2:$B$401,$B60))*INDEX('Tournament Setup'!$G:$G,MATCH($A60,'Tournament Setup'!$A:$A,0))/100,0),0))</f>
      </c>
      <c r="Z60" t="e">
        <f>IF(OR(OR($A60="",$D60=""),F60=""),"",F60-(INT($Y60/18)+IF(INDEX('Tournament Setup'!$AD:$AD,MATCH($A60,'Tournament Setup'!$A:$A,0))&lt;=MOD($Y60,18),1,0)))</f>
      </c>
      <c r="AA60" t="e">
        <f>IF(OR(OR($A60="",$D60=""),G60=""),"",G60-(INT($Y60/18)+IF(INDEX('Tournament Setup'!$AE:$AE,MATCH($A60,'Tournament Setup'!$A:$A,0))&lt;=MOD($Y60,18),1,0)))</f>
      </c>
      <c r="AB60" t="e">
        <f>IF(OR(OR($A60="",$D60=""),H60=""),"",H60-(INT($Y60/18)+IF(INDEX('Tournament Setup'!$AF:$AF,MATCH($A60,'Tournament Setup'!$A:$A,0))&lt;=MOD($Y60,18),1,0)))</f>
      </c>
      <c r="AC60" t="e">
        <f>IF(OR(OR($A60="",$D60=""),I60=""),"",I60-(INT($Y60/18)+IF(INDEX('Tournament Setup'!$AG:$AG,MATCH($A60,'Tournament Setup'!$A:$A,0))&lt;=MOD($Y60,18),1,0)))</f>
      </c>
      <c r="AD60" t="e">
        <f>IF(OR(OR($A60="",$D60=""),J60=""),"",J60-(INT($Y60/18)+IF(INDEX('Tournament Setup'!$AH:$AH,MATCH($A60,'Tournament Setup'!$A:$A,0))&lt;=MOD($Y60,18),1,0)))</f>
      </c>
      <c r="AE60" t="e">
        <f>IF(OR(OR($A60="",$D60=""),K60=""),"",K60-(INT($Y60/18)+IF(INDEX('Tournament Setup'!$AI:$AI,MATCH($A60,'Tournament Setup'!$A:$A,0))&lt;=MOD($Y60,18),1,0)))</f>
      </c>
      <c r="AF60" t="e">
        <f>IF(OR(OR($A60="",$D60=""),L60=""),"",L60-(INT($Y60/18)+IF(INDEX('Tournament Setup'!$AJ:$AJ,MATCH($A60,'Tournament Setup'!$A:$A,0))&lt;=MOD($Y60,18),1,0)))</f>
      </c>
      <c r="AG60" t="e">
        <f>IF(OR(OR($A60="",$D60=""),M60=""),"",M60-(INT($Y60/18)+IF(INDEX('Tournament Setup'!$AK:$AK,MATCH($A60,'Tournament Setup'!$A:$A,0))&lt;=MOD($Y60,18),1,0)))</f>
      </c>
      <c r="AH60" t="e">
        <f>IF(OR(OR($A60="",$D60=""),N60=""),"",N60-(INT($Y60/18)+IF(INDEX('Tournament Setup'!$AL:$AL,MATCH($A60,'Tournament Setup'!$A:$A,0))&lt;=MOD($Y60,18),1,0)))</f>
      </c>
      <c r="AI60" t="e">
        <f>IF(OR(OR($A60="",$D60=""),O60=""),"",O60-(INT($Y60/18)+IF(INDEX('Tournament Setup'!$AM:$AM,MATCH($A60,'Tournament Setup'!$A:$A,0))&lt;=MOD($Y60,18),1,0)))</f>
      </c>
      <c r="AJ60" t="e">
        <f>IF(OR(OR($A60="",$D60=""),P60=""),"",P60-(INT($Y60/18)+IF(INDEX('Tournament Setup'!$AN:$AN,MATCH($A60,'Tournament Setup'!$A:$A,0))&lt;=MOD($Y60,18),1,0)))</f>
      </c>
      <c r="AK60" t="e">
        <f>IF(OR(OR($A60="",$D60=""),Q60=""),"",Q60-(INT($Y60/18)+IF(INDEX('Tournament Setup'!$AO:$AO,MATCH($A60,'Tournament Setup'!$A:$A,0))&lt;=MOD($Y60,18),1,0)))</f>
      </c>
      <c r="AL60" t="e">
        <f>IF(OR(OR($A60="",$D60=""),R60=""),"",R60-(INT($Y60/18)+IF(INDEX('Tournament Setup'!$AP:$AP,MATCH($A60,'Tournament Setup'!$A:$A,0))&lt;=MOD($Y60,18),1,0)))</f>
      </c>
      <c r="AM60" t="e">
        <f>IF(OR(OR($A60="",$D60=""),S60=""),"",S60-(INT($Y60/18)+IF(INDEX('Tournament Setup'!$AQ:$AQ,MATCH($A60,'Tournament Setup'!$A:$A,0))&lt;=MOD($Y60,18),1,0)))</f>
      </c>
      <c r="AN60" t="e">
        <f>IF(OR(OR($A60="",$D60=""),T60=""),"",T60-(INT($Y60/18)+IF(INDEX('Tournament Setup'!$AR:$AR,MATCH($A60,'Tournament Setup'!$A:$A,0))&lt;=MOD($Y60,18),1,0)))</f>
      </c>
      <c r="AO60" t="e">
        <f>IF(OR(OR($A60="",$D60=""),U60=""),"",U60-(INT($Y60/18)+IF(INDEX('Tournament Setup'!$AS:$AS,MATCH($A60,'Tournament Setup'!$A:$A,0))&lt;=MOD($Y60,18),1,0)))</f>
      </c>
      <c r="AP60" t="e">
        <f>IF(OR(OR($A60="",$D60=""),V60=""),"",V60-(INT($Y60/18)+IF(INDEX('Tournament Setup'!$AT:$AT,MATCH($A60,'Tournament Setup'!$A:$A,0))&lt;=MOD($Y60,18),1,0)))</f>
      </c>
      <c r="AQ60" t="e">
        <f>IF(OR(OR($A60="",$D60=""),W60=""),"",W60-(INT($Y60/18)+IF(INDEX('Tournament Setup'!$AU:$AU,MATCH($A60,'Tournament Setup'!$A:$A,0))&lt;=MOD($Y60,18),1,0)))</f>
      </c>
    </row>
    <row r="61">
      <c r="X61" t="e">
        <f>IF(OR($A61="",$D61=""),"",SUM(F61:W61))</f>
      </c>
      <c r="Y61" t="e">
        <f>IF(OR($A61="",$D61=""),"",IF(INDEX('Tournament Setup'!$F:$F,MATCH($A61,'Tournament Setup'!$A:$A,0))="Net",ROUND(($E61-_xlfn.MINIFS($E$2:$E$401,$A$2:$A$401,$A61,$B$2:$B$401,$B61))*INDEX('Tournament Setup'!$G:$G,MATCH($A61,'Tournament Setup'!$A:$A,0))/100,0),0))</f>
      </c>
      <c r="Z61" t="e">
        <f>IF(OR(OR($A61="",$D61=""),F61=""),"",F61-(INT($Y61/18)+IF(INDEX('Tournament Setup'!$AD:$AD,MATCH($A61,'Tournament Setup'!$A:$A,0))&lt;=MOD($Y61,18),1,0)))</f>
      </c>
      <c r="AA61" t="e">
        <f>IF(OR(OR($A61="",$D61=""),G61=""),"",G61-(INT($Y61/18)+IF(INDEX('Tournament Setup'!$AE:$AE,MATCH($A61,'Tournament Setup'!$A:$A,0))&lt;=MOD($Y61,18),1,0)))</f>
      </c>
      <c r="AB61" t="e">
        <f>IF(OR(OR($A61="",$D61=""),H61=""),"",H61-(INT($Y61/18)+IF(INDEX('Tournament Setup'!$AF:$AF,MATCH($A61,'Tournament Setup'!$A:$A,0))&lt;=MOD($Y61,18),1,0)))</f>
      </c>
      <c r="AC61" t="e">
        <f>IF(OR(OR($A61="",$D61=""),I61=""),"",I61-(INT($Y61/18)+IF(INDEX('Tournament Setup'!$AG:$AG,MATCH($A61,'Tournament Setup'!$A:$A,0))&lt;=MOD($Y61,18),1,0)))</f>
      </c>
      <c r="AD61" t="e">
        <f>IF(OR(OR($A61="",$D61=""),J61=""),"",J61-(INT($Y61/18)+IF(INDEX('Tournament Setup'!$AH:$AH,MATCH($A61,'Tournament Setup'!$A:$A,0))&lt;=MOD($Y61,18),1,0)))</f>
      </c>
      <c r="AE61" t="e">
        <f>IF(OR(OR($A61="",$D61=""),K61=""),"",K61-(INT($Y61/18)+IF(INDEX('Tournament Setup'!$AI:$AI,MATCH($A61,'Tournament Setup'!$A:$A,0))&lt;=MOD($Y61,18),1,0)))</f>
      </c>
      <c r="AF61" t="e">
        <f>IF(OR(OR($A61="",$D61=""),L61=""),"",L61-(INT($Y61/18)+IF(INDEX('Tournament Setup'!$AJ:$AJ,MATCH($A61,'Tournament Setup'!$A:$A,0))&lt;=MOD($Y61,18),1,0)))</f>
      </c>
      <c r="AG61" t="e">
        <f>IF(OR(OR($A61="",$D61=""),M61=""),"",M61-(INT($Y61/18)+IF(INDEX('Tournament Setup'!$AK:$AK,MATCH($A61,'Tournament Setup'!$A:$A,0))&lt;=MOD($Y61,18),1,0)))</f>
      </c>
      <c r="AH61" t="e">
        <f>IF(OR(OR($A61="",$D61=""),N61=""),"",N61-(INT($Y61/18)+IF(INDEX('Tournament Setup'!$AL:$AL,MATCH($A61,'Tournament Setup'!$A:$A,0))&lt;=MOD($Y61,18),1,0)))</f>
      </c>
      <c r="AI61" t="e">
        <f>IF(OR(OR($A61="",$D61=""),O61=""),"",O61-(INT($Y61/18)+IF(INDEX('Tournament Setup'!$AM:$AM,MATCH($A61,'Tournament Setup'!$A:$A,0))&lt;=MOD($Y61,18),1,0)))</f>
      </c>
      <c r="AJ61" t="e">
        <f>IF(OR(OR($A61="",$D61=""),P61=""),"",P61-(INT($Y61/18)+IF(INDEX('Tournament Setup'!$AN:$AN,MATCH($A61,'Tournament Setup'!$A:$A,0))&lt;=MOD($Y61,18),1,0)))</f>
      </c>
      <c r="AK61" t="e">
        <f>IF(OR(OR($A61="",$D61=""),Q61=""),"",Q61-(INT($Y61/18)+IF(INDEX('Tournament Setup'!$AO:$AO,MATCH($A61,'Tournament Setup'!$A:$A,0))&lt;=MOD($Y61,18),1,0)))</f>
      </c>
      <c r="AL61" t="e">
        <f>IF(OR(OR($A61="",$D61=""),R61=""),"",R61-(INT($Y61/18)+IF(INDEX('Tournament Setup'!$AP:$AP,MATCH($A61,'Tournament Setup'!$A:$A,0))&lt;=MOD($Y61,18),1,0)))</f>
      </c>
      <c r="AM61" t="e">
        <f>IF(OR(OR($A61="",$D61=""),S61=""),"",S61-(INT($Y61/18)+IF(INDEX('Tournament Setup'!$AQ:$AQ,MATCH($A61,'Tournament Setup'!$A:$A,0))&lt;=MOD($Y61,18),1,0)))</f>
      </c>
      <c r="AN61" t="e">
        <f>IF(OR(OR($A61="",$D61=""),T61=""),"",T61-(INT($Y61/18)+IF(INDEX('Tournament Setup'!$AR:$AR,MATCH($A61,'Tournament Setup'!$A:$A,0))&lt;=MOD($Y61,18),1,0)))</f>
      </c>
      <c r="AO61" t="e">
        <f>IF(OR(OR($A61="",$D61=""),U61=""),"",U61-(INT($Y61/18)+IF(INDEX('Tournament Setup'!$AS:$AS,MATCH($A61,'Tournament Setup'!$A:$A,0))&lt;=MOD($Y61,18),1,0)))</f>
      </c>
      <c r="AP61" t="e">
        <f>IF(OR(OR($A61="",$D61=""),V61=""),"",V61-(INT($Y61/18)+IF(INDEX('Tournament Setup'!$AT:$AT,MATCH($A61,'Tournament Setup'!$A:$A,0))&lt;=MOD($Y61,18),1,0)))</f>
      </c>
      <c r="AQ61" t="e">
        <f>IF(OR(OR($A61="",$D61=""),W61=""),"",W61-(INT($Y61/18)+IF(INDEX('Tournament Setup'!$AU:$AU,MATCH($A61,'Tournament Setup'!$A:$A,0))&lt;=MOD($Y61,18),1,0)))</f>
      </c>
    </row>
    <row r="62">
      <c r="X62" t="e">
        <f>IF(OR($A62="",$D62=""),"",SUM(F62:W62))</f>
      </c>
      <c r="Y62" t="e">
        <f>IF(OR($A62="",$D62=""),"",IF(INDEX('Tournament Setup'!$F:$F,MATCH($A62,'Tournament Setup'!$A:$A,0))="Net",ROUND(($E62-_xlfn.MINIFS($E$2:$E$401,$A$2:$A$401,$A62,$B$2:$B$401,$B62))*INDEX('Tournament Setup'!$G:$G,MATCH($A62,'Tournament Setup'!$A:$A,0))/100,0),0))</f>
      </c>
      <c r="Z62" t="e">
        <f>IF(OR(OR($A62="",$D62=""),F62=""),"",F62-(INT($Y62/18)+IF(INDEX('Tournament Setup'!$AD:$AD,MATCH($A62,'Tournament Setup'!$A:$A,0))&lt;=MOD($Y62,18),1,0)))</f>
      </c>
      <c r="AA62" t="e">
        <f>IF(OR(OR($A62="",$D62=""),G62=""),"",G62-(INT($Y62/18)+IF(INDEX('Tournament Setup'!$AE:$AE,MATCH($A62,'Tournament Setup'!$A:$A,0))&lt;=MOD($Y62,18),1,0)))</f>
      </c>
      <c r="AB62" t="e">
        <f>IF(OR(OR($A62="",$D62=""),H62=""),"",H62-(INT($Y62/18)+IF(INDEX('Tournament Setup'!$AF:$AF,MATCH($A62,'Tournament Setup'!$A:$A,0))&lt;=MOD($Y62,18),1,0)))</f>
      </c>
      <c r="AC62" t="e">
        <f>IF(OR(OR($A62="",$D62=""),I62=""),"",I62-(INT($Y62/18)+IF(INDEX('Tournament Setup'!$AG:$AG,MATCH($A62,'Tournament Setup'!$A:$A,0))&lt;=MOD($Y62,18),1,0)))</f>
      </c>
      <c r="AD62" t="e">
        <f>IF(OR(OR($A62="",$D62=""),J62=""),"",J62-(INT($Y62/18)+IF(INDEX('Tournament Setup'!$AH:$AH,MATCH($A62,'Tournament Setup'!$A:$A,0))&lt;=MOD($Y62,18),1,0)))</f>
      </c>
      <c r="AE62" t="e">
        <f>IF(OR(OR($A62="",$D62=""),K62=""),"",K62-(INT($Y62/18)+IF(INDEX('Tournament Setup'!$AI:$AI,MATCH($A62,'Tournament Setup'!$A:$A,0))&lt;=MOD($Y62,18),1,0)))</f>
      </c>
      <c r="AF62" t="e">
        <f>IF(OR(OR($A62="",$D62=""),L62=""),"",L62-(INT($Y62/18)+IF(INDEX('Tournament Setup'!$AJ:$AJ,MATCH($A62,'Tournament Setup'!$A:$A,0))&lt;=MOD($Y62,18),1,0)))</f>
      </c>
      <c r="AG62" t="e">
        <f>IF(OR(OR($A62="",$D62=""),M62=""),"",M62-(INT($Y62/18)+IF(INDEX('Tournament Setup'!$AK:$AK,MATCH($A62,'Tournament Setup'!$A:$A,0))&lt;=MOD($Y62,18),1,0)))</f>
      </c>
      <c r="AH62" t="e">
        <f>IF(OR(OR($A62="",$D62=""),N62=""),"",N62-(INT($Y62/18)+IF(INDEX('Tournament Setup'!$AL:$AL,MATCH($A62,'Tournament Setup'!$A:$A,0))&lt;=MOD($Y62,18),1,0)))</f>
      </c>
      <c r="AI62" t="e">
        <f>IF(OR(OR($A62="",$D62=""),O62=""),"",O62-(INT($Y62/18)+IF(INDEX('Tournament Setup'!$AM:$AM,MATCH($A62,'Tournament Setup'!$A:$A,0))&lt;=MOD($Y62,18),1,0)))</f>
      </c>
      <c r="AJ62" t="e">
        <f>IF(OR(OR($A62="",$D62=""),P62=""),"",P62-(INT($Y62/18)+IF(INDEX('Tournament Setup'!$AN:$AN,MATCH($A62,'Tournament Setup'!$A:$A,0))&lt;=MOD($Y62,18),1,0)))</f>
      </c>
      <c r="AK62" t="e">
        <f>IF(OR(OR($A62="",$D62=""),Q62=""),"",Q62-(INT($Y62/18)+IF(INDEX('Tournament Setup'!$AO:$AO,MATCH($A62,'Tournament Setup'!$A:$A,0))&lt;=MOD($Y62,18),1,0)))</f>
      </c>
      <c r="AL62" t="e">
        <f>IF(OR(OR($A62="",$D62=""),R62=""),"",R62-(INT($Y62/18)+IF(INDEX('Tournament Setup'!$AP:$AP,MATCH($A62,'Tournament Setup'!$A:$A,0))&lt;=MOD($Y62,18),1,0)))</f>
      </c>
      <c r="AM62" t="e">
        <f>IF(OR(OR($A62="",$D62=""),S62=""),"",S62-(INT($Y62/18)+IF(INDEX('Tournament Setup'!$AQ:$AQ,MATCH($A62,'Tournament Setup'!$A:$A,0))&lt;=MOD($Y62,18),1,0)))</f>
      </c>
      <c r="AN62" t="e">
        <f>IF(OR(OR($A62="",$D62=""),T62=""),"",T62-(INT($Y62/18)+IF(INDEX('Tournament Setup'!$AR:$AR,MATCH($A62,'Tournament Setup'!$A:$A,0))&lt;=MOD($Y62,18),1,0)))</f>
      </c>
      <c r="AO62" t="e">
        <f>IF(OR(OR($A62="",$D62=""),U62=""),"",U62-(INT($Y62/18)+IF(INDEX('Tournament Setup'!$AS:$AS,MATCH($A62,'Tournament Setup'!$A:$A,0))&lt;=MOD($Y62,18),1,0)))</f>
      </c>
      <c r="AP62" t="e">
        <f>IF(OR(OR($A62="",$D62=""),V62=""),"",V62-(INT($Y62/18)+IF(INDEX('Tournament Setup'!$AT:$AT,MATCH($A62,'Tournament Setup'!$A:$A,0))&lt;=MOD($Y62,18),1,0)))</f>
      </c>
      <c r="AQ62" t="e">
        <f>IF(OR(OR($A62="",$D62=""),W62=""),"",W62-(INT($Y62/18)+IF(INDEX('Tournament Setup'!$AU:$AU,MATCH($A62,'Tournament Setup'!$A:$A,0))&lt;=MOD($Y62,18),1,0)))</f>
      </c>
    </row>
    <row r="63">
      <c r="X63" t="e">
        <f>IF(OR($A63="",$D63=""),"",SUM(F63:W63))</f>
      </c>
      <c r="Y63" t="e">
        <f>IF(OR($A63="",$D63=""),"",IF(INDEX('Tournament Setup'!$F:$F,MATCH($A63,'Tournament Setup'!$A:$A,0))="Net",ROUND(($E63-_xlfn.MINIFS($E$2:$E$401,$A$2:$A$401,$A63,$B$2:$B$401,$B63))*INDEX('Tournament Setup'!$G:$G,MATCH($A63,'Tournament Setup'!$A:$A,0))/100,0),0))</f>
      </c>
      <c r="Z63" t="e">
        <f>IF(OR(OR($A63="",$D63=""),F63=""),"",F63-(INT($Y63/18)+IF(INDEX('Tournament Setup'!$AD:$AD,MATCH($A63,'Tournament Setup'!$A:$A,0))&lt;=MOD($Y63,18),1,0)))</f>
      </c>
      <c r="AA63" t="e">
        <f>IF(OR(OR($A63="",$D63=""),G63=""),"",G63-(INT($Y63/18)+IF(INDEX('Tournament Setup'!$AE:$AE,MATCH($A63,'Tournament Setup'!$A:$A,0))&lt;=MOD($Y63,18),1,0)))</f>
      </c>
      <c r="AB63" t="e">
        <f>IF(OR(OR($A63="",$D63=""),H63=""),"",H63-(INT($Y63/18)+IF(INDEX('Tournament Setup'!$AF:$AF,MATCH($A63,'Tournament Setup'!$A:$A,0))&lt;=MOD($Y63,18),1,0)))</f>
      </c>
      <c r="AC63" t="e">
        <f>IF(OR(OR($A63="",$D63=""),I63=""),"",I63-(INT($Y63/18)+IF(INDEX('Tournament Setup'!$AG:$AG,MATCH($A63,'Tournament Setup'!$A:$A,0))&lt;=MOD($Y63,18),1,0)))</f>
      </c>
      <c r="AD63" t="e">
        <f>IF(OR(OR($A63="",$D63=""),J63=""),"",J63-(INT($Y63/18)+IF(INDEX('Tournament Setup'!$AH:$AH,MATCH($A63,'Tournament Setup'!$A:$A,0))&lt;=MOD($Y63,18),1,0)))</f>
      </c>
      <c r="AE63" t="e">
        <f>IF(OR(OR($A63="",$D63=""),K63=""),"",K63-(INT($Y63/18)+IF(INDEX('Tournament Setup'!$AI:$AI,MATCH($A63,'Tournament Setup'!$A:$A,0))&lt;=MOD($Y63,18),1,0)))</f>
      </c>
      <c r="AF63" t="e">
        <f>IF(OR(OR($A63="",$D63=""),L63=""),"",L63-(INT($Y63/18)+IF(INDEX('Tournament Setup'!$AJ:$AJ,MATCH($A63,'Tournament Setup'!$A:$A,0))&lt;=MOD($Y63,18),1,0)))</f>
      </c>
      <c r="AG63" t="e">
        <f>IF(OR(OR($A63="",$D63=""),M63=""),"",M63-(INT($Y63/18)+IF(INDEX('Tournament Setup'!$AK:$AK,MATCH($A63,'Tournament Setup'!$A:$A,0))&lt;=MOD($Y63,18),1,0)))</f>
      </c>
      <c r="AH63" t="e">
        <f>IF(OR(OR($A63="",$D63=""),N63=""),"",N63-(INT($Y63/18)+IF(INDEX('Tournament Setup'!$AL:$AL,MATCH($A63,'Tournament Setup'!$A:$A,0))&lt;=MOD($Y63,18),1,0)))</f>
      </c>
      <c r="AI63" t="e">
        <f>IF(OR(OR($A63="",$D63=""),O63=""),"",O63-(INT($Y63/18)+IF(INDEX('Tournament Setup'!$AM:$AM,MATCH($A63,'Tournament Setup'!$A:$A,0))&lt;=MOD($Y63,18),1,0)))</f>
      </c>
      <c r="AJ63" t="e">
        <f>IF(OR(OR($A63="",$D63=""),P63=""),"",P63-(INT($Y63/18)+IF(INDEX('Tournament Setup'!$AN:$AN,MATCH($A63,'Tournament Setup'!$A:$A,0))&lt;=MOD($Y63,18),1,0)))</f>
      </c>
      <c r="AK63" t="e">
        <f>IF(OR(OR($A63="",$D63=""),Q63=""),"",Q63-(INT($Y63/18)+IF(INDEX('Tournament Setup'!$AO:$AO,MATCH($A63,'Tournament Setup'!$A:$A,0))&lt;=MOD($Y63,18),1,0)))</f>
      </c>
      <c r="AL63" t="e">
        <f>IF(OR(OR($A63="",$D63=""),R63=""),"",R63-(INT($Y63/18)+IF(INDEX('Tournament Setup'!$AP:$AP,MATCH($A63,'Tournament Setup'!$A:$A,0))&lt;=MOD($Y63,18),1,0)))</f>
      </c>
      <c r="AM63" t="e">
        <f>IF(OR(OR($A63="",$D63=""),S63=""),"",S63-(INT($Y63/18)+IF(INDEX('Tournament Setup'!$AQ:$AQ,MATCH($A63,'Tournament Setup'!$A:$A,0))&lt;=MOD($Y63,18),1,0)))</f>
      </c>
      <c r="AN63" t="e">
        <f>IF(OR(OR($A63="",$D63=""),T63=""),"",T63-(INT($Y63/18)+IF(INDEX('Tournament Setup'!$AR:$AR,MATCH($A63,'Tournament Setup'!$A:$A,0))&lt;=MOD($Y63,18),1,0)))</f>
      </c>
      <c r="AO63" t="e">
        <f>IF(OR(OR($A63="",$D63=""),U63=""),"",U63-(INT($Y63/18)+IF(INDEX('Tournament Setup'!$AS:$AS,MATCH($A63,'Tournament Setup'!$A:$A,0))&lt;=MOD($Y63,18),1,0)))</f>
      </c>
      <c r="AP63" t="e">
        <f>IF(OR(OR($A63="",$D63=""),V63=""),"",V63-(INT($Y63/18)+IF(INDEX('Tournament Setup'!$AT:$AT,MATCH($A63,'Tournament Setup'!$A:$A,0))&lt;=MOD($Y63,18),1,0)))</f>
      </c>
      <c r="AQ63" t="e">
        <f>IF(OR(OR($A63="",$D63=""),W63=""),"",W63-(INT($Y63/18)+IF(INDEX('Tournament Setup'!$AU:$AU,MATCH($A63,'Tournament Setup'!$A:$A,0))&lt;=MOD($Y63,18),1,0)))</f>
      </c>
    </row>
    <row r="64">
      <c r="X64" t="e">
        <f>IF(OR($A64="",$D64=""),"",SUM(F64:W64))</f>
      </c>
      <c r="Y64" t="e">
        <f>IF(OR($A64="",$D64=""),"",IF(INDEX('Tournament Setup'!$F:$F,MATCH($A64,'Tournament Setup'!$A:$A,0))="Net",ROUND(($E64-_xlfn.MINIFS($E$2:$E$401,$A$2:$A$401,$A64,$B$2:$B$401,$B64))*INDEX('Tournament Setup'!$G:$G,MATCH($A64,'Tournament Setup'!$A:$A,0))/100,0),0))</f>
      </c>
      <c r="Z64" t="e">
        <f>IF(OR(OR($A64="",$D64=""),F64=""),"",F64-(INT($Y64/18)+IF(INDEX('Tournament Setup'!$AD:$AD,MATCH($A64,'Tournament Setup'!$A:$A,0))&lt;=MOD($Y64,18),1,0)))</f>
      </c>
      <c r="AA64" t="e">
        <f>IF(OR(OR($A64="",$D64=""),G64=""),"",G64-(INT($Y64/18)+IF(INDEX('Tournament Setup'!$AE:$AE,MATCH($A64,'Tournament Setup'!$A:$A,0))&lt;=MOD($Y64,18),1,0)))</f>
      </c>
      <c r="AB64" t="e">
        <f>IF(OR(OR($A64="",$D64=""),H64=""),"",H64-(INT($Y64/18)+IF(INDEX('Tournament Setup'!$AF:$AF,MATCH($A64,'Tournament Setup'!$A:$A,0))&lt;=MOD($Y64,18),1,0)))</f>
      </c>
      <c r="AC64" t="e">
        <f>IF(OR(OR($A64="",$D64=""),I64=""),"",I64-(INT($Y64/18)+IF(INDEX('Tournament Setup'!$AG:$AG,MATCH($A64,'Tournament Setup'!$A:$A,0))&lt;=MOD($Y64,18),1,0)))</f>
      </c>
      <c r="AD64" t="e">
        <f>IF(OR(OR($A64="",$D64=""),J64=""),"",J64-(INT($Y64/18)+IF(INDEX('Tournament Setup'!$AH:$AH,MATCH($A64,'Tournament Setup'!$A:$A,0))&lt;=MOD($Y64,18),1,0)))</f>
      </c>
      <c r="AE64" t="e">
        <f>IF(OR(OR($A64="",$D64=""),K64=""),"",K64-(INT($Y64/18)+IF(INDEX('Tournament Setup'!$AI:$AI,MATCH($A64,'Tournament Setup'!$A:$A,0))&lt;=MOD($Y64,18),1,0)))</f>
      </c>
      <c r="AF64" t="e">
        <f>IF(OR(OR($A64="",$D64=""),L64=""),"",L64-(INT($Y64/18)+IF(INDEX('Tournament Setup'!$AJ:$AJ,MATCH($A64,'Tournament Setup'!$A:$A,0))&lt;=MOD($Y64,18),1,0)))</f>
      </c>
      <c r="AG64" t="e">
        <f>IF(OR(OR($A64="",$D64=""),M64=""),"",M64-(INT($Y64/18)+IF(INDEX('Tournament Setup'!$AK:$AK,MATCH($A64,'Tournament Setup'!$A:$A,0))&lt;=MOD($Y64,18),1,0)))</f>
      </c>
      <c r="AH64" t="e">
        <f>IF(OR(OR($A64="",$D64=""),N64=""),"",N64-(INT($Y64/18)+IF(INDEX('Tournament Setup'!$AL:$AL,MATCH($A64,'Tournament Setup'!$A:$A,0))&lt;=MOD($Y64,18),1,0)))</f>
      </c>
      <c r="AI64" t="e">
        <f>IF(OR(OR($A64="",$D64=""),O64=""),"",O64-(INT($Y64/18)+IF(INDEX('Tournament Setup'!$AM:$AM,MATCH($A64,'Tournament Setup'!$A:$A,0))&lt;=MOD($Y64,18),1,0)))</f>
      </c>
      <c r="AJ64" t="e">
        <f>IF(OR(OR($A64="",$D64=""),P64=""),"",P64-(INT($Y64/18)+IF(INDEX('Tournament Setup'!$AN:$AN,MATCH($A64,'Tournament Setup'!$A:$A,0))&lt;=MOD($Y64,18),1,0)))</f>
      </c>
      <c r="AK64" t="e">
        <f>IF(OR(OR($A64="",$D64=""),Q64=""),"",Q64-(INT($Y64/18)+IF(INDEX('Tournament Setup'!$AO:$AO,MATCH($A64,'Tournament Setup'!$A:$A,0))&lt;=MOD($Y64,18),1,0)))</f>
      </c>
      <c r="AL64" t="e">
        <f>IF(OR(OR($A64="",$D64=""),R64=""),"",R64-(INT($Y64/18)+IF(INDEX('Tournament Setup'!$AP:$AP,MATCH($A64,'Tournament Setup'!$A:$A,0))&lt;=MOD($Y64,18),1,0)))</f>
      </c>
      <c r="AM64" t="e">
        <f>IF(OR(OR($A64="",$D64=""),S64=""),"",S64-(INT($Y64/18)+IF(INDEX('Tournament Setup'!$AQ:$AQ,MATCH($A64,'Tournament Setup'!$A:$A,0))&lt;=MOD($Y64,18),1,0)))</f>
      </c>
      <c r="AN64" t="e">
        <f>IF(OR(OR($A64="",$D64=""),T64=""),"",T64-(INT($Y64/18)+IF(INDEX('Tournament Setup'!$AR:$AR,MATCH($A64,'Tournament Setup'!$A:$A,0))&lt;=MOD($Y64,18),1,0)))</f>
      </c>
      <c r="AO64" t="e">
        <f>IF(OR(OR($A64="",$D64=""),U64=""),"",U64-(INT($Y64/18)+IF(INDEX('Tournament Setup'!$AS:$AS,MATCH($A64,'Tournament Setup'!$A:$A,0))&lt;=MOD($Y64,18),1,0)))</f>
      </c>
      <c r="AP64" t="e">
        <f>IF(OR(OR($A64="",$D64=""),V64=""),"",V64-(INT($Y64/18)+IF(INDEX('Tournament Setup'!$AT:$AT,MATCH($A64,'Tournament Setup'!$A:$A,0))&lt;=MOD($Y64,18),1,0)))</f>
      </c>
      <c r="AQ64" t="e">
        <f>IF(OR(OR($A64="",$D64=""),W64=""),"",W64-(INT($Y64/18)+IF(INDEX('Tournament Setup'!$AU:$AU,MATCH($A64,'Tournament Setup'!$A:$A,0))&lt;=MOD($Y64,18),1,0)))</f>
      </c>
    </row>
    <row r="65">
      <c r="X65" t="e">
        <f>IF(OR($A65="",$D65=""),"",SUM(F65:W65))</f>
      </c>
      <c r="Y65" t="e">
        <f>IF(OR($A65="",$D65=""),"",IF(INDEX('Tournament Setup'!$F:$F,MATCH($A65,'Tournament Setup'!$A:$A,0))="Net",ROUND(($E65-_xlfn.MINIFS($E$2:$E$401,$A$2:$A$401,$A65,$B$2:$B$401,$B65))*INDEX('Tournament Setup'!$G:$G,MATCH($A65,'Tournament Setup'!$A:$A,0))/100,0),0))</f>
      </c>
      <c r="Z65" t="e">
        <f>IF(OR(OR($A65="",$D65=""),F65=""),"",F65-(INT($Y65/18)+IF(INDEX('Tournament Setup'!$AD:$AD,MATCH($A65,'Tournament Setup'!$A:$A,0))&lt;=MOD($Y65,18),1,0)))</f>
      </c>
      <c r="AA65" t="e">
        <f>IF(OR(OR($A65="",$D65=""),G65=""),"",G65-(INT($Y65/18)+IF(INDEX('Tournament Setup'!$AE:$AE,MATCH($A65,'Tournament Setup'!$A:$A,0))&lt;=MOD($Y65,18),1,0)))</f>
      </c>
      <c r="AB65" t="e">
        <f>IF(OR(OR($A65="",$D65=""),H65=""),"",H65-(INT($Y65/18)+IF(INDEX('Tournament Setup'!$AF:$AF,MATCH($A65,'Tournament Setup'!$A:$A,0))&lt;=MOD($Y65,18),1,0)))</f>
      </c>
      <c r="AC65" t="e">
        <f>IF(OR(OR($A65="",$D65=""),I65=""),"",I65-(INT($Y65/18)+IF(INDEX('Tournament Setup'!$AG:$AG,MATCH($A65,'Tournament Setup'!$A:$A,0))&lt;=MOD($Y65,18),1,0)))</f>
      </c>
      <c r="AD65" t="e">
        <f>IF(OR(OR($A65="",$D65=""),J65=""),"",J65-(INT($Y65/18)+IF(INDEX('Tournament Setup'!$AH:$AH,MATCH($A65,'Tournament Setup'!$A:$A,0))&lt;=MOD($Y65,18),1,0)))</f>
      </c>
      <c r="AE65" t="e">
        <f>IF(OR(OR($A65="",$D65=""),K65=""),"",K65-(INT($Y65/18)+IF(INDEX('Tournament Setup'!$AI:$AI,MATCH($A65,'Tournament Setup'!$A:$A,0))&lt;=MOD($Y65,18),1,0)))</f>
      </c>
      <c r="AF65" t="e">
        <f>IF(OR(OR($A65="",$D65=""),L65=""),"",L65-(INT($Y65/18)+IF(INDEX('Tournament Setup'!$AJ:$AJ,MATCH($A65,'Tournament Setup'!$A:$A,0))&lt;=MOD($Y65,18),1,0)))</f>
      </c>
      <c r="AG65" t="e">
        <f>IF(OR(OR($A65="",$D65=""),M65=""),"",M65-(INT($Y65/18)+IF(INDEX('Tournament Setup'!$AK:$AK,MATCH($A65,'Tournament Setup'!$A:$A,0))&lt;=MOD($Y65,18),1,0)))</f>
      </c>
      <c r="AH65" t="e">
        <f>IF(OR(OR($A65="",$D65=""),N65=""),"",N65-(INT($Y65/18)+IF(INDEX('Tournament Setup'!$AL:$AL,MATCH($A65,'Tournament Setup'!$A:$A,0))&lt;=MOD($Y65,18),1,0)))</f>
      </c>
      <c r="AI65" t="e">
        <f>IF(OR(OR($A65="",$D65=""),O65=""),"",O65-(INT($Y65/18)+IF(INDEX('Tournament Setup'!$AM:$AM,MATCH($A65,'Tournament Setup'!$A:$A,0))&lt;=MOD($Y65,18),1,0)))</f>
      </c>
      <c r="AJ65" t="e">
        <f>IF(OR(OR($A65="",$D65=""),P65=""),"",P65-(INT($Y65/18)+IF(INDEX('Tournament Setup'!$AN:$AN,MATCH($A65,'Tournament Setup'!$A:$A,0))&lt;=MOD($Y65,18),1,0)))</f>
      </c>
      <c r="AK65" t="e">
        <f>IF(OR(OR($A65="",$D65=""),Q65=""),"",Q65-(INT($Y65/18)+IF(INDEX('Tournament Setup'!$AO:$AO,MATCH($A65,'Tournament Setup'!$A:$A,0))&lt;=MOD($Y65,18),1,0)))</f>
      </c>
      <c r="AL65" t="e">
        <f>IF(OR(OR($A65="",$D65=""),R65=""),"",R65-(INT($Y65/18)+IF(INDEX('Tournament Setup'!$AP:$AP,MATCH($A65,'Tournament Setup'!$A:$A,0))&lt;=MOD($Y65,18),1,0)))</f>
      </c>
      <c r="AM65" t="e">
        <f>IF(OR(OR($A65="",$D65=""),S65=""),"",S65-(INT($Y65/18)+IF(INDEX('Tournament Setup'!$AQ:$AQ,MATCH($A65,'Tournament Setup'!$A:$A,0))&lt;=MOD($Y65,18),1,0)))</f>
      </c>
      <c r="AN65" t="e">
        <f>IF(OR(OR($A65="",$D65=""),T65=""),"",T65-(INT($Y65/18)+IF(INDEX('Tournament Setup'!$AR:$AR,MATCH($A65,'Tournament Setup'!$A:$A,0))&lt;=MOD($Y65,18),1,0)))</f>
      </c>
      <c r="AO65" t="e">
        <f>IF(OR(OR($A65="",$D65=""),U65=""),"",U65-(INT($Y65/18)+IF(INDEX('Tournament Setup'!$AS:$AS,MATCH($A65,'Tournament Setup'!$A:$A,0))&lt;=MOD($Y65,18),1,0)))</f>
      </c>
      <c r="AP65" t="e">
        <f>IF(OR(OR($A65="",$D65=""),V65=""),"",V65-(INT($Y65/18)+IF(INDEX('Tournament Setup'!$AT:$AT,MATCH($A65,'Tournament Setup'!$A:$A,0))&lt;=MOD($Y65,18),1,0)))</f>
      </c>
      <c r="AQ65" t="e">
        <f>IF(OR(OR($A65="",$D65=""),W65=""),"",W65-(INT($Y65/18)+IF(INDEX('Tournament Setup'!$AU:$AU,MATCH($A65,'Tournament Setup'!$A:$A,0))&lt;=MOD($Y65,18),1,0)))</f>
      </c>
    </row>
    <row r="66">
      <c r="X66" t="e">
        <f>IF(OR($A66="",$D66=""),"",SUM(F66:W66))</f>
      </c>
      <c r="Y66" t="e">
        <f>IF(OR($A66="",$D66=""),"",IF(INDEX('Tournament Setup'!$F:$F,MATCH($A66,'Tournament Setup'!$A:$A,0))="Net",ROUND(($E66-_xlfn.MINIFS($E$2:$E$401,$A$2:$A$401,$A66,$B$2:$B$401,$B66))*INDEX('Tournament Setup'!$G:$G,MATCH($A66,'Tournament Setup'!$A:$A,0))/100,0),0))</f>
      </c>
      <c r="Z66" t="e">
        <f>IF(OR(OR($A66="",$D66=""),F66=""),"",F66-(INT($Y66/18)+IF(INDEX('Tournament Setup'!$AD:$AD,MATCH($A66,'Tournament Setup'!$A:$A,0))&lt;=MOD($Y66,18),1,0)))</f>
      </c>
      <c r="AA66" t="e">
        <f>IF(OR(OR($A66="",$D66=""),G66=""),"",G66-(INT($Y66/18)+IF(INDEX('Tournament Setup'!$AE:$AE,MATCH($A66,'Tournament Setup'!$A:$A,0))&lt;=MOD($Y66,18),1,0)))</f>
      </c>
      <c r="AB66" t="e">
        <f>IF(OR(OR($A66="",$D66=""),H66=""),"",H66-(INT($Y66/18)+IF(INDEX('Tournament Setup'!$AF:$AF,MATCH($A66,'Tournament Setup'!$A:$A,0))&lt;=MOD($Y66,18),1,0)))</f>
      </c>
      <c r="AC66" t="e">
        <f>IF(OR(OR($A66="",$D66=""),I66=""),"",I66-(INT($Y66/18)+IF(INDEX('Tournament Setup'!$AG:$AG,MATCH($A66,'Tournament Setup'!$A:$A,0))&lt;=MOD($Y66,18),1,0)))</f>
      </c>
      <c r="AD66" t="e">
        <f>IF(OR(OR($A66="",$D66=""),J66=""),"",J66-(INT($Y66/18)+IF(INDEX('Tournament Setup'!$AH:$AH,MATCH($A66,'Tournament Setup'!$A:$A,0))&lt;=MOD($Y66,18),1,0)))</f>
      </c>
      <c r="AE66" t="e">
        <f>IF(OR(OR($A66="",$D66=""),K66=""),"",K66-(INT($Y66/18)+IF(INDEX('Tournament Setup'!$AI:$AI,MATCH($A66,'Tournament Setup'!$A:$A,0))&lt;=MOD($Y66,18),1,0)))</f>
      </c>
      <c r="AF66" t="e">
        <f>IF(OR(OR($A66="",$D66=""),L66=""),"",L66-(INT($Y66/18)+IF(INDEX('Tournament Setup'!$AJ:$AJ,MATCH($A66,'Tournament Setup'!$A:$A,0))&lt;=MOD($Y66,18),1,0)))</f>
      </c>
      <c r="AG66" t="e">
        <f>IF(OR(OR($A66="",$D66=""),M66=""),"",M66-(INT($Y66/18)+IF(INDEX('Tournament Setup'!$AK:$AK,MATCH($A66,'Tournament Setup'!$A:$A,0))&lt;=MOD($Y66,18),1,0)))</f>
      </c>
      <c r="AH66" t="e">
        <f>IF(OR(OR($A66="",$D66=""),N66=""),"",N66-(INT($Y66/18)+IF(INDEX('Tournament Setup'!$AL:$AL,MATCH($A66,'Tournament Setup'!$A:$A,0))&lt;=MOD($Y66,18),1,0)))</f>
      </c>
      <c r="AI66" t="e">
        <f>IF(OR(OR($A66="",$D66=""),O66=""),"",O66-(INT($Y66/18)+IF(INDEX('Tournament Setup'!$AM:$AM,MATCH($A66,'Tournament Setup'!$A:$A,0))&lt;=MOD($Y66,18),1,0)))</f>
      </c>
      <c r="AJ66" t="e">
        <f>IF(OR(OR($A66="",$D66=""),P66=""),"",P66-(INT($Y66/18)+IF(INDEX('Tournament Setup'!$AN:$AN,MATCH($A66,'Tournament Setup'!$A:$A,0))&lt;=MOD($Y66,18),1,0)))</f>
      </c>
      <c r="AK66" t="e">
        <f>IF(OR(OR($A66="",$D66=""),Q66=""),"",Q66-(INT($Y66/18)+IF(INDEX('Tournament Setup'!$AO:$AO,MATCH($A66,'Tournament Setup'!$A:$A,0))&lt;=MOD($Y66,18),1,0)))</f>
      </c>
      <c r="AL66" t="e">
        <f>IF(OR(OR($A66="",$D66=""),R66=""),"",R66-(INT($Y66/18)+IF(INDEX('Tournament Setup'!$AP:$AP,MATCH($A66,'Tournament Setup'!$A:$A,0))&lt;=MOD($Y66,18),1,0)))</f>
      </c>
      <c r="AM66" t="e">
        <f>IF(OR(OR($A66="",$D66=""),S66=""),"",S66-(INT($Y66/18)+IF(INDEX('Tournament Setup'!$AQ:$AQ,MATCH($A66,'Tournament Setup'!$A:$A,0))&lt;=MOD($Y66,18),1,0)))</f>
      </c>
      <c r="AN66" t="e">
        <f>IF(OR(OR($A66="",$D66=""),T66=""),"",T66-(INT($Y66/18)+IF(INDEX('Tournament Setup'!$AR:$AR,MATCH($A66,'Tournament Setup'!$A:$A,0))&lt;=MOD($Y66,18),1,0)))</f>
      </c>
      <c r="AO66" t="e">
        <f>IF(OR(OR($A66="",$D66=""),U66=""),"",U66-(INT($Y66/18)+IF(INDEX('Tournament Setup'!$AS:$AS,MATCH($A66,'Tournament Setup'!$A:$A,0))&lt;=MOD($Y66,18),1,0)))</f>
      </c>
      <c r="AP66" t="e">
        <f>IF(OR(OR($A66="",$D66=""),V66=""),"",V66-(INT($Y66/18)+IF(INDEX('Tournament Setup'!$AT:$AT,MATCH($A66,'Tournament Setup'!$A:$A,0))&lt;=MOD($Y66,18),1,0)))</f>
      </c>
      <c r="AQ66" t="e">
        <f>IF(OR(OR($A66="",$D66=""),W66=""),"",W66-(INT($Y66/18)+IF(INDEX('Tournament Setup'!$AU:$AU,MATCH($A66,'Tournament Setup'!$A:$A,0))&lt;=MOD($Y66,18),1,0)))</f>
      </c>
    </row>
    <row r="67">
      <c r="X67" t="e">
        <f>IF(OR($A67="",$D67=""),"",SUM(F67:W67))</f>
      </c>
      <c r="Y67" t="e">
        <f>IF(OR($A67="",$D67=""),"",IF(INDEX('Tournament Setup'!$F:$F,MATCH($A67,'Tournament Setup'!$A:$A,0))="Net",ROUND(($E67-_xlfn.MINIFS($E$2:$E$401,$A$2:$A$401,$A67,$B$2:$B$401,$B67))*INDEX('Tournament Setup'!$G:$G,MATCH($A67,'Tournament Setup'!$A:$A,0))/100,0),0))</f>
      </c>
      <c r="Z67" t="e">
        <f>IF(OR(OR($A67="",$D67=""),F67=""),"",F67-(INT($Y67/18)+IF(INDEX('Tournament Setup'!$AD:$AD,MATCH($A67,'Tournament Setup'!$A:$A,0))&lt;=MOD($Y67,18),1,0)))</f>
      </c>
      <c r="AA67" t="e">
        <f>IF(OR(OR($A67="",$D67=""),G67=""),"",G67-(INT($Y67/18)+IF(INDEX('Tournament Setup'!$AE:$AE,MATCH($A67,'Tournament Setup'!$A:$A,0))&lt;=MOD($Y67,18),1,0)))</f>
      </c>
      <c r="AB67" t="e">
        <f>IF(OR(OR($A67="",$D67=""),H67=""),"",H67-(INT($Y67/18)+IF(INDEX('Tournament Setup'!$AF:$AF,MATCH($A67,'Tournament Setup'!$A:$A,0))&lt;=MOD($Y67,18),1,0)))</f>
      </c>
      <c r="AC67" t="e">
        <f>IF(OR(OR($A67="",$D67=""),I67=""),"",I67-(INT($Y67/18)+IF(INDEX('Tournament Setup'!$AG:$AG,MATCH($A67,'Tournament Setup'!$A:$A,0))&lt;=MOD($Y67,18),1,0)))</f>
      </c>
      <c r="AD67" t="e">
        <f>IF(OR(OR($A67="",$D67=""),J67=""),"",J67-(INT($Y67/18)+IF(INDEX('Tournament Setup'!$AH:$AH,MATCH($A67,'Tournament Setup'!$A:$A,0))&lt;=MOD($Y67,18),1,0)))</f>
      </c>
      <c r="AE67" t="e">
        <f>IF(OR(OR($A67="",$D67=""),K67=""),"",K67-(INT($Y67/18)+IF(INDEX('Tournament Setup'!$AI:$AI,MATCH($A67,'Tournament Setup'!$A:$A,0))&lt;=MOD($Y67,18),1,0)))</f>
      </c>
      <c r="AF67" t="e">
        <f>IF(OR(OR($A67="",$D67=""),L67=""),"",L67-(INT($Y67/18)+IF(INDEX('Tournament Setup'!$AJ:$AJ,MATCH($A67,'Tournament Setup'!$A:$A,0))&lt;=MOD($Y67,18),1,0)))</f>
      </c>
      <c r="AG67" t="e">
        <f>IF(OR(OR($A67="",$D67=""),M67=""),"",M67-(INT($Y67/18)+IF(INDEX('Tournament Setup'!$AK:$AK,MATCH($A67,'Tournament Setup'!$A:$A,0))&lt;=MOD($Y67,18),1,0)))</f>
      </c>
      <c r="AH67" t="e">
        <f>IF(OR(OR($A67="",$D67=""),N67=""),"",N67-(INT($Y67/18)+IF(INDEX('Tournament Setup'!$AL:$AL,MATCH($A67,'Tournament Setup'!$A:$A,0))&lt;=MOD($Y67,18),1,0)))</f>
      </c>
      <c r="AI67" t="e">
        <f>IF(OR(OR($A67="",$D67=""),O67=""),"",O67-(INT($Y67/18)+IF(INDEX('Tournament Setup'!$AM:$AM,MATCH($A67,'Tournament Setup'!$A:$A,0))&lt;=MOD($Y67,18),1,0)))</f>
      </c>
      <c r="AJ67" t="e">
        <f>IF(OR(OR($A67="",$D67=""),P67=""),"",P67-(INT($Y67/18)+IF(INDEX('Tournament Setup'!$AN:$AN,MATCH($A67,'Tournament Setup'!$A:$A,0))&lt;=MOD($Y67,18),1,0)))</f>
      </c>
      <c r="AK67" t="e">
        <f>IF(OR(OR($A67="",$D67=""),Q67=""),"",Q67-(INT($Y67/18)+IF(INDEX('Tournament Setup'!$AO:$AO,MATCH($A67,'Tournament Setup'!$A:$A,0))&lt;=MOD($Y67,18),1,0)))</f>
      </c>
      <c r="AL67" t="e">
        <f>IF(OR(OR($A67="",$D67=""),R67=""),"",R67-(INT($Y67/18)+IF(INDEX('Tournament Setup'!$AP:$AP,MATCH($A67,'Tournament Setup'!$A:$A,0))&lt;=MOD($Y67,18),1,0)))</f>
      </c>
      <c r="AM67" t="e">
        <f>IF(OR(OR($A67="",$D67=""),S67=""),"",S67-(INT($Y67/18)+IF(INDEX('Tournament Setup'!$AQ:$AQ,MATCH($A67,'Tournament Setup'!$A:$A,0))&lt;=MOD($Y67,18),1,0)))</f>
      </c>
      <c r="AN67" t="e">
        <f>IF(OR(OR($A67="",$D67=""),T67=""),"",T67-(INT($Y67/18)+IF(INDEX('Tournament Setup'!$AR:$AR,MATCH($A67,'Tournament Setup'!$A:$A,0))&lt;=MOD($Y67,18),1,0)))</f>
      </c>
      <c r="AO67" t="e">
        <f>IF(OR(OR($A67="",$D67=""),U67=""),"",U67-(INT($Y67/18)+IF(INDEX('Tournament Setup'!$AS:$AS,MATCH($A67,'Tournament Setup'!$A:$A,0))&lt;=MOD($Y67,18),1,0)))</f>
      </c>
      <c r="AP67" t="e">
        <f>IF(OR(OR($A67="",$D67=""),V67=""),"",V67-(INT($Y67/18)+IF(INDEX('Tournament Setup'!$AT:$AT,MATCH($A67,'Tournament Setup'!$A:$A,0))&lt;=MOD($Y67,18),1,0)))</f>
      </c>
      <c r="AQ67" t="e">
        <f>IF(OR(OR($A67="",$D67=""),W67=""),"",W67-(INT($Y67/18)+IF(INDEX('Tournament Setup'!$AU:$AU,MATCH($A67,'Tournament Setup'!$A:$A,0))&lt;=MOD($Y67,18),1,0)))</f>
      </c>
    </row>
    <row r="68">
      <c r="X68" t="e">
        <f>IF(OR($A68="",$D68=""),"",SUM(F68:W68))</f>
      </c>
      <c r="Y68" t="e">
        <f>IF(OR($A68="",$D68=""),"",IF(INDEX('Tournament Setup'!$F:$F,MATCH($A68,'Tournament Setup'!$A:$A,0))="Net",ROUND(($E68-_xlfn.MINIFS($E$2:$E$401,$A$2:$A$401,$A68,$B$2:$B$401,$B68))*INDEX('Tournament Setup'!$G:$G,MATCH($A68,'Tournament Setup'!$A:$A,0))/100,0),0))</f>
      </c>
      <c r="Z68" t="e">
        <f>IF(OR(OR($A68="",$D68=""),F68=""),"",F68-(INT($Y68/18)+IF(INDEX('Tournament Setup'!$AD:$AD,MATCH($A68,'Tournament Setup'!$A:$A,0))&lt;=MOD($Y68,18),1,0)))</f>
      </c>
      <c r="AA68" t="e">
        <f>IF(OR(OR($A68="",$D68=""),G68=""),"",G68-(INT($Y68/18)+IF(INDEX('Tournament Setup'!$AE:$AE,MATCH($A68,'Tournament Setup'!$A:$A,0))&lt;=MOD($Y68,18),1,0)))</f>
      </c>
      <c r="AB68" t="e">
        <f>IF(OR(OR($A68="",$D68=""),H68=""),"",H68-(INT($Y68/18)+IF(INDEX('Tournament Setup'!$AF:$AF,MATCH($A68,'Tournament Setup'!$A:$A,0))&lt;=MOD($Y68,18),1,0)))</f>
      </c>
      <c r="AC68" t="e">
        <f>IF(OR(OR($A68="",$D68=""),I68=""),"",I68-(INT($Y68/18)+IF(INDEX('Tournament Setup'!$AG:$AG,MATCH($A68,'Tournament Setup'!$A:$A,0))&lt;=MOD($Y68,18),1,0)))</f>
      </c>
      <c r="AD68" t="e">
        <f>IF(OR(OR($A68="",$D68=""),J68=""),"",J68-(INT($Y68/18)+IF(INDEX('Tournament Setup'!$AH:$AH,MATCH($A68,'Tournament Setup'!$A:$A,0))&lt;=MOD($Y68,18),1,0)))</f>
      </c>
      <c r="AE68" t="e">
        <f>IF(OR(OR($A68="",$D68=""),K68=""),"",K68-(INT($Y68/18)+IF(INDEX('Tournament Setup'!$AI:$AI,MATCH($A68,'Tournament Setup'!$A:$A,0))&lt;=MOD($Y68,18),1,0)))</f>
      </c>
      <c r="AF68" t="e">
        <f>IF(OR(OR($A68="",$D68=""),L68=""),"",L68-(INT($Y68/18)+IF(INDEX('Tournament Setup'!$AJ:$AJ,MATCH($A68,'Tournament Setup'!$A:$A,0))&lt;=MOD($Y68,18),1,0)))</f>
      </c>
      <c r="AG68" t="e">
        <f>IF(OR(OR($A68="",$D68=""),M68=""),"",M68-(INT($Y68/18)+IF(INDEX('Tournament Setup'!$AK:$AK,MATCH($A68,'Tournament Setup'!$A:$A,0))&lt;=MOD($Y68,18),1,0)))</f>
      </c>
      <c r="AH68" t="e">
        <f>IF(OR(OR($A68="",$D68=""),N68=""),"",N68-(INT($Y68/18)+IF(INDEX('Tournament Setup'!$AL:$AL,MATCH($A68,'Tournament Setup'!$A:$A,0))&lt;=MOD($Y68,18),1,0)))</f>
      </c>
      <c r="AI68" t="e">
        <f>IF(OR(OR($A68="",$D68=""),O68=""),"",O68-(INT($Y68/18)+IF(INDEX('Tournament Setup'!$AM:$AM,MATCH($A68,'Tournament Setup'!$A:$A,0))&lt;=MOD($Y68,18),1,0)))</f>
      </c>
      <c r="AJ68" t="e">
        <f>IF(OR(OR($A68="",$D68=""),P68=""),"",P68-(INT($Y68/18)+IF(INDEX('Tournament Setup'!$AN:$AN,MATCH($A68,'Tournament Setup'!$A:$A,0))&lt;=MOD($Y68,18),1,0)))</f>
      </c>
      <c r="AK68" t="e">
        <f>IF(OR(OR($A68="",$D68=""),Q68=""),"",Q68-(INT($Y68/18)+IF(INDEX('Tournament Setup'!$AO:$AO,MATCH($A68,'Tournament Setup'!$A:$A,0))&lt;=MOD($Y68,18),1,0)))</f>
      </c>
      <c r="AL68" t="e">
        <f>IF(OR(OR($A68="",$D68=""),R68=""),"",R68-(INT($Y68/18)+IF(INDEX('Tournament Setup'!$AP:$AP,MATCH($A68,'Tournament Setup'!$A:$A,0))&lt;=MOD($Y68,18),1,0)))</f>
      </c>
      <c r="AM68" t="e">
        <f>IF(OR(OR($A68="",$D68=""),S68=""),"",S68-(INT($Y68/18)+IF(INDEX('Tournament Setup'!$AQ:$AQ,MATCH($A68,'Tournament Setup'!$A:$A,0))&lt;=MOD($Y68,18),1,0)))</f>
      </c>
      <c r="AN68" t="e">
        <f>IF(OR(OR($A68="",$D68=""),T68=""),"",T68-(INT($Y68/18)+IF(INDEX('Tournament Setup'!$AR:$AR,MATCH($A68,'Tournament Setup'!$A:$A,0))&lt;=MOD($Y68,18),1,0)))</f>
      </c>
      <c r="AO68" t="e">
        <f>IF(OR(OR($A68="",$D68=""),U68=""),"",U68-(INT($Y68/18)+IF(INDEX('Tournament Setup'!$AS:$AS,MATCH($A68,'Tournament Setup'!$A:$A,0))&lt;=MOD($Y68,18),1,0)))</f>
      </c>
      <c r="AP68" t="e">
        <f>IF(OR(OR($A68="",$D68=""),V68=""),"",V68-(INT($Y68/18)+IF(INDEX('Tournament Setup'!$AT:$AT,MATCH($A68,'Tournament Setup'!$A:$A,0))&lt;=MOD($Y68,18),1,0)))</f>
      </c>
      <c r="AQ68" t="e">
        <f>IF(OR(OR($A68="",$D68=""),W68=""),"",W68-(INT($Y68/18)+IF(INDEX('Tournament Setup'!$AU:$AU,MATCH($A68,'Tournament Setup'!$A:$A,0))&lt;=MOD($Y68,18),1,0)))</f>
      </c>
    </row>
    <row r="69">
      <c r="X69" t="e">
        <f>IF(OR($A69="",$D69=""),"",SUM(F69:W69))</f>
      </c>
      <c r="Y69" t="e">
        <f>IF(OR($A69="",$D69=""),"",IF(INDEX('Tournament Setup'!$F:$F,MATCH($A69,'Tournament Setup'!$A:$A,0))="Net",ROUND(($E69-_xlfn.MINIFS($E$2:$E$401,$A$2:$A$401,$A69,$B$2:$B$401,$B69))*INDEX('Tournament Setup'!$G:$G,MATCH($A69,'Tournament Setup'!$A:$A,0))/100,0),0))</f>
      </c>
      <c r="Z69" t="e">
        <f>IF(OR(OR($A69="",$D69=""),F69=""),"",F69-(INT($Y69/18)+IF(INDEX('Tournament Setup'!$AD:$AD,MATCH($A69,'Tournament Setup'!$A:$A,0))&lt;=MOD($Y69,18),1,0)))</f>
      </c>
      <c r="AA69" t="e">
        <f>IF(OR(OR($A69="",$D69=""),G69=""),"",G69-(INT($Y69/18)+IF(INDEX('Tournament Setup'!$AE:$AE,MATCH($A69,'Tournament Setup'!$A:$A,0))&lt;=MOD($Y69,18),1,0)))</f>
      </c>
      <c r="AB69" t="e">
        <f>IF(OR(OR($A69="",$D69=""),H69=""),"",H69-(INT($Y69/18)+IF(INDEX('Tournament Setup'!$AF:$AF,MATCH($A69,'Tournament Setup'!$A:$A,0))&lt;=MOD($Y69,18),1,0)))</f>
      </c>
      <c r="AC69" t="e">
        <f>IF(OR(OR($A69="",$D69=""),I69=""),"",I69-(INT($Y69/18)+IF(INDEX('Tournament Setup'!$AG:$AG,MATCH($A69,'Tournament Setup'!$A:$A,0))&lt;=MOD($Y69,18),1,0)))</f>
      </c>
      <c r="AD69" t="e">
        <f>IF(OR(OR($A69="",$D69=""),J69=""),"",J69-(INT($Y69/18)+IF(INDEX('Tournament Setup'!$AH:$AH,MATCH($A69,'Tournament Setup'!$A:$A,0))&lt;=MOD($Y69,18),1,0)))</f>
      </c>
      <c r="AE69" t="e">
        <f>IF(OR(OR($A69="",$D69=""),K69=""),"",K69-(INT($Y69/18)+IF(INDEX('Tournament Setup'!$AI:$AI,MATCH($A69,'Tournament Setup'!$A:$A,0))&lt;=MOD($Y69,18),1,0)))</f>
      </c>
      <c r="AF69" t="e">
        <f>IF(OR(OR($A69="",$D69=""),L69=""),"",L69-(INT($Y69/18)+IF(INDEX('Tournament Setup'!$AJ:$AJ,MATCH($A69,'Tournament Setup'!$A:$A,0))&lt;=MOD($Y69,18),1,0)))</f>
      </c>
      <c r="AG69" t="e">
        <f>IF(OR(OR($A69="",$D69=""),M69=""),"",M69-(INT($Y69/18)+IF(INDEX('Tournament Setup'!$AK:$AK,MATCH($A69,'Tournament Setup'!$A:$A,0))&lt;=MOD($Y69,18),1,0)))</f>
      </c>
      <c r="AH69" t="e">
        <f>IF(OR(OR($A69="",$D69=""),N69=""),"",N69-(INT($Y69/18)+IF(INDEX('Tournament Setup'!$AL:$AL,MATCH($A69,'Tournament Setup'!$A:$A,0))&lt;=MOD($Y69,18),1,0)))</f>
      </c>
      <c r="AI69" t="e">
        <f>IF(OR(OR($A69="",$D69=""),O69=""),"",O69-(INT($Y69/18)+IF(INDEX('Tournament Setup'!$AM:$AM,MATCH($A69,'Tournament Setup'!$A:$A,0))&lt;=MOD($Y69,18),1,0)))</f>
      </c>
      <c r="AJ69" t="e">
        <f>IF(OR(OR($A69="",$D69=""),P69=""),"",P69-(INT($Y69/18)+IF(INDEX('Tournament Setup'!$AN:$AN,MATCH($A69,'Tournament Setup'!$A:$A,0))&lt;=MOD($Y69,18),1,0)))</f>
      </c>
      <c r="AK69" t="e">
        <f>IF(OR(OR($A69="",$D69=""),Q69=""),"",Q69-(INT($Y69/18)+IF(INDEX('Tournament Setup'!$AO:$AO,MATCH($A69,'Tournament Setup'!$A:$A,0))&lt;=MOD($Y69,18),1,0)))</f>
      </c>
      <c r="AL69" t="e">
        <f>IF(OR(OR($A69="",$D69=""),R69=""),"",R69-(INT($Y69/18)+IF(INDEX('Tournament Setup'!$AP:$AP,MATCH($A69,'Tournament Setup'!$A:$A,0))&lt;=MOD($Y69,18),1,0)))</f>
      </c>
      <c r="AM69" t="e">
        <f>IF(OR(OR($A69="",$D69=""),S69=""),"",S69-(INT($Y69/18)+IF(INDEX('Tournament Setup'!$AQ:$AQ,MATCH($A69,'Tournament Setup'!$A:$A,0))&lt;=MOD($Y69,18),1,0)))</f>
      </c>
      <c r="AN69" t="e">
        <f>IF(OR(OR($A69="",$D69=""),T69=""),"",T69-(INT($Y69/18)+IF(INDEX('Tournament Setup'!$AR:$AR,MATCH($A69,'Tournament Setup'!$A:$A,0))&lt;=MOD($Y69,18),1,0)))</f>
      </c>
      <c r="AO69" t="e">
        <f>IF(OR(OR($A69="",$D69=""),U69=""),"",U69-(INT($Y69/18)+IF(INDEX('Tournament Setup'!$AS:$AS,MATCH($A69,'Tournament Setup'!$A:$A,0))&lt;=MOD($Y69,18),1,0)))</f>
      </c>
      <c r="AP69" t="e">
        <f>IF(OR(OR($A69="",$D69=""),V69=""),"",V69-(INT($Y69/18)+IF(INDEX('Tournament Setup'!$AT:$AT,MATCH($A69,'Tournament Setup'!$A:$A,0))&lt;=MOD($Y69,18),1,0)))</f>
      </c>
      <c r="AQ69" t="e">
        <f>IF(OR(OR($A69="",$D69=""),W69=""),"",W69-(INT($Y69/18)+IF(INDEX('Tournament Setup'!$AU:$AU,MATCH($A69,'Tournament Setup'!$A:$A,0))&lt;=MOD($Y69,18),1,0)))</f>
      </c>
    </row>
    <row r="70">
      <c r="X70" t="e">
        <f>IF(OR($A70="",$D70=""),"",SUM(F70:W70))</f>
      </c>
      <c r="Y70" t="e">
        <f>IF(OR($A70="",$D70=""),"",IF(INDEX('Tournament Setup'!$F:$F,MATCH($A70,'Tournament Setup'!$A:$A,0))="Net",ROUND(($E70-_xlfn.MINIFS($E$2:$E$401,$A$2:$A$401,$A70,$B$2:$B$401,$B70))*INDEX('Tournament Setup'!$G:$G,MATCH($A70,'Tournament Setup'!$A:$A,0))/100,0),0))</f>
      </c>
      <c r="Z70" t="e">
        <f>IF(OR(OR($A70="",$D70=""),F70=""),"",F70-(INT($Y70/18)+IF(INDEX('Tournament Setup'!$AD:$AD,MATCH($A70,'Tournament Setup'!$A:$A,0))&lt;=MOD($Y70,18),1,0)))</f>
      </c>
      <c r="AA70" t="e">
        <f>IF(OR(OR($A70="",$D70=""),G70=""),"",G70-(INT($Y70/18)+IF(INDEX('Tournament Setup'!$AE:$AE,MATCH($A70,'Tournament Setup'!$A:$A,0))&lt;=MOD($Y70,18),1,0)))</f>
      </c>
      <c r="AB70" t="e">
        <f>IF(OR(OR($A70="",$D70=""),H70=""),"",H70-(INT($Y70/18)+IF(INDEX('Tournament Setup'!$AF:$AF,MATCH($A70,'Tournament Setup'!$A:$A,0))&lt;=MOD($Y70,18),1,0)))</f>
      </c>
      <c r="AC70" t="e">
        <f>IF(OR(OR($A70="",$D70=""),I70=""),"",I70-(INT($Y70/18)+IF(INDEX('Tournament Setup'!$AG:$AG,MATCH($A70,'Tournament Setup'!$A:$A,0))&lt;=MOD($Y70,18),1,0)))</f>
      </c>
      <c r="AD70" t="e">
        <f>IF(OR(OR($A70="",$D70=""),J70=""),"",J70-(INT($Y70/18)+IF(INDEX('Tournament Setup'!$AH:$AH,MATCH($A70,'Tournament Setup'!$A:$A,0))&lt;=MOD($Y70,18),1,0)))</f>
      </c>
      <c r="AE70" t="e">
        <f>IF(OR(OR($A70="",$D70=""),K70=""),"",K70-(INT($Y70/18)+IF(INDEX('Tournament Setup'!$AI:$AI,MATCH($A70,'Tournament Setup'!$A:$A,0))&lt;=MOD($Y70,18),1,0)))</f>
      </c>
      <c r="AF70" t="e">
        <f>IF(OR(OR($A70="",$D70=""),L70=""),"",L70-(INT($Y70/18)+IF(INDEX('Tournament Setup'!$AJ:$AJ,MATCH($A70,'Tournament Setup'!$A:$A,0))&lt;=MOD($Y70,18),1,0)))</f>
      </c>
      <c r="AG70" t="e">
        <f>IF(OR(OR($A70="",$D70=""),M70=""),"",M70-(INT($Y70/18)+IF(INDEX('Tournament Setup'!$AK:$AK,MATCH($A70,'Tournament Setup'!$A:$A,0))&lt;=MOD($Y70,18),1,0)))</f>
      </c>
      <c r="AH70" t="e">
        <f>IF(OR(OR($A70="",$D70=""),N70=""),"",N70-(INT($Y70/18)+IF(INDEX('Tournament Setup'!$AL:$AL,MATCH($A70,'Tournament Setup'!$A:$A,0))&lt;=MOD($Y70,18),1,0)))</f>
      </c>
      <c r="AI70" t="e">
        <f>IF(OR(OR($A70="",$D70=""),O70=""),"",O70-(INT($Y70/18)+IF(INDEX('Tournament Setup'!$AM:$AM,MATCH($A70,'Tournament Setup'!$A:$A,0))&lt;=MOD($Y70,18),1,0)))</f>
      </c>
      <c r="AJ70" t="e">
        <f>IF(OR(OR($A70="",$D70=""),P70=""),"",P70-(INT($Y70/18)+IF(INDEX('Tournament Setup'!$AN:$AN,MATCH($A70,'Tournament Setup'!$A:$A,0))&lt;=MOD($Y70,18),1,0)))</f>
      </c>
      <c r="AK70" t="e">
        <f>IF(OR(OR($A70="",$D70=""),Q70=""),"",Q70-(INT($Y70/18)+IF(INDEX('Tournament Setup'!$AO:$AO,MATCH($A70,'Tournament Setup'!$A:$A,0))&lt;=MOD($Y70,18),1,0)))</f>
      </c>
      <c r="AL70" t="e">
        <f>IF(OR(OR($A70="",$D70=""),R70=""),"",R70-(INT($Y70/18)+IF(INDEX('Tournament Setup'!$AP:$AP,MATCH($A70,'Tournament Setup'!$A:$A,0))&lt;=MOD($Y70,18),1,0)))</f>
      </c>
      <c r="AM70" t="e">
        <f>IF(OR(OR($A70="",$D70=""),S70=""),"",S70-(INT($Y70/18)+IF(INDEX('Tournament Setup'!$AQ:$AQ,MATCH($A70,'Tournament Setup'!$A:$A,0))&lt;=MOD($Y70,18),1,0)))</f>
      </c>
      <c r="AN70" t="e">
        <f>IF(OR(OR($A70="",$D70=""),T70=""),"",T70-(INT($Y70/18)+IF(INDEX('Tournament Setup'!$AR:$AR,MATCH($A70,'Tournament Setup'!$A:$A,0))&lt;=MOD($Y70,18),1,0)))</f>
      </c>
      <c r="AO70" t="e">
        <f>IF(OR(OR($A70="",$D70=""),U70=""),"",U70-(INT($Y70/18)+IF(INDEX('Tournament Setup'!$AS:$AS,MATCH($A70,'Tournament Setup'!$A:$A,0))&lt;=MOD($Y70,18),1,0)))</f>
      </c>
      <c r="AP70" t="e">
        <f>IF(OR(OR($A70="",$D70=""),V70=""),"",V70-(INT($Y70/18)+IF(INDEX('Tournament Setup'!$AT:$AT,MATCH($A70,'Tournament Setup'!$A:$A,0))&lt;=MOD($Y70,18),1,0)))</f>
      </c>
      <c r="AQ70" t="e">
        <f>IF(OR(OR($A70="",$D70=""),W70=""),"",W70-(INT($Y70/18)+IF(INDEX('Tournament Setup'!$AU:$AU,MATCH($A70,'Tournament Setup'!$A:$A,0))&lt;=MOD($Y70,18),1,0)))</f>
      </c>
    </row>
    <row r="71">
      <c r="X71" t="e">
        <f>IF(OR($A71="",$D71=""),"",SUM(F71:W71))</f>
      </c>
      <c r="Y71" t="e">
        <f>IF(OR($A71="",$D71=""),"",IF(INDEX('Tournament Setup'!$F:$F,MATCH($A71,'Tournament Setup'!$A:$A,0))="Net",ROUND(($E71-_xlfn.MINIFS($E$2:$E$401,$A$2:$A$401,$A71,$B$2:$B$401,$B71))*INDEX('Tournament Setup'!$G:$G,MATCH($A71,'Tournament Setup'!$A:$A,0))/100,0),0))</f>
      </c>
      <c r="Z71" t="e">
        <f>IF(OR(OR($A71="",$D71=""),F71=""),"",F71-(INT($Y71/18)+IF(INDEX('Tournament Setup'!$AD:$AD,MATCH($A71,'Tournament Setup'!$A:$A,0))&lt;=MOD($Y71,18),1,0)))</f>
      </c>
      <c r="AA71" t="e">
        <f>IF(OR(OR($A71="",$D71=""),G71=""),"",G71-(INT($Y71/18)+IF(INDEX('Tournament Setup'!$AE:$AE,MATCH($A71,'Tournament Setup'!$A:$A,0))&lt;=MOD($Y71,18),1,0)))</f>
      </c>
      <c r="AB71" t="e">
        <f>IF(OR(OR($A71="",$D71=""),H71=""),"",H71-(INT($Y71/18)+IF(INDEX('Tournament Setup'!$AF:$AF,MATCH($A71,'Tournament Setup'!$A:$A,0))&lt;=MOD($Y71,18),1,0)))</f>
      </c>
      <c r="AC71" t="e">
        <f>IF(OR(OR($A71="",$D71=""),I71=""),"",I71-(INT($Y71/18)+IF(INDEX('Tournament Setup'!$AG:$AG,MATCH($A71,'Tournament Setup'!$A:$A,0))&lt;=MOD($Y71,18),1,0)))</f>
      </c>
      <c r="AD71" t="e">
        <f>IF(OR(OR($A71="",$D71=""),J71=""),"",J71-(INT($Y71/18)+IF(INDEX('Tournament Setup'!$AH:$AH,MATCH($A71,'Tournament Setup'!$A:$A,0))&lt;=MOD($Y71,18),1,0)))</f>
      </c>
      <c r="AE71" t="e">
        <f>IF(OR(OR($A71="",$D71=""),K71=""),"",K71-(INT($Y71/18)+IF(INDEX('Tournament Setup'!$AI:$AI,MATCH($A71,'Tournament Setup'!$A:$A,0))&lt;=MOD($Y71,18),1,0)))</f>
      </c>
      <c r="AF71" t="e">
        <f>IF(OR(OR($A71="",$D71=""),L71=""),"",L71-(INT($Y71/18)+IF(INDEX('Tournament Setup'!$AJ:$AJ,MATCH($A71,'Tournament Setup'!$A:$A,0))&lt;=MOD($Y71,18),1,0)))</f>
      </c>
      <c r="AG71" t="e">
        <f>IF(OR(OR($A71="",$D71=""),M71=""),"",M71-(INT($Y71/18)+IF(INDEX('Tournament Setup'!$AK:$AK,MATCH($A71,'Tournament Setup'!$A:$A,0))&lt;=MOD($Y71,18),1,0)))</f>
      </c>
      <c r="AH71" t="e">
        <f>IF(OR(OR($A71="",$D71=""),N71=""),"",N71-(INT($Y71/18)+IF(INDEX('Tournament Setup'!$AL:$AL,MATCH($A71,'Tournament Setup'!$A:$A,0))&lt;=MOD($Y71,18),1,0)))</f>
      </c>
      <c r="AI71" t="e">
        <f>IF(OR(OR($A71="",$D71=""),O71=""),"",O71-(INT($Y71/18)+IF(INDEX('Tournament Setup'!$AM:$AM,MATCH($A71,'Tournament Setup'!$A:$A,0))&lt;=MOD($Y71,18),1,0)))</f>
      </c>
      <c r="AJ71" t="e">
        <f>IF(OR(OR($A71="",$D71=""),P71=""),"",P71-(INT($Y71/18)+IF(INDEX('Tournament Setup'!$AN:$AN,MATCH($A71,'Tournament Setup'!$A:$A,0))&lt;=MOD($Y71,18),1,0)))</f>
      </c>
      <c r="AK71" t="e">
        <f>IF(OR(OR($A71="",$D71=""),Q71=""),"",Q71-(INT($Y71/18)+IF(INDEX('Tournament Setup'!$AO:$AO,MATCH($A71,'Tournament Setup'!$A:$A,0))&lt;=MOD($Y71,18),1,0)))</f>
      </c>
      <c r="AL71" t="e">
        <f>IF(OR(OR($A71="",$D71=""),R71=""),"",R71-(INT($Y71/18)+IF(INDEX('Tournament Setup'!$AP:$AP,MATCH($A71,'Tournament Setup'!$A:$A,0))&lt;=MOD($Y71,18),1,0)))</f>
      </c>
      <c r="AM71" t="e">
        <f>IF(OR(OR($A71="",$D71=""),S71=""),"",S71-(INT($Y71/18)+IF(INDEX('Tournament Setup'!$AQ:$AQ,MATCH($A71,'Tournament Setup'!$A:$A,0))&lt;=MOD($Y71,18),1,0)))</f>
      </c>
      <c r="AN71" t="e">
        <f>IF(OR(OR($A71="",$D71=""),T71=""),"",T71-(INT($Y71/18)+IF(INDEX('Tournament Setup'!$AR:$AR,MATCH($A71,'Tournament Setup'!$A:$A,0))&lt;=MOD($Y71,18),1,0)))</f>
      </c>
      <c r="AO71" t="e">
        <f>IF(OR(OR($A71="",$D71=""),U71=""),"",U71-(INT($Y71/18)+IF(INDEX('Tournament Setup'!$AS:$AS,MATCH($A71,'Tournament Setup'!$A:$A,0))&lt;=MOD($Y71,18),1,0)))</f>
      </c>
      <c r="AP71" t="e">
        <f>IF(OR(OR($A71="",$D71=""),V71=""),"",V71-(INT($Y71/18)+IF(INDEX('Tournament Setup'!$AT:$AT,MATCH($A71,'Tournament Setup'!$A:$A,0))&lt;=MOD($Y71,18),1,0)))</f>
      </c>
      <c r="AQ71" t="e">
        <f>IF(OR(OR($A71="",$D71=""),W71=""),"",W71-(INT($Y71/18)+IF(INDEX('Tournament Setup'!$AU:$AU,MATCH($A71,'Tournament Setup'!$A:$A,0))&lt;=MOD($Y71,18),1,0)))</f>
      </c>
    </row>
    <row r="72">
      <c r="X72" t="e">
        <f>IF(OR($A72="",$D72=""),"",SUM(F72:W72))</f>
      </c>
      <c r="Y72" t="e">
        <f>IF(OR($A72="",$D72=""),"",IF(INDEX('Tournament Setup'!$F:$F,MATCH($A72,'Tournament Setup'!$A:$A,0))="Net",ROUND(($E72-_xlfn.MINIFS($E$2:$E$401,$A$2:$A$401,$A72,$B$2:$B$401,$B72))*INDEX('Tournament Setup'!$G:$G,MATCH($A72,'Tournament Setup'!$A:$A,0))/100,0),0))</f>
      </c>
      <c r="Z72" t="e">
        <f>IF(OR(OR($A72="",$D72=""),F72=""),"",F72-(INT($Y72/18)+IF(INDEX('Tournament Setup'!$AD:$AD,MATCH($A72,'Tournament Setup'!$A:$A,0))&lt;=MOD($Y72,18),1,0)))</f>
      </c>
      <c r="AA72" t="e">
        <f>IF(OR(OR($A72="",$D72=""),G72=""),"",G72-(INT($Y72/18)+IF(INDEX('Tournament Setup'!$AE:$AE,MATCH($A72,'Tournament Setup'!$A:$A,0))&lt;=MOD($Y72,18),1,0)))</f>
      </c>
      <c r="AB72" t="e">
        <f>IF(OR(OR($A72="",$D72=""),H72=""),"",H72-(INT($Y72/18)+IF(INDEX('Tournament Setup'!$AF:$AF,MATCH($A72,'Tournament Setup'!$A:$A,0))&lt;=MOD($Y72,18),1,0)))</f>
      </c>
      <c r="AC72" t="e">
        <f>IF(OR(OR($A72="",$D72=""),I72=""),"",I72-(INT($Y72/18)+IF(INDEX('Tournament Setup'!$AG:$AG,MATCH($A72,'Tournament Setup'!$A:$A,0))&lt;=MOD($Y72,18),1,0)))</f>
      </c>
      <c r="AD72" t="e">
        <f>IF(OR(OR($A72="",$D72=""),J72=""),"",J72-(INT($Y72/18)+IF(INDEX('Tournament Setup'!$AH:$AH,MATCH($A72,'Tournament Setup'!$A:$A,0))&lt;=MOD($Y72,18),1,0)))</f>
      </c>
      <c r="AE72" t="e">
        <f>IF(OR(OR($A72="",$D72=""),K72=""),"",K72-(INT($Y72/18)+IF(INDEX('Tournament Setup'!$AI:$AI,MATCH($A72,'Tournament Setup'!$A:$A,0))&lt;=MOD($Y72,18),1,0)))</f>
      </c>
      <c r="AF72" t="e">
        <f>IF(OR(OR($A72="",$D72=""),L72=""),"",L72-(INT($Y72/18)+IF(INDEX('Tournament Setup'!$AJ:$AJ,MATCH($A72,'Tournament Setup'!$A:$A,0))&lt;=MOD($Y72,18),1,0)))</f>
      </c>
      <c r="AG72" t="e">
        <f>IF(OR(OR($A72="",$D72=""),M72=""),"",M72-(INT($Y72/18)+IF(INDEX('Tournament Setup'!$AK:$AK,MATCH($A72,'Tournament Setup'!$A:$A,0))&lt;=MOD($Y72,18),1,0)))</f>
      </c>
      <c r="AH72" t="e">
        <f>IF(OR(OR($A72="",$D72=""),N72=""),"",N72-(INT($Y72/18)+IF(INDEX('Tournament Setup'!$AL:$AL,MATCH($A72,'Tournament Setup'!$A:$A,0))&lt;=MOD($Y72,18),1,0)))</f>
      </c>
      <c r="AI72" t="e">
        <f>IF(OR(OR($A72="",$D72=""),O72=""),"",O72-(INT($Y72/18)+IF(INDEX('Tournament Setup'!$AM:$AM,MATCH($A72,'Tournament Setup'!$A:$A,0))&lt;=MOD($Y72,18),1,0)))</f>
      </c>
      <c r="AJ72" t="e">
        <f>IF(OR(OR($A72="",$D72=""),P72=""),"",P72-(INT($Y72/18)+IF(INDEX('Tournament Setup'!$AN:$AN,MATCH($A72,'Tournament Setup'!$A:$A,0))&lt;=MOD($Y72,18),1,0)))</f>
      </c>
      <c r="AK72" t="e">
        <f>IF(OR(OR($A72="",$D72=""),Q72=""),"",Q72-(INT($Y72/18)+IF(INDEX('Tournament Setup'!$AO:$AO,MATCH($A72,'Tournament Setup'!$A:$A,0))&lt;=MOD($Y72,18),1,0)))</f>
      </c>
      <c r="AL72" t="e">
        <f>IF(OR(OR($A72="",$D72=""),R72=""),"",R72-(INT($Y72/18)+IF(INDEX('Tournament Setup'!$AP:$AP,MATCH($A72,'Tournament Setup'!$A:$A,0))&lt;=MOD($Y72,18),1,0)))</f>
      </c>
      <c r="AM72" t="e">
        <f>IF(OR(OR($A72="",$D72=""),S72=""),"",S72-(INT($Y72/18)+IF(INDEX('Tournament Setup'!$AQ:$AQ,MATCH($A72,'Tournament Setup'!$A:$A,0))&lt;=MOD($Y72,18),1,0)))</f>
      </c>
      <c r="AN72" t="e">
        <f>IF(OR(OR($A72="",$D72=""),T72=""),"",T72-(INT($Y72/18)+IF(INDEX('Tournament Setup'!$AR:$AR,MATCH($A72,'Tournament Setup'!$A:$A,0))&lt;=MOD($Y72,18),1,0)))</f>
      </c>
      <c r="AO72" t="e">
        <f>IF(OR(OR($A72="",$D72=""),U72=""),"",U72-(INT($Y72/18)+IF(INDEX('Tournament Setup'!$AS:$AS,MATCH($A72,'Tournament Setup'!$A:$A,0))&lt;=MOD($Y72,18),1,0)))</f>
      </c>
      <c r="AP72" t="e">
        <f>IF(OR(OR($A72="",$D72=""),V72=""),"",V72-(INT($Y72/18)+IF(INDEX('Tournament Setup'!$AT:$AT,MATCH($A72,'Tournament Setup'!$A:$A,0))&lt;=MOD($Y72,18),1,0)))</f>
      </c>
      <c r="AQ72" t="e">
        <f>IF(OR(OR($A72="",$D72=""),W72=""),"",W72-(INT($Y72/18)+IF(INDEX('Tournament Setup'!$AU:$AU,MATCH($A72,'Tournament Setup'!$A:$A,0))&lt;=MOD($Y72,18),1,0)))</f>
      </c>
    </row>
    <row r="73">
      <c r="X73" t="e">
        <f>IF(OR($A73="",$D73=""),"",SUM(F73:W73))</f>
      </c>
      <c r="Y73" t="e">
        <f>IF(OR($A73="",$D73=""),"",IF(INDEX('Tournament Setup'!$F:$F,MATCH($A73,'Tournament Setup'!$A:$A,0))="Net",ROUND(($E73-_xlfn.MINIFS($E$2:$E$401,$A$2:$A$401,$A73,$B$2:$B$401,$B73))*INDEX('Tournament Setup'!$G:$G,MATCH($A73,'Tournament Setup'!$A:$A,0))/100,0),0))</f>
      </c>
      <c r="Z73" t="e">
        <f>IF(OR(OR($A73="",$D73=""),F73=""),"",F73-(INT($Y73/18)+IF(INDEX('Tournament Setup'!$AD:$AD,MATCH($A73,'Tournament Setup'!$A:$A,0))&lt;=MOD($Y73,18),1,0)))</f>
      </c>
      <c r="AA73" t="e">
        <f>IF(OR(OR($A73="",$D73=""),G73=""),"",G73-(INT($Y73/18)+IF(INDEX('Tournament Setup'!$AE:$AE,MATCH($A73,'Tournament Setup'!$A:$A,0))&lt;=MOD($Y73,18),1,0)))</f>
      </c>
      <c r="AB73" t="e">
        <f>IF(OR(OR($A73="",$D73=""),H73=""),"",H73-(INT($Y73/18)+IF(INDEX('Tournament Setup'!$AF:$AF,MATCH($A73,'Tournament Setup'!$A:$A,0))&lt;=MOD($Y73,18),1,0)))</f>
      </c>
      <c r="AC73" t="e">
        <f>IF(OR(OR($A73="",$D73=""),I73=""),"",I73-(INT($Y73/18)+IF(INDEX('Tournament Setup'!$AG:$AG,MATCH($A73,'Tournament Setup'!$A:$A,0))&lt;=MOD($Y73,18),1,0)))</f>
      </c>
      <c r="AD73" t="e">
        <f>IF(OR(OR($A73="",$D73=""),J73=""),"",J73-(INT($Y73/18)+IF(INDEX('Tournament Setup'!$AH:$AH,MATCH($A73,'Tournament Setup'!$A:$A,0))&lt;=MOD($Y73,18),1,0)))</f>
      </c>
      <c r="AE73" t="e">
        <f>IF(OR(OR($A73="",$D73=""),K73=""),"",K73-(INT($Y73/18)+IF(INDEX('Tournament Setup'!$AI:$AI,MATCH($A73,'Tournament Setup'!$A:$A,0))&lt;=MOD($Y73,18),1,0)))</f>
      </c>
      <c r="AF73" t="e">
        <f>IF(OR(OR($A73="",$D73=""),L73=""),"",L73-(INT($Y73/18)+IF(INDEX('Tournament Setup'!$AJ:$AJ,MATCH($A73,'Tournament Setup'!$A:$A,0))&lt;=MOD($Y73,18),1,0)))</f>
      </c>
      <c r="AG73" t="e">
        <f>IF(OR(OR($A73="",$D73=""),M73=""),"",M73-(INT($Y73/18)+IF(INDEX('Tournament Setup'!$AK:$AK,MATCH($A73,'Tournament Setup'!$A:$A,0))&lt;=MOD($Y73,18),1,0)))</f>
      </c>
      <c r="AH73" t="e">
        <f>IF(OR(OR($A73="",$D73=""),N73=""),"",N73-(INT($Y73/18)+IF(INDEX('Tournament Setup'!$AL:$AL,MATCH($A73,'Tournament Setup'!$A:$A,0))&lt;=MOD($Y73,18),1,0)))</f>
      </c>
      <c r="AI73" t="e">
        <f>IF(OR(OR($A73="",$D73=""),O73=""),"",O73-(INT($Y73/18)+IF(INDEX('Tournament Setup'!$AM:$AM,MATCH($A73,'Tournament Setup'!$A:$A,0))&lt;=MOD($Y73,18),1,0)))</f>
      </c>
      <c r="AJ73" t="e">
        <f>IF(OR(OR($A73="",$D73=""),P73=""),"",P73-(INT($Y73/18)+IF(INDEX('Tournament Setup'!$AN:$AN,MATCH($A73,'Tournament Setup'!$A:$A,0))&lt;=MOD($Y73,18),1,0)))</f>
      </c>
      <c r="AK73" t="e">
        <f>IF(OR(OR($A73="",$D73=""),Q73=""),"",Q73-(INT($Y73/18)+IF(INDEX('Tournament Setup'!$AO:$AO,MATCH($A73,'Tournament Setup'!$A:$A,0))&lt;=MOD($Y73,18),1,0)))</f>
      </c>
      <c r="AL73" t="e">
        <f>IF(OR(OR($A73="",$D73=""),R73=""),"",R73-(INT($Y73/18)+IF(INDEX('Tournament Setup'!$AP:$AP,MATCH($A73,'Tournament Setup'!$A:$A,0))&lt;=MOD($Y73,18),1,0)))</f>
      </c>
      <c r="AM73" t="e">
        <f>IF(OR(OR($A73="",$D73=""),S73=""),"",S73-(INT($Y73/18)+IF(INDEX('Tournament Setup'!$AQ:$AQ,MATCH($A73,'Tournament Setup'!$A:$A,0))&lt;=MOD($Y73,18),1,0)))</f>
      </c>
      <c r="AN73" t="e">
        <f>IF(OR(OR($A73="",$D73=""),T73=""),"",T73-(INT($Y73/18)+IF(INDEX('Tournament Setup'!$AR:$AR,MATCH($A73,'Tournament Setup'!$A:$A,0))&lt;=MOD($Y73,18),1,0)))</f>
      </c>
      <c r="AO73" t="e">
        <f>IF(OR(OR($A73="",$D73=""),U73=""),"",U73-(INT($Y73/18)+IF(INDEX('Tournament Setup'!$AS:$AS,MATCH($A73,'Tournament Setup'!$A:$A,0))&lt;=MOD($Y73,18),1,0)))</f>
      </c>
      <c r="AP73" t="e">
        <f>IF(OR(OR($A73="",$D73=""),V73=""),"",V73-(INT($Y73/18)+IF(INDEX('Tournament Setup'!$AT:$AT,MATCH($A73,'Tournament Setup'!$A:$A,0))&lt;=MOD($Y73,18),1,0)))</f>
      </c>
      <c r="AQ73" t="e">
        <f>IF(OR(OR($A73="",$D73=""),W73=""),"",W73-(INT($Y73/18)+IF(INDEX('Tournament Setup'!$AU:$AU,MATCH($A73,'Tournament Setup'!$A:$A,0))&lt;=MOD($Y73,18),1,0)))</f>
      </c>
    </row>
    <row r="74">
      <c r="X74" t="e">
        <f>IF(OR($A74="",$D74=""),"",SUM(F74:W74))</f>
      </c>
      <c r="Y74" t="e">
        <f>IF(OR($A74="",$D74=""),"",IF(INDEX('Tournament Setup'!$F:$F,MATCH($A74,'Tournament Setup'!$A:$A,0))="Net",ROUND(($E74-_xlfn.MINIFS($E$2:$E$401,$A$2:$A$401,$A74,$B$2:$B$401,$B74))*INDEX('Tournament Setup'!$G:$G,MATCH($A74,'Tournament Setup'!$A:$A,0))/100,0),0))</f>
      </c>
      <c r="Z74" t="e">
        <f>IF(OR(OR($A74="",$D74=""),F74=""),"",F74-(INT($Y74/18)+IF(INDEX('Tournament Setup'!$AD:$AD,MATCH($A74,'Tournament Setup'!$A:$A,0))&lt;=MOD($Y74,18),1,0)))</f>
      </c>
      <c r="AA74" t="e">
        <f>IF(OR(OR($A74="",$D74=""),G74=""),"",G74-(INT($Y74/18)+IF(INDEX('Tournament Setup'!$AE:$AE,MATCH($A74,'Tournament Setup'!$A:$A,0))&lt;=MOD($Y74,18),1,0)))</f>
      </c>
      <c r="AB74" t="e">
        <f>IF(OR(OR($A74="",$D74=""),H74=""),"",H74-(INT($Y74/18)+IF(INDEX('Tournament Setup'!$AF:$AF,MATCH($A74,'Tournament Setup'!$A:$A,0))&lt;=MOD($Y74,18),1,0)))</f>
      </c>
      <c r="AC74" t="e">
        <f>IF(OR(OR($A74="",$D74=""),I74=""),"",I74-(INT($Y74/18)+IF(INDEX('Tournament Setup'!$AG:$AG,MATCH($A74,'Tournament Setup'!$A:$A,0))&lt;=MOD($Y74,18),1,0)))</f>
      </c>
      <c r="AD74" t="e">
        <f>IF(OR(OR($A74="",$D74=""),J74=""),"",J74-(INT($Y74/18)+IF(INDEX('Tournament Setup'!$AH:$AH,MATCH($A74,'Tournament Setup'!$A:$A,0))&lt;=MOD($Y74,18),1,0)))</f>
      </c>
      <c r="AE74" t="e">
        <f>IF(OR(OR($A74="",$D74=""),K74=""),"",K74-(INT($Y74/18)+IF(INDEX('Tournament Setup'!$AI:$AI,MATCH($A74,'Tournament Setup'!$A:$A,0))&lt;=MOD($Y74,18),1,0)))</f>
      </c>
      <c r="AF74" t="e">
        <f>IF(OR(OR($A74="",$D74=""),L74=""),"",L74-(INT($Y74/18)+IF(INDEX('Tournament Setup'!$AJ:$AJ,MATCH($A74,'Tournament Setup'!$A:$A,0))&lt;=MOD($Y74,18),1,0)))</f>
      </c>
      <c r="AG74" t="e">
        <f>IF(OR(OR($A74="",$D74=""),M74=""),"",M74-(INT($Y74/18)+IF(INDEX('Tournament Setup'!$AK:$AK,MATCH($A74,'Tournament Setup'!$A:$A,0))&lt;=MOD($Y74,18),1,0)))</f>
      </c>
      <c r="AH74" t="e">
        <f>IF(OR(OR($A74="",$D74=""),N74=""),"",N74-(INT($Y74/18)+IF(INDEX('Tournament Setup'!$AL:$AL,MATCH($A74,'Tournament Setup'!$A:$A,0))&lt;=MOD($Y74,18),1,0)))</f>
      </c>
      <c r="AI74" t="e">
        <f>IF(OR(OR($A74="",$D74=""),O74=""),"",O74-(INT($Y74/18)+IF(INDEX('Tournament Setup'!$AM:$AM,MATCH($A74,'Tournament Setup'!$A:$A,0))&lt;=MOD($Y74,18),1,0)))</f>
      </c>
      <c r="AJ74" t="e">
        <f>IF(OR(OR($A74="",$D74=""),P74=""),"",P74-(INT($Y74/18)+IF(INDEX('Tournament Setup'!$AN:$AN,MATCH($A74,'Tournament Setup'!$A:$A,0))&lt;=MOD($Y74,18),1,0)))</f>
      </c>
      <c r="AK74" t="e">
        <f>IF(OR(OR($A74="",$D74=""),Q74=""),"",Q74-(INT($Y74/18)+IF(INDEX('Tournament Setup'!$AO:$AO,MATCH($A74,'Tournament Setup'!$A:$A,0))&lt;=MOD($Y74,18),1,0)))</f>
      </c>
      <c r="AL74" t="e">
        <f>IF(OR(OR($A74="",$D74=""),R74=""),"",R74-(INT($Y74/18)+IF(INDEX('Tournament Setup'!$AP:$AP,MATCH($A74,'Tournament Setup'!$A:$A,0))&lt;=MOD($Y74,18),1,0)))</f>
      </c>
      <c r="AM74" t="e">
        <f>IF(OR(OR($A74="",$D74=""),S74=""),"",S74-(INT($Y74/18)+IF(INDEX('Tournament Setup'!$AQ:$AQ,MATCH($A74,'Tournament Setup'!$A:$A,0))&lt;=MOD($Y74,18),1,0)))</f>
      </c>
      <c r="AN74" t="e">
        <f>IF(OR(OR($A74="",$D74=""),T74=""),"",T74-(INT($Y74/18)+IF(INDEX('Tournament Setup'!$AR:$AR,MATCH($A74,'Tournament Setup'!$A:$A,0))&lt;=MOD($Y74,18),1,0)))</f>
      </c>
      <c r="AO74" t="e">
        <f>IF(OR(OR($A74="",$D74=""),U74=""),"",U74-(INT($Y74/18)+IF(INDEX('Tournament Setup'!$AS:$AS,MATCH($A74,'Tournament Setup'!$A:$A,0))&lt;=MOD($Y74,18),1,0)))</f>
      </c>
      <c r="AP74" t="e">
        <f>IF(OR(OR($A74="",$D74=""),V74=""),"",V74-(INT($Y74/18)+IF(INDEX('Tournament Setup'!$AT:$AT,MATCH($A74,'Tournament Setup'!$A:$A,0))&lt;=MOD($Y74,18),1,0)))</f>
      </c>
      <c r="AQ74" t="e">
        <f>IF(OR(OR($A74="",$D74=""),W74=""),"",W74-(INT($Y74/18)+IF(INDEX('Tournament Setup'!$AU:$AU,MATCH($A74,'Tournament Setup'!$A:$A,0))&lt;=MOD($Y74,18),1,0)))</f>
      </c>
    </row>
    <row r="75">
      <c r="X75" t="e">
        <f>IF(OR($A75="",$D75=""),"",SUM(F75:W75))</f>
      </c>
      <c r="Y75" t="e">
        <f>IF(OR($A75="",$D75=""),"",IF(INDEX('Tournament Setup'!$F:$F,MATCH($A75,'Tournament Setup'!$A:$A,0))="Net",ROUND(($E75-_xlfn.MINIFS($E$2:$E$401,$A$2:$A$401,$A75,$B$2:$B$401,$B75))*INDEX('Tournament Setup'!$G:$G,MATCH($A75,'Tournament Setup'!$A:$A,0))/100,0),0))</f>
      </c>
      <c r="Z75" t="e">
        <f>IF(OR(OR($A75="",$D75=""),F75=""),"",F75-(INT($Y75/18)+IF(INDEX('Tournament Setup'!$AD:$AD,MATCH($A75,'Tournament Setup'!$A:$A,0))&lt;=MOD($Y75,18),1,0)))</f>
      </c>
      <c r="AA75" t="e">
        <f>IF(OR(OR($A75="",$D75=""),G75=""),"",G75-(INT($Y75/18)+IF(INDEX('Tournament Setup'!$AE:$AE,MATCH($A75,'Tournament Setup'!$A:$A,0))&lt;=MOD($Y75,18),1,0)))</f>
      </c>
      <c r="AB75" t="e">
        <f>IF(OR(OR($A75="",$D75=""),H75=""),"",H75-(INT($Y75/18)+IF(INDEX('Tournament Setup'!$AF:$AF,MATCH($A75,'Tournament Setup'!$A:$A,0))&lt;=MOD($Y75,18),1,0)))</f>
      </c>
      <c r="AC75" t="e">
        <f>IF(OR(OR($A75="",$D75=""),I75=""),"",I75-(INT($Y75/18)+IF(INDEX('Tournament Setup'!$AG:$AG,MATCH($A75,'Tournament Setup'!$A:$A,0))&lt;=MOD($Y75,18),1,0)))</f>
      </c>
      <c r="AD75" t="e">
        <f>IF(OR(OR($A75="",$D75=""),J75=""),"",J75-(INT($Y75/18)+IF(INDEX('Tournament Setup'!$AH:$AH,MATCH($A75,'Tournament Setup'!$A:$A,0))&lt;=MOD($Y75,18),1,0)))</f>
      </c>
      <c r="AE75" t="e">
        <f>IF(OR(OR($A75="",$D75=""),K75=""),"",K75-(INT($Y75/18)+IF(INDEX('Tournament Setup'!$AI:$AI,MATCH($A75,'Tournament Setup'!$A:$A,0))&lt;=MOD($Y75,18),1,0)))</f>
      </c>
      <c r="AF75" t="e">
        <f>IF(OR(OR($A75="",$D75=""),L75=""),"",L75-(INT($Y75/18)+IF(INDEX('Tournament Setup'!$AJ:$AJ,MATCH($A75,'Tournament Setup'!$A:$A,0))&lt;=MOD($Y75,18),1,0)))</f>
      </c>
      <c r="AG75" t="e">
        <f>IF(OR(OR($A75="",$D75=""),M75=""),"",M75-(INT($Y75/18)+IF(INDEX('Tournament Setup'!$AK:$AK,MATCH($A75,'Tournament Setup'!$A:$A,0))&lt;=MOD($Y75,18),1,0)))</f>
      </c>
      <c r="AH75" t="e">
        <f>IF(OR(OR($A75="",$D75=""),N75=""),"",N75-(INT($Y75/18)+IF(INDEX('Tournament Setup'!$AL:$AL,MATCH($A75,'Tournament Setup'!$A:$A,0))&lt;=MOD($Y75,18),1,0)))</f>
      </c>
      <c r="AI75" t="e">
        <f>IF(OR(OR($A75="",$D75=""),O75=""),"",O75-(INT($Y75/18)+IF(INDEX('Tournament Setup'!$AM:$AM,MATCH($A75,'Tournament Setup'!$A:$A,0))&lt;=MOD($Y75,18),1,0)))</f>
      </c>
      <c r="AJ75" t="e">
        <f>IF(OR(OR($A75="",$D75=""),P75=""),"",P75-(INT($Y75/18)+IF(INDEX('Tournament Setup'!$AN:$AN,MATCH($A75,'Tournament Setup'!$A:$A,0))&lt;=MOD($Y75,18),1,0)))</f>
      </c>
      <c r="AK75" t="e">
        <f>IF(OR(OR($A75="",$D75=""),Q75=""),"",Q75-(INT($Y75/18)+IF(INDEX('Tournament Setup'!$AO:$AO,MATCH($A75,'Tournament Setup'!$A:$A,0))&lt;=MOD($Y75,18),1,0)))</f>
      </c>
      <c r="AL75" t="e">
        <f>IF(OR(OR($A75="",$D75=""),R75=""),"",R75-(INT($Y75/18)+IF(INDEX('Tournament Setup'!$AP:$AP,MATCH($A75,'Tournament Setup'!$A:$A,0))&lt;=MOD($Y75,18),1,0)))</f>
      </c>
      <c r="AM75" t="e">
        <f>IF(OR(OR($A75="",$D75=""),S75=""),"",S75-(INT($Y75/18)+IF(INDEX('Tournament Setup'!$AQ:$AQ,MATCH($A75,'Tournament Setup'!$A:$A,0))&lt;=MOD($Y75,18),1,0)))</f>
      </c>
      <c r="AN75" t="e">
        <f>IF(OR(OR($A75="",$D75=""),T75=""),"",T75-(INT($Y75/18)+IF(INDEX('Tournament Setup'!$AR:$AR,MATCH($A75,'Tournament Setup'!$A:$A,0))&lt;=MOD($Y75,18),1,0)))</f>
      </c>
      <c r="AO75" t="e">
        <f>IF(OR(OR($A75="",$D75=""),U75=""),"",U75-(INT($Y75/18)+IF(INDEX('Tournament Setup'!$AS:$AS,MATCH($A75,'Tournament Setup'!$A:$A,0))&lt;=MOD($Y75,18),1,0)))</f>
      </c>
      <c r="AP75" t="e">
        <f>IF(OR(OR($A75="",$D75=""),V75=""),"",V75-(INT($Y75/18)+IF(INDEX('Tournament Setup'!$AT:$AT,MATCH($A75,'Tournament Setup'!$A:$A,0))&lt;=MOD($Y75,18),1,0)))</f>
      </c>
      <c r="AQ75" t="e">
        <f>IF(OR(OR($A75="",$D75=""),W75=""),"",W75-(INT($Y75/18)+IF(INDEX('Tournament Setup'!$AU:$AU,MATCH($A75,'Tournament Setup'!$A:$A,0))&lt;=MOD($Y75,18),1,0)))</f>
      </c>
    </row>
    <row r="76">
      <c r="X76" t="e">
        <f>IF(OR($A76="",$D76=""),"",SUM(F76:W76))</f>
      </c>
      <c r="Y76" t="e">
        <f>IF(OR($A76="",$D76=""),"",IF(INDEX('Tournament Setup'!$F:$F,MATCH($A76,'Tournament Setup'!$A:$A,0))="Net",ROUND(($E76-_xlfn.MINIFS($E$2:$E$401,$A$2:$A$401,$A76,$B$2:$B$401,$B76))*INDEX('Tournament Setup'!$G:$G,MATCH($A76,'Tournament Setup'!$A:$A,0))/100,0),0))</f>
      </c>
      <c r="Z76" t="e">
        <f>IF(OR(OR($A76="",$D76=""),F76=""),"",F76-(INT($Y76/18)+IF(INDEX('Tournament Setup'!$AD:$AD,MATCH($A76,'Tournament Setup'!$A:$A,0))&lt;=MOD($Y76,18),1,0)))</f>
      </c>
      <c r="AA76" t="e">
        <f>IF(OR(OR($A76="",$D76=""),G76=""),"",G76-(INT($Y76/18)+IF(INDEX('Tournament Setup'!$AE:$AE,MATCH($A76,'Tournament Setup'!$A:$A,0))&lt;=MOD($Y76,18),1,0)))</f>
      </c>
      <c r="AB76" t="e">
        <f>IF(OR(OR($A76="",$D76=""),H76=""),"",H76-(INT($Y76/18)+IF(INDEX('Tournament Setup'!$AF:$AF,MATCH($A76,'Tournament Setup'!$A:$A,0))&lt;=MOD($Y76,18),1,0)))</f>
      </c>
      <c r="AC76" t="e">
        <f>IF(OR(OR($A76="",$D76=""),I76=""),"",I76-(INT($Y76/18)+IF(INDEX('Tournament Setup'!$AG:$AG,MATCH($A76,'Tournament Setup'!$A:$A,0))&lt;=MOD($Y76,18),1,0)))</f>
      </c>
      <c r="AD76" t="e">
        <f>IF(OR(OR($A76="",$D76=""),J76=""),"",J76-(INT($Y76/18)+IF(INDEX('Tournament Setup'!$AH:$AH,MATCH($A76,'Tournament Setup'!$A:$A,0))&lt;=MOD($Y76,18),1,0)))</f>
      </c>
      <c r="AE76" t="e">
        <f>IF(OR(OR($A76="",$D76=""),K76=""),"",K76-(INT($Y76/18)+IF(INDEX('Tournament Setup'!$AI:$AI,MATCH($A76,'Tournament Setup'!$A:$A,0))&lt;=MOD($Y76,18),1,0)))</f>
      </c>
      <c r="AF76" t="e">
        <f>IF(OR(OR($A76="",$D76=""),L76=""),"",L76-(INT($Y76/18)+IF(INDEX('Tournament Setup'!$AJ:$AJ,MATCH($A76,'Tournament Setup'!$A:$A,0))&lt;=MOD($Y76,18),1,0)))</f>
      </c>
      <c r="AG76" t="e">
        <f>IF(OR(OR($A76="",$D76=""),M76=""),"",M76-(INT($Y76/18)+IF(INDEX('Tournament Setup'!$AK:$AK,MATCH($A76,'Tournament Setup'!$A:$A,0))&lt;=MOD($Y76,18),1,0)))</f>
      </c>
      <c r="AH76" t="e">
        <f>IF(OR(OR($A76="",$D76=""),N76=""),"",N76-(INT($Y76/18)+IF(INDEX('Tournament Setup'!$AL:$AL,MATCH($A76,'Tournament Setup'!$A:$A,0))&lt;=MOD($Y76,18),1,0)))</f>
      </c>
      <c r="AI76" t="e">
        <f>IF(OR(OR($A76="",$D76=""),O76=""),"",O76-(INT($Y76/18)+IF(INDEX('Tournament Setup'!$AM:$AM,MATCH($A76,'Tournament Setup'!$A:$A,0))&lt;=MOD($Y76,18),1,0)))</f>
      </c>
      <c r="AJ76" t="e">
        <f>IF(OR(OR($A76="",$D76=""),P76=""),"",P76-(INT($Y76/18)+IF(INDEX('Tournament Setup'!$AN:$AN,MATCH($A76,'Tournament Setup'!$A:$A,0))&lt;=MOD($Y76,18),1,0)))</f>
      </c>
      <c r="AK76" t="e">
        <f>IF(OR(OR($A76="",$D76=""),Q76=""),"",Q76-(INT($Y76/18)+IF(INDEX('Tournament Setup'!$AO:$AO,MATCH($A76,'Tournament Setup'!$A:$A,0))&lt;=MOD($Y76,18),1,0)))</f>
      </c>
      <c r="AL76" t="e">
        <f>IF(OR(OR($A76="",$D76=""),R76=""),"",R76-(INT($Y76/18)+IF(INDEX('Tournament Setup'!$AP:$AP,MATCH($A76,'Tournament Setup'!$A:$A,0))&lt;=MOD($Y76,18),1,0)))</f>
      </c>
      <c r="AM76" t="e">
        <f>IF(OR(OR($A76="",$D76=""),S76=""),"",S76-(INT($Y76/18)+IF(INDEX('Tournament Setup'!$AQ:$AQ,MATCH($A76,'Tournament Setup'!$A:$A,0))&lt;=MOD($Y76,18),1,0)))</f>
      </c>
      <c r="AN76" t="e">
        <f>IF(OR(OR($A76="",$D76=""),T76=""),"",T76-(INT($Y76/18)+IF(INDEX('Tournament Setup'!$AR:$AR,MATCH($A76,'Tournament Setup'!$A:$A,0))&lt;=MOD($Y76,18),1,0)))</f>
      </c>
      <c r="AO76" t="e">
        <f>IF(OR(OR($A76="",$D76=""),U76=""),"",U76-(INT($Y76/18)+IF(INDEX('Tournament Setup'!$AS:$AS,MATCH($A76,'Tournament Setup'!$A:$A,0))&lt;=MOD($Y76,18),1,0)))</f>
      </c>
      <c r="AP76" t="e">
        <f>IF(OR(OR($A76="",$D76=""),V76=""),"",V76-(INT($Y76/18)+IF(INDEX('Tournament Setup'!$AT:$AT,MATCH($A76,'Tournament Setup'!$A:$A,0))&lt;=MOD($Y76,18),1,0)))</f>
      </c>
      <c r="AQ76" t="e">
        <f>IF(OR(OR($A76="",$D76=""),W76=""),"",W76-(INT($Y76/18)+IF(INDEX('Tournament Setup'!$AU:$AU,MATCH($A76,'Tournament Setup'!$A:$A,0))&lt;=MOD($Y76,18),1,0)))</f>
      </c>
    </row>
    <row r="77">
      <c r="X77" t="e">
        <f>IF(OR($A77="",$D77=""),"",SUM(F77:W77))</f>
      </c>
      <c r="Y77" t="e">
        <f>IF(OR($A77="",$D77=""),"",IF(INDEX('Tournament Setup'!$F:$F,MATCH($A77,'Tournament Setup'!$A:$A,0))="Net",ROUND(($E77-_xlfn.MINIFS($E$2:$E$401,$A$2:$A$401,$A77,$B$2:$B$401,$B77))*INDEX('Tournament Setup'!$G:$G,MATCH($A77,'Tournament Setup'!$A:$A,0))/100,0),0))</f>
      </c>
      <c r="Z77" t="e">
        <f>IF(OR(OR($A77="",$D77=""),F77=""),"",F77-(INT($Y77/18)+IF(INDEX('Tournament Setup'!$AD:$AD,MATCH($A77,'Tournament Setup'!$A:$A,0))&lt;=MOD($Y77,18),1,0)))</f>
      </c>
      <c r="AA77" t="e">
        <f>IF(OR(OR($A77="",$D77=""),G77=""),"",G77-(INT($Y77/18)+IF(INDEX('Tournament Setup'!$AE:$AE,MATCH($A77,'Tournament Setup'!$A:$A,0))&lt;=MOD($Y77,18),1,0)))</f>
      </c>
      <c r="AB77" t="e">
        <f>IF(OR(OR($A77="",$D77=""),H77=""),"",H77-(INT($Y77/18)+IF(INDEX('Tournament Setup'!$AF:$AF,MATCH($A77,'Tournament Setup'!$A:$A,0))&lt;=MOD($Y77,18),1,0)))</f>
      </c>
      <c r="AC77" t="e">
        <f>IF(OR(OR($A77="",$D77=""),I77=""),"",I77-(INT($Y77/18)+IF(INDEX('Tournament Setup'!$AG:$AG,MATCH($A77,'Tournament Setup'!$A:$A,0))&lt;=MOD($Y77,18),1,0)))</f>
      </c>
      <c r="AD77" t="e">
        <f>IF(OR(OR($A77="",$D77=""),J77=""),"",J77-(INT($Y77/18)+IF(INDEX('Tournament Setup'!$AH:$AH,MATCH($A77,'Tournament Setup'!$A:$A,0))&lt;=MOD($Y77,18),1,0)))</f>
      </c>
      <c r="AE77" t="e">
        <f>IF(OR(OR($A77="",$D77=""),K77=""),"",K77-(INT($Y77/18)+IF(INDEX('Tournament Setup'!$AI:$AI,MATCH($A77,'Tournament Setup'!$A:$A,0))&lt;=MOD($Y77,18),1,0)))</f>
      </c>
      <c r="AF77" t="e">
        <f>IF(OR(OR($A77="",$D77=""),L77=""),"",L77-(INT($Y77/18)+IF(INDEX('Tournament Setup'!$AJ:$AJ,MATCH($A77,'Tournament Setup'!$A:$A,0))&lt;=MOD($Y77,18),1,0)))</f>
      </c>
      <c r="AG77" t="e">
        <f>IF(OR(OR($A77="",$D77=""),M77=""),"",M77-(INT($Y77/18)+IF(INDEX('Tournament Setup'!$AK:$AK,MATCH($A77,'Tournament Setup'!$A:$A,0))&lt;=MOD($Y77,18),1,0)))</f>
      </c>
      <c r="AH77" t="e">
        <f>IF(OR(OR($A77="",$D77=""),N77=""),"",N77-(INT($Y77/18)+IF(INDEX('Tournament Setup'!$AL:$AL,MATCH($A77,'Tournament Setup'!$A:$A,0))&lt;=MOD($Y77,18),1,0)))</f>
      </c>
      <c r="AI77" t="e">
        <f>IF(OR(OR($A77="",$D77=""),O77=""),"",O77-(INT($Y77/18)+IF(INDEX('Tournament Setup'!$AM:$AM,MATCH($A77,'Tournament Setup'!$A:$A,0))&lt;=MOD($Y77,18),1,0)))</f>
      </c>
      <c r="AJ77" t="e">
        <f>IF(OR(OR($A77="",$D77=""),P77=""),"",P77-(INT($Y77/18)+IF(INDEX('Tournament Setup'!$AN:$AN,MATCH($A77,'Tournament Setup'!$A:$A,0))&lt;=MOD($Y77,18),1,0)))</f>
      </c>
      <c r="AK77" t="e">
        <f>IF(OR(OR($A77="",$D77=""),Q77=""),"",Q77-(INT($Y77/18)+IF(INDEX('Tournament Setup'!$AO:$AO,MATCH($A77,'Tournament Setup'!$A:$A,0))&lt;=MOD($Y77,18),1,0)))</f>
      </c>
      <c r="AL77" t="e">
        <f>IF(OR(OR($A77="",$D77=""),R77=""),"",R77-(INT($Y77/18)+IF(INDEX('Tournament Setup'!$AP:$AP,MATCH($A77,'Tournament Setup'!$A:$A,0))&lt;=MOD($Y77,18),1,0)))</f>
      </c>
      <c r="AM77" t="e">
        <f>IF(OR(OR($A77="",$D77=""),S77=""),"",S77-(INT($Y77/18)+IF(INDEX('Tournament Setup'!$AQ:$AQ,MATCH($A77,'Tournament Setup'!$A:$A,0))&lt;=MOD($Y77,18),1,0)))</f>
      </c>
      <c r="AN77" t="e">
        <f>IF(OR(OR($A77="",$D77=""),T77=""),"",T77-(INT($Y77/18)+IF(INDEX('Tournament Setup'!$AR:$AR,MATCH($A77,'Tournament Setup'!$A:$A,0))&lt;=MOD($Y77,18),1,0)))</f>
      </c>
      <c r="AO77" t="e">
        <f>IF(OR(OR($A77="",$D77=""),U77=""),"",U77-(INT($Y77/18)+IF(INDEX('Tournament Setup'!$AS:$AS,MATCH($A77,'Tournament Setup'!$A:$A,0))&lt;=MOD($Y77,18),1,0)))</f>
      </c>
      <c r="AP77" t="e">
        <f>IF(OR(OR($A77="",$D77=""),V77=""),"",V77-(INT($Y77/18)+IF(INDEX('Tournament Setup'!$AT:$AT,MATCH($A77,'Tournament Setup'!$A:$A,0))&lt;=MOD($Y77,18),1,0)))</f>
      </c>
      <c r="AQ77" t="e">
        <f>IF(OR(OR($A77="",$D77=""),W77=""),"",W77-(INT($Y77/18)+IF(INDEX('Tournament Setup'!$AU:$AU,MATCH($A77,'Tournament Setup'!$A:$A,0))&lt;=MOD($Y77,18),1,0)))</f>
      </c>
    </row>
    <row r="78">
      <c r="X78" t="e">
        <f>IF(OR($A78="",$D78=""),"",SUM(F78:W78))</f>
      </c>
      <c r="Y78" t="e">
        <f>IF(OR($A78="",$D78=""),"",IF(INDEX('Tournament Setup'!$F:$F,MATCH($A78,'Tournament Setup'!$A:$A,0))="Net",ROUND(($E78-_xlfn.MINIFS($E$2:$E$401,$A$2:$A$401,$A78,$B$2:$B$401,$B78))*INDEX('Tournament Setup'!$G:$G,MATCH($A78,'Tournament Setup'!$A:$A,0))/100,0),0))</f>
      </c>
      <c r="Z78" t="e">
        <f>IF(OR(OR($A78="",$D78=""),F78=""),"",F78-(INT($Y78/18)+IF(INDEX('Tournament Setup'!$AD:$AD,MATCH($A78,'Tournament Setup'!$A:$A,0))&lt;=MOD($Y78,18),1,0)))</f>
      </c>
      <c r="AA78" t="e">
        <f>IF(OR(OR($A78="",$D78=""),G78=""),"",G78-(INT($Y78/18)+IF(INDEX('Tournament Setup'!$AE:$AE,MATCH($A78,'Tournament Setup'!$A:$A,0))&lt;=MOD($Y78,18),1,0)))</f>
      </c>
      <c r="AB78" t="e">
        <f>IF(OR(OR($A78="",$D78=""),H78=""),"",H78-(INT($Y78/18)+IF(INDEX('Tournament Setup'!$AF:$AF,MATCH($A78,'Tournament Setup'!$A:$A,0))&lt;=MOD($Y78,18),1,0)))</f>
      </c>
      <c r="AC78" t="e">
        <f>IF(OR(OR($A78="",$D78=""),I78=""),"",I78-(INT($Y78/18)+IF(INDEX('Tournament Setup'!$AG:$AG,MATCH($A78,'Tournament Setup'!$A:$A,0))&lt;=MOD($Y78,18),1,0)))</f>
      </c>
      <c r="AD78" t="e">
        <f>IF(OR(OR($A78="",$D78=""),J78=""),"",J78-(INT($Y78/18)+IF(INDEX('Tournament Setup'!$AH:$AH,MATCH($A78,'Tournament Setup'!$A:$A,0))&lt;=MOD($Y78,18),1,0)))</f>
      </c>
      <c r="AE78" t="e">
        <f>IF(OR(OR($A78="",$D78=""),K78=""),"",K78-(INT($Y78/18)+IF(INDEX('Tournament Setup'!$AI:$AI,MATCH($A78,'Tournament Setup'!$A:$A,0))&lt;=MOD($Y78,18),1,0)))</f>
      </c>
      <c r="AF78" t="e">
        <f>IF(OR(OR($A78="",$D78=""),L78=""),"",L78-(INT($Y78/18)+IF(INDEX('Tournament Setup'!$AJ:$AJ,MATCH($A78,'Tournament Setup'!$A:$A,0))&lt;=MOD($Y78,18),1,0)))</f>
      </c>
      <c r="AG78" t="e">
        <f>IF(OR(OR($A78="",$D78=""),M78=""),"",M78-(INT($Y78/18)+IF(INDEX('Tournament Setup'!$AK:$AK,MATCH($A78,'Tournament Setup'!$A:$A,0))&lt;=MOD($Y78,18),1,0)))</f>
      </c>
      <c r="AH78" t="e">
        <f>IF(OR(OR($A78="",$D78=""),N78=""),"",N78-(INT($Y78/18)+IF(INDEX('Tournament Setup'!$AL:$AL,MATCH($A78,'Tournament Setup'!$A:$A,0))&lt;=MOD($Y78,18),1,0)))</f>
      </c>
      <c r="AI78" t="e">
        <f>IF(OR(OR($A78="",$D78=""),O78=""),"",O78-(INT($Y78/18)+IF(INDEX('Tournament Setup'!$AM:$AM,MATCH($A78,'Tournament Setup'!$A:$A,0))&lt;=MOD($Y78,18),1,0)))</f>
      </c>
      <c r="AJ78" t="e">
        <f>IF(OR(OR($A78="",$D78=""),P78=""),"",P78-(INT($Y78/18)+IF(INDEX('Tournament Setup'!$AN:$AN,MATCH($A78,'Tournament Setup'!$A:$A,0))&lt;=MOD($Y78,18),1,0)))</f>
      </c>
      <c r="AK78" t="e">
        <f>IF(OR(OR($A78="",$D78=""),Q78=""),"",Q78-(INT($Y78/18)+IF(INDEX('Tournament Setup'!$AO:$AO,MATCH($A78,'Tournament Setup'!$A:$A,0))&lt;=MOD($Y78,18),1,0)))</f>
      </c>
      <c r="AL78" t="e">
        <f>IF(OR(OR($A78="",$D78=""),R78=""),"",R78-(INT($Y78/18)+IF(INDEX('Tournament Setup'!$AP:$AP,MATCH($A78,'Tournament Setup'!$A:$A,0))&lt;=MOD($Y78,18),1,0)))</f>
      </c>
      <c r="AM78" t="e">
        <f>IF(OR(OR($A78="",$D78=""),S78=""),"",S78-(INT($Y78/18)+IF(INDEX('Tournament Setup'!$AQ:$AQ,MATCH($A78,'Tournament Setup'!$A:$A,0))&lt;=MOD($Y78,18),1,0)))</f>
      </c>
      <c r="AN78" t="e">
        <f>IF(OR(OR($A78="",$D78=""),T78=""),"",T78-(INT($Y78/18)+IF(INDEX('Tournament Setup'!$AR:$AR,MATCH($A78,'Tournament Setup'!$A:$A,0))&lt;=MOD($Y78,18),1,0)))</f>
      </c>
      <c r="AO78" t="e">
        <f>IF(OR(OR($A78="",$D78=""),U78=""),"",U78-(INT($Y78/18)+IF(INDEX('Tournament Setup'!$AS:$AS,MATCH($A78,'Tournament Setup'!$A:$A,0))&lt;=MOD($Y78,18),1,0)))</f>
      </c>
      <c r="AP78" t="e">
        <f>IF(OR(OR($A78="",$D78=""),V78=""),"",V78-(INT($Y78/18)+IF(INDEX('Tournament Setup'!$AT:$AT,MATCH($A78,'Tournament Setup'!$A:$A,0))&lt;=MOD($Y78,18),1,0)))</f>
      </c>
      <c r="AQ78" t="e">
        <f>IF(OR(OR($A78="",$D78=""),W78=""),"",W78-(INT($Y78/18)+IF(INDEX('Tournament Setup'!$AU:$AU,MATCH($A78,'Tournament Setup'!$A:$A,0))&lt;=MOD($Y78,18),1,0)))</f>
      </c>
    </row>
    <row r="79">
      <c r="X79" t="e">
        <f>IF(OR($A79="",$D79=""),"",SUM(F79:W79))</f>
      </c>
      <c r="Y79" t="e">
        <f>IF(OR($A79="",$D79=""),"",IF(INDEX('Tournament Setup'!$F:$F,MATCH($A79,'Tournament Setup'!$A:$A,0))="Net",ROUND(($E79-_xlfn.MINIFS($E$2:$E$401,$A$2:$A$401,$A79,$B$2:$B$401,$B79))*INDEX('Tournament Setup'!$G:$G,MATCH($A79,'Tournament Setup'!$A:$A,0))/100,0),0))</f>
      </c>
      <c r="Z79" t="e">
        <f>IF(OR(OR($A79="",$D79=""),F79=""),"",F79-(INT($Y79/18)+IF(INDEX('Tournament Setup'!$AD:$AD,MATCH($A79,'Tournament Setup'!$A:$A,0))&lt;=MOD($Y79,18),1,0)))</f>
      </c>
      <c r="AA79" t="e">
        <f>IF(OR(OR($A79="",$D79=""),G79=""),"",G79-(INT($Y79/18)+IF(INDEX('Tournament Setup'!$AE:$AE,MATCH($A79,'Tournament Setup'!$A:$A,0))&lt;=MOD($Y79,18),1,0)))</f>
      </c>
      <c r="AB79" t="e">
        <f>IF(OR(OR($A79="",$D79=""),H79=""),"",H79-(INT($Y79/18)+IF(INDEX('Tournament Setup'!$AF:$AF,MATCH($A79,'Tournament Setup'!$A:$A,0))&lt;=MOD($Y79,18),1,0)))</f>
      </c>
      <c r="AC79" t="e">
        <f>IF(OR(OR($A79="",$D79=""),I79=""),"",I79-(INT($Y79/18)+IF(INDEX('Tournament Setup'!$AG:$AG,MATCH($A79,'Tournament Setup'!$A:$A,0))&lt;=MOD($Y79,18),1,0)))</f>
      </c>
      <c r="AD79" t="e">
        <f>IF(OR(OR($A79="",$D79=""),J79=""),"",J79-(INT($Y79/18)+IF(INDEX('Tournament Setup'!$AH:$AH,MATCH($A79,'Tournament Setup'!$A:$A,0))&lt;=MOD($Y79,18),1,0)))</f>
      </c>
      <c r="AE79" t="e">
        <f>IF(OR(OR($A79="",$D79=""),K79=""),"",K79-(INT($Y79/18)+IF(INDEX('Tournament Setup'!$AI:$AI,MATCH($A79,'Tournament Setup'!$A:$A,0))&lt;=MOD($Y79,18),1,0)))</f>
      </c>
      <c r="AF79" t="e">
        <f>IF(OR(OR($A79="",$D79=""),L79=""),"",L79-(INT($Y79/18)+IF(INDEX('Tournament Setup'!$AJ:$AJ,MATCH($A79,'Tournament Setup'!$A:$A,0))&lt;=MOD($Y79,18),1,0)))</f>
      </c>
      <c r="AG79" t="e">
        <f>IF(OR(OR($A79="",$D79=""),M79=""),"",M79-(INT($Y79/18)+IF(INDEX('Tournament Setup'!$AK:$AK,MATCH($A79,'Tournament Setup'!$A:$A,0))&lt;=MOD($Y79,18),1,0)))</f>
      </c>
      <c r="AH79" t="e">
        <f>IF(OR(OR($A79="",$D79=""),N79=""),"",N79-(INT($Y79/18)+IF(INDEX('Tournament Setup'!$AL:$AL,MATCH($A79,'Tournament Setup'!$A:$A,0))&lt;=MOD($Y79,18),1,0)))</f>
      </c>
      <c r="AI79" t="e">
        <f>IF(OR(OR($A79="",$D79=""),O79=""),"",O79-(INT($Y79/18)+IF(INDEX('Tournament Setup'!$AM:$AM,MATCH($A79,'Tournament Setup'!$A:$A,0))&lt;=MOD($Y79,18),1,0)))</f>
      </c>
      <c r="AJ79" t="e">
        <f>IF(OR(OR($A79="",$D79=""),P79=""),"",P79-(INT($Y79/18)+IF(INDEX('Tournament Setup'!$AN:$AN,MATCH($A79,'Tournament Setup'!$A:$A,0))&lt;=MOD($Y79,18),1,0)))</f>
      </c>
      <c r="AK79" t="e">
        <f>IF(OR(OR($A79="",$D79=""),Q79=""),"",Q79-(INT($Y79/18)+IF(INDEX('Tournament Setup'!$AO:$AO,MATCH($A79,'Tournament Setup'!$A:$A,0))&lt;=MOD($Y79,18),1,0)))</f>
      </c>
      <c r="AL79" t="e">
        <f>IF(OR(OR($A79="",$D79=""),R79=""),"",R79-(INT($Y79/18)+IF(INDEX('Tournament Setup'!$AP:$AP,MATCH($A79,'Tournament Setup'!$A:$A,0))&lt;=MOD($Y79,18),1,0)))</f>
      </c>
      <c r="AM79" t="e">
        <f>IF(OR(OR($A79="",$D79=""),S79=""),"",S79-(INT($Y79/18)+IF(INDEX('Tournament Setup'!$AQ:$AQ,MATCH($A79,'Tournament Setup'!$A:$A,0))&lt;=MOD($Y79,18),1,0)))</f>
      </c>
      <c r="AN79" t="e">
        <f>IF(OR(OR($A79="",$D79=""),T79=""),"",T79-(INT($Y79/18)+IF(INDEX('Tournament Setup'!$AR:$AR,MATCH($A79,'Tournament Setup'!$A:$A,0))&lt;=MOD($Y79,18),1,0)))</f>
      </c>
      <c r="AO79" t="e">
        <f>IF(OR(OR($A79="",$D79=""),U79=""),"",U79-(INT($Y79/18)+IF(INDEX('Tournament Setup'!$AS:$AS,MATCH($A79,'Tournament Setup'!$A:$A,0))&lt;=MOD($Y79,18),1,0)))</f>
      </c>
      <c r="AP79" t="e">
        <f>IF(OR(OR($A79="",$D79=""),V79=""),"",V79-(INT($Y79/18)+IF(INDEX('Tournament Setup'!$AT:$AT,MATCH($A79,'Tournament Setup'!$A:$A,0))&lt;=MOD($Y79,18),1,0)))</f>
      </c>
      <c r="AQ79" t="e">
        <f>IF(OR(OR($A79="",$D79=""),W79=""),"",W79-(INT($Y79/18)+IF(INDEX('Tournament Setup'!$AU:$AU,MATCH($A79,'Tournament Setup'!$A:$A,0))&lt;=MOD($Y79,18),1,0)))</f>
      </c>
    </row>
    <row r="80">
      <c r="X80" t="e">
        <f>IF(OR($A80="",$D80=""),"",SUM(F80:W80))</f>
      </c>
      <c r="Y80" t="e">
        <f>IF(OR($A80="",$D80=""),"",IF(INDEX('Tournament Setup'!$F:$F,MATCH($A80,'Tournament Setup'!$A:$A,0))="Net",ROUND(($E80-_xlfn.MINIFS($E$2:$E$401,$A$2:$A$401,$A80,$B$2:$B$401,$B80))*INDEX('Tournament Setup'!$G:$G,MATCH($A80,'Tournament Setup'!$A:$A,0))/100,0),0))</f>
      </c>
      <c r="Z80" t="e">
        <f>IF(OR(OR($A80="",$D80=""),F80=""),"",F80-(INT($Y80/18)+IF(INDEX('Tournament Setup'!$AD:$AD,MATCH($A80,'Tournament Setup'!$A:$A,0))&lt;=MOD($Y80,18),1,0)))</f>
      </c>
      <c r="AA80" t="e">
        <f>IF(OR(OR($A80="",$D80=""),G80=""),"",G80-(INT($Y80/18)+IF(INDEX('Tournament Setup'!$AE:$AE,MATCH($A80,'Tournament Setup'!$A:$A,0))&lt;=MOD($Y80,18),1,0)))</f>
      </c>
      <c r="AB80" t="e">
        <f>IF(OR(OR($A80="",$D80=""),H80=""),"",H80-(INT($Y80/18)+IF(INDEX('Tournament Setup'!$AF:$AF,MATCH($A80,'Tournament Setup'!$A:$A,0))&lt;=MOD($Y80,18),1,0)))</f>
      </c>
      <c r="AC80" t="e">
        <f>IF(OR(OR($A80="",$D80=""),I80=""),"",I80-(INT($Y80/18)+IF(INDEX('Tournament Setup'!$AG:$AG,MATCH($A80,'Tournament Setup'!$A:$A,0))&lt;=MOD($Y80,18),1,0)))</f>
      </c>
      <c r="AD80" t="e">
        <f>IF(OR(OR($A80="",$D80=""),J80=""),"",J80-(INT($Y80/18)+IF(INDEX('Tournament Setup'!$AH:$AH,MATCH($A80,'Tournament Setup'!$A:$A,0))&lt;=MOD($Y80,18),1,0)))</f>
      </c>
      <c r="AE80" t="e">
        <f>IF(OR(OR($A80="",$D80=""),K80=""),"",K80-(INT($Y80/18)+IF(INDEX('Tournament Setup'!$AI:$AI,MATCH($A80,'Tournament Setup'!$A:$A,0))&lt;=MOD($Y80,18),1,0)))</f>
      </c>
      <c r="AF80" t="e">
        <f>IF(OR(OR($A80="",$D80=""),L80=""),"",L80-(INT($Y80/18)+IF(INDEX('Tournament Setup'!$AJ:$AJ,MATCH($A80,'Tournament Setup'!$A:$A,0))&lt;=MOD($Y80,18),1,0)))</f>
      </c>
      <c r="AG80" t="e">
        <f>IF(OR(OR($A80="",$D80=""),M80=""),"",M80-(INT($Y80/18)+IF(INDEX('Tournament Setup'!$AK:$AK,MATCH($A80,'Tournament Setup'!$A:$A,0))&lt;=MOD($Y80,18),1,0)))</f>
      </c>
      <c r="AH80" t="e">
        <f>IF(OR(OR($A80="",$D80=""),N80=""),"",N80-(INT($Y80/18)+IF(INDEX('Tournament Setup'!$AL:$AL,MATCH($A80,'Tournament Setup'!$A:$A,0))&lt;=MOD($Y80,18),1,0)))</f>
      </c>
      <c r="AI80" t="e">
        <f>IF(OR(OR($A80="",$D80=""),O80=""),"",O80-(INT($Y80/18)+IF(INDEX('Tournament Setup'!$AM:$AM,MATCH($A80,'Tournament Setup'!$A:$A,0))&lt;=MOD($Y80,18),1,0)))</f>
      </c>
      <c r="AJ80" t="e">
        <f>IF(OR(OR($A80="",$D80=""),P80=""),"",P80-(INT($Y80/18)+IF(INDEX('Tournament Setup'!$AN:$AN,MATCH($A80,'Tournament Setup'!$A:$A,0))&lt;=MOD($Y80,18),1,0)))</f>
      </c>
      <c r="AK80" t="e">
        <f>IF(OR(OR($A80="",$D80=""),Q80=""),"",Q80-(INT($Y80/18)+IF(INDEX('Tournament Setup'!$AO:$AO,MATCH($A80,'Tournament Setup'!$A:$A,0))&lt;=MOD($Y80,18),1,0)))</f>
      </c>
      <c r="AL80" t="e">
        <f>IF(OR(OR($A80="",$D80=""),R80=""),"",R80-(INT($Y80/18)+IF(INDEX('Tournament Setup'!$AP:$AP,MATCH($A80,'Tournament Setup'!$A:$A,0))&lt;=MOD($Y80,18),1,0)))</f>
      </c>
      <c r="AM80" t="e">
        <f>IF(OR(OR($A80="",$D80=""),S80=""),"",S80-(INT($Y80/18)+IF(INDEX('Tournament Setup'!$AQ:$AQ,MATCH($A80,'Tournament Setup'!$A:$A,0))&lt;=MOD($Y80,18),1,0)))</f>
      </c>
      <c r="AN80" t="e">
        <f>IF(OR(OR($A80="",$D80=""),T80=""),"",T80-(INT($Y80/18)+IF(INDEX('Tournament Setup'!$AR:$AR,MATCH($A80,'Tournament Setup'!$A:$A,0))&lt;=MOD($Y80,18),1,0)))</f>
      </c>
      <c r="AO80" t="e">
        <f>IF(OR(OR($A80="",$D80=""),U80=""),"",U80-(INT($Y80/18)+IF(INDEX('Tournament Setup'!$AS:$AS,MATCH($A80,'Tournament Setup'!$A:$A,0))&lt;=MOD($Y80,18),1,0)))</f>
      </c>
      <c r="AP80" t="e">
        <f>IF(OR(OR($A80="",$D80=""),V80=""),"",V80-(INT($Y80/18)+IF(INDEX('Tournament Setup'!$AT:$AT,MATCH($A80,'Tournament Setup'!$A:$A,0))&lt;=MOD($Y80,18),1,0)))</f>
      </c>
      <c r="AQ80" t="e">
        <f>IF(OR(OR($A80="",$D80=""),W80=""),"",W80-(INT($Y80/18)+IF(INDEX('Tournament Setup'!$AU:$AU,MATCH($A80,'Tournament Setup'!$A:$A,0))&lt;=MOD($Y80,18),1,0)))</f>
      </c>
    </row>
    <row r="81">
      <c r="X81" t="e">
        <f>IF(OR($A81="",$D81=""),"",SUM(F81:W81))</f>
      </c>
      <c r="Y81" t="e">
        <f>IF(OR($A81="",$D81=""),"",IF(INDEX('Tournament Setup'!$F:$F,MATCH($A81,'Tournament Setup'!$A:$A,0))="Net",ROUND(($E81-_xlfn.MINIFS($E$2:$E$401,$A$2:$A$401,$A81,$B$2:$B$401,$B81))*INDEX('Tournament Setup'!$G:$G,MATCH($A81,'Tournament Setup'!$A:$A,0))/100,0),0))</f>
      </c>
      <c r="Z81" t="e">
        <f>IF(OR(OR($A81="",$D81=""),F81=""),"",F81-(INT($Y81/18)+IF(INDEX('Tournament Setup'!$AD:$AD,MATCH($A81,'Tournament Setup'!$A:$A,0))&lt;=MOD($Y81,18),1,0)))</f>
      </c>
      <c r="AA81" t="e">
        <f>IF(OR(OR($A81="",$D81=""),G81=""),"",G81-(INT($Y81/18)+IF(INDEX('Tournament Setup'!$AE:$AE,MATCH($A81,'Tournament Setup'!$A:$A,0))&lt;=MOD($Y81,18),1,0)))</f>
      </c>
      <c r="AB81" t="e">
        <f>IF(OR(OR($A81="",$D81=""),H81=""),"",H81-(INT($Y81/18)+IF(INDEX('Tournament Setup'!$AF:$AF,MATCH($A81,'Tournament Setup'!$A:$A,0))&lt;=MOD($Y81,18),1,0)))</f>
      </c>
      <c r="AC81" t="e">
        <f>IF(OR(OR($A81="",$D81=""),I81=""),"",I81-(INT($Y81/18)+IF(INDEX('Tournament Setup'!$AG:$AG,MATCH($A81,'Tournament Setup'!$A:$A,0))&lt;=MOD($Y81,18),1,0)))</f>
      </c>
      <c r="AD81" t="e">
        <f>IF(OR(OR($A81="",$D81=""),J81=""),"",J81-(INT($Y81/18)+IF(INDEX('Tournament Setup'!$AH:$AH,MATCH($A81,'Tournament Setup'!$A:$A,0))&lt;=MOD($Y81,18),1,0)))</f>
      </c>
      <c r="AE81" t="e">
        <f>IF(OR(OR($A81="",$D81=""),K81=""),"",K81-(INT($Y81/18)+IF(INDEX('Tournament Setup'!$AI:$AI,MATCH($A81,'Tournament Setup'!$A:$A,0))&lt;=MOD($Y81,18),1,0)))</f>
      </c>
      <c r="AF81" t="e">
        <f>IF(OR(OR($A81="",$D81=""),L81=""),"",L81-(INT($Y81/18)+IF(INDEX('Tournament Setup'!$AJ:$AJ,MATCH($A81,'Tournament Setup'!$A:$A,0))&lt;=MOD($Y81,18),1,0)))</f>
      </c>
      <c r="AG81" t="e">
        <f>IF(OR(OR($A81="",$D81=""),M81=""),"",M81-(INT($Y81/18)+IF(INDEX('Tournament Setup'!$AK:$AK,MATCH($A81,'Tournament Setup'!$A:$A,0))&lt;=MOD($Y81,18),1,0)))</f>
      </c>
      <c r="AH81" t="e">
        <f>IF(OR(OR($A81="",$D81=""),N81=""),"",N81-(INT($Y81/18)+IF(INDEX('Tournament Setup'!$AL:$AL,MATCH($A81,'Tournament Setup'!$A:$A,0))&lt;=MOD($Y81,18),1,0)))</f>
      </c>
      <c r="AI81" t="e">
        <f>IF(OR(OR($A81="",$D81=""),O81=""),"",O81-(INT($Y81/18)+IF(INDEX('Tournament Setup'!$AM:$AM,MATCH($A81,'Tournament Setup'!$A:$A,0))&lt;=MOD($Y81,18),1,0)))</f>
      </c>
      <c r="AJ81" t="e">
        <f>IF(OR(OR($A81="",$D81=""),P81=""),"",P81-(INT($Y81/18)+IF(INDEX('Tournament Setup'!$AN:$AN,MATCH($A81,'Tournament Setup'!$A:$A,0))&lt;=MOD($Y81,18),1,0)))</f>
      </c>
      <c r="AK81" t="e">
        <f>IF(OR(OR($A81="",$D81=""),Q81=""),"",Q81-(INT($Y81/18)+IF(INDEX('Tournament Setup'!$AO:$AO,MATCH($A81,'Tournament Setup'!$A:$A,0))&lt;=MOD($Y81,18),1,0)))</f>
      </c>
      <c r="AL81" t="e">
        <f>IF(OR(OR($A81="",$D81=""),R81=""),"",R81-(INT($Y81/18)+IF(INDEX('Tournament Setup'!$AP:$AP,MATCH($A81,'Tournament Setup'!$A:$A,0))&lt;=MOD($Y81,18),1,0)))</f>
      </c>
      <c r="AM81" t="e">
        <f>IF(OR(OR($A81="",$D81=""),S81=""),"",S81-(INT($Y81/18)+IF(INDEX('Tournament Setup'!$AQ:$AQ,MATCH($A81,'Tournament Setup'!$A:$A,0))&lt;=MOD($Y81,18),1,0)))</f>
      </c>
      <c r="AN81" t="e">
        <f>IF(OR(OR($A81="",$D81=""),T81=""),"",T81-(INT($Y81/18)+IF(INDEX('Tournament Setup'!$AR:$AR,MATCH($A81,'Tournament Setup'!$A:$A,0))&lt;=MOD($Y81,18),1,0)))</f>
      </c>
      <c r="AO81" t="e">
        <f>IF(OR(OR($A81="",$D81=""),U81=""),"",U81-(INT($Y81/18)+IF(INDEX('Tournament Setup'!$AS:$AS,MATCH($A81,'Tournament Setup'!$A:$A,0))&lt;=MOD($Y81,18),1,0)))</f>
      </c>
      <c r="AP81" t="e">
        <f>IF(OR(OR($A81="",$D81=""),V81=""),"",V81-(INT($Y81/18)+IF(INDEX('Tournament Setup'!$AT:$AT,MATCH($A81,'Tournament Setup'!$A:$A,0))&lt;=MOD($Y81,18),1,0)))</f>
      </c>
      <c r="AQ81" t="e">
        <f>IF(OR(OR($A81="",$D81=""),W81=""),"",W81-(INT($Y81/18)+IF(INDEX('Tournament Setup'!$AU:$AU,MATCH($A81,'Tournament Setup'!$A:$A,0))&lt;=MOD($Y81,18),1,0)))</f>
      </c>
    </row>
    <row r="82">
      <c r="X82" t="e">
        <f>IF(OR($A82="",$D82=""),"",SUM(F82:W82))</f>
      </c>
      <c r="Y82" t="e">
        <f>IF(OR($A82="",$D82=""),"",IF(INDEX('Tournament Setup'!$F:$F,MATCH($A82,'Tournament Setup'!$A:$A,0))="Net",ROUND(($E82-_xlfn.MINIFS($E$2:$E$401,$A$2:$A$401,$A82,$B$2:$B$401,$B82))*INDEX('Tournament Setup'!$G:$G,MATCH($A82,'Tournament Setup'!$A:$A,0))/100,0),0))</f>
      </c>
      <c r="Z82" t="e">
        <f>IF(OR(OR($A82="",$D82=""),F82=""),"",F82-(INT($Y82/18)+IF(INDEX('Tournament Setup'!$AD:$AD,MATCH($A82,'Tournament Setup'!$A:$A,0))&lt;=MOD($Y82,18),1,0)))</f>
      </c>
      <c r="AA82" t="e">
        <f>IF(OR(OR($A82="",$D82=""),G82=""),"",G82-(INT($Y82/18)+IF(INDEX('Tournament Setup'!$AE:$AE,MATCH($A82,'Tournament Setup'!$A:$A,0))&lt;=MOD($Y82,18),1,0)))</f>
      </c>
      <c r="AB82" t="e">
        <f>IF(OR(OR($A82="",$D82=""),H82=""),"",H82-(INT($Y82/18)+IF(INDEX('Tournament Setup'!$AF:$AF,MATCH($A82,'Tournament Setup'!$A:$A,0))&lt;=MOD($Y82,18),1,0)))</f>
      </c>
      <c r="AC82" t="e">
        <f>IF(OR(OR($A82="",$D82=""),I82=""),"",I82-(INT($Y82/18)+IF(INDEX('Tournament Setup'!$AG:$AG,MATCH($A82,'Tournament Setup'!$A:$A,0))&lt;=MOD($Y82,18),1,0)))</f>
      </c>
      <c r="AD82" t="e">
        <f>IF(OR(OR($A82="",$D82=""),J82=""),"",J82-(INT($Y82/18)+IF(INDEX('Tournament Setup'!$AH:$AH,MATCH($A82,'Tournament Setup'!$A:$A,0))&lt;=MOD($Y82,18),1,0)))</f>
      </c>
      <c r="AE82" t="e">
        <f>IF(OR(OR($A82="",$D82=""),K82=""),"",K82-(INT($Y82/18)+IF(INDEX('Tournament Setup'!$AI:$AI,MATCH($A82,'Tournament Setup'!$A:$A,0))&lt;=MOD($Y82,18),1,0)))</f>
      </c>
      <c r="AF82" t="e">
        <f>IF(OR(OR($A82="",$D82=""),L82=""),"",L82-(INT($Y82/18)+IF(INDEX('Tournament Setup'!$AJ:$AJ,MATCH($A82,'Tournament Setup'!$A:$A,0))&lt;=MOD($Y82,18),1,0)))</f>
      </c>
      <c r="AG82" t="e">
        <f>IF(OR(OR($A82="",$D82=""),M82=""),"",M82-(INT($Y82/18)+IF(INDEX('Tournament Setup'!$AK:$AK,MATCH($A82,'Tournament Setup'!$A:$A,0))&lt;=MOD($Y82,18),1,0)))</f>
      </c>
      <c r="AH82" t="e">
        <f>IF(OR(OR($A82="",$D82=""),N82=""),"",N82-(INT($Y82/18)+IF(INDEX('Tournament Setup'!$AL:$AL,MATCH($A82,'Tournament Setup'!$A:$A,0))&lt;=MOD($Y82,18),1,0)))</f>
      </c>
      <c r="AI82" t="e">
        <f>IF(OR(OR($A82="",$D82=""),O82=""),"",O82-(INT($Y82/18)+IF(INDEX('Tournament Setup'!$AM:$AM,MATCH($A82,'Tournament Setup'!$A:$A,0))&lt;=MOD($Y82,18),1,0)))</f>
      </c>
      <c r="AJ82" t="e">
        <f>IF(OR(OR($A82="",$D82=""),P82=""),"",P82-(INT($Y82/18)+IF(INDEX('Tournament Setup'!$AN:$AN,MATCH($A82,'Tournament Setup'!$A:$A,0))&lt;=MOD($Y82,18),1,0)))</f>
      </c>
      <c r="AK82" t="e">
        <f>IF(OR(OR($A82="",$D82=""),Q82=""),"",Q82-(INT($Y82/18)+IF(INDEX('Tournament Setup'!$AO:$AO,MATCH($A82,'Tournament Setup'!$A:$A,0))&lt;=MOD($Y82,18),1,0)))</f>
      </c>
      <c r="AL82" t="e">
        <f>IF(OR(OR($A82="",$D82=""),R82=""),"",R82-(INT($Y82/18)+IF(INDEX('Tournament Setup'!$AP:$AP,MATCH($A82,'Tournament Setup'!$A:$A,0))&lt;=MOD($Y82,18),1,0)))</f>
      </c>
      <c r="AM82" t="e">
        <f>IF(OR(OR($A82="",$D82=""),S82=""),"",S82-(INT($Y82/18)+IF(INDEX('Tournament Setup'!$AQ:$AQ,MATCH($A82,'Tournament Setup'!$A:$A,0))&lt;=MOD($Y82,18),1,0)))</f>
      </c>
      <c r="AN82" t="e">
        <f>IF(OR(OR($A82="",$D82=""),T82=""),"",T82-(INT($Y82/18)+IF(INDEX('Tournament Setup'!$AR:$AR,MATCH($A82,'Tournament Setup'!$A:$A,0))&lt;=MOD($Y82,18),1,0)))</f>
      </c>
      <c r="AO82" t="e">
        <f>IF(OR(OR($A82="",$D82=""),U82=""),"",U82-(INT($Y82/18)+IF(INDEX('Tournament Setup'!$AS:$AS,MATCH($A82,'Tournament Setup'!$A:$A,0))&lt;=MOD($Y82,18),1,0)))</f>
      </c>
      <c r="AP82" t="e">
        <f>IF(OR(OR($A82="",$D82=""),V82=""),"",V82-(INT($Y82/18)+IF(INDEX('Tournament Setup'!$AT:$AT,MATCH($A82,'Tournament Setup'!$A:$A,0))&lt;=MOD($Y82,18),1,0)))</f>
      </c>
      <c r="AQ82" t="e">
        <f>IF(OR(OR($A82="",$D82=""),W82=""),"",W82-(INT($Y82/18)+IF(INDEX('Tournament Setup'!$AU:$AU,MATCH($A82,'Tournament Setup'!$A:$A,0))&lt;=MOD($Y82,18),1,0)))</f>
      </c>
    </row>
    <row r="83">
      <c r="X83" t="e">
        <f>IF(OR($A83="",$D83=""),"",SUM(F83:W83))</f>
      </c>
      <c r="Y83" t="e">
        <f>IF(OR($A83="",$D83=""),"",IF(INDEX('Tournament Setup'!$F:$F,MATCH($A83,'Tournament Setup'!$A:$A,0))="Net",ROUND(($E83-_xlfn.MINIFS($E$2:$E$401,$A$2:$A$401,$A83,$B$2:$B$401,$B83))*INDEX('Tournament Setup'!$G:$G,MATCH($A83,'Tournament Setup'!$A:$A,0))/100,0),0))</f>
      </c>
      <c r="Z83" t="e">
        <f>IF(OR(OR($A83="",$D83=""),F83=""),"",F83-(INT($Y83/18)+IF(INDEX('Tournament Setup'!$AD:$AD,MATCH($A83,'Tournament Setup'!$A:$A,0))&lt;=MOD($Y83,18),1,0)))</f>
      </c>
      <c r="AA83" t="e">
        <f>IF(OR(OR($A83="",$D83=""),G83=""),"",G83-(INT($Y83/18)+IF(INDEX('Tournament Setup'!$AE:$AE,MATCH($A83,'Tournament Setup'!$A:$A,0))&lt;=MOD($Y83,18),1,0)))</f>
      </c>
      <c r="AB83" t="e">
        <f>IF(OR(OR($A83="",$D83=""),H83=""),"",H83-(INT($Y83/18)+IF(INDEX('Tournament Setup'!$AF:$AF,MATCH($A83,'Tournament Setup'!$A:$A,0))&lt;=MOD($Y83,18),1,0)))</f>
      </c>
      <c r="AC83" t="e">
        <f>IF(OR(OR($A83="",$D83=""),I83=""),"",I83-(INT($Y83/18)+IF(INDEX('Tournament Setup'!$AG:$AG,MATCH($A83,'Tournament Setup'!$A:$A,0))&lt;=MOD($Y83,18),1,0)))</f>
      </c>
      <c r="AD83" t="e">
        <f>IF(OR(OR($A83="",$D83=""),J83=""),"",J83-(INT($Y83/18)+IF(INDEX('Tournament Setup'!$AH:$AH,MATCH($A83,'Tournament Setup'!$A:$A,0))&lt;=MOD($Y83,18),1,0)))</f>
      </c>
      <c r="AE83" t="e">
        <f>IF(OR(OR($A83="",$D83=""),K83=""),"",K83-(INT($Y83/18)+IF(INDEX('Tournament Setup'!$AI:$AI,MATCH($A83,'Tournament Setup'!$A:$A,0))&lt;=MOD($Y83,18),1,0)))</f>
      </c>
      <c r="AF83" t="e">
        <f>IF(OR(OR($A83="",$D83=""),L83=""),"",L83-(INT($Y83/18)+IF(INDEX('Tournament Setup'!$AJ:$AJ,MATCH($A83,'Tournament Setup'!$A:$A,0))&lt;=MOD($Y83,18),1,0)))</f>
      </c>
      <c r="AG83" t="e">
        <f>IF(OR(OR($A83="",$D83=""),M83=""),"",M83-(INT($Y83/18)+IF(INDEX('Tournament Setup'!$AK:$AK,MATCH($A83,'Tournament Setup'!$A:$A,0))&lt;=MOD($Y83,18),1,0)))</f>
      </c>
      <c r="AH83" t="e">
        <f>IF(OR(OR($A83="",$D83=""),N83=""),"",N83-(INT($Y83/18)+IF(INDEX('Tournament Setup'!$AL:$AL,MATCH($A83,'Tournament Setup'!$A:$A,0))&lt;=MOD($Y83,18),1,0)))</f>
      </c>
      <c r="AI83" t="e">
        <f>IF(OR(OR($A83="",$D83=""),O83=""),"",O83-(INT($Y83/18)+IF(INDEX('Tournament Setup'!$AM:$AM,MATCH($A83,'Tournament Setup'!$A:$A,0))&lt;=MOD($Y83,18),1,0)))</f>
      </c>
      <c r="AJ83" t="e">
        <f>IF(OR(OR($A83="",$D83=""),P83=""),"",P83-(INT($Y83/18)+IF(INDEX('Tournament Setup'!$AN:$AN,MATCH($A83,'Tournament Setup'!$A:$A,0))&lt;=MOD($Y83,18),1,0)))</f>
      </c>
      <c r="AK83" t="e">
        <f>IF(OR(OR($A83="",$D83=""),Q83=""),"",Q83-(INT($Y83/18)+IF(INDEX('Tournament Setup'!$AO:$AO,MATCH($A83,'Tournament Setup'!$A:$A,0))&lt;=MOD($Y83,18),1,0)))</f>
      </c>
      <c r="AL83" t="e">
        <f>IF(OR(OR($A83="",$D83=""),R83=""),"",R83-(INT($Y83/18)+IF(INDEX('Tournament Setup'!$AP:$AP,MATCH($A83,'Tournament Setup'!$A:$A,0))&lt;=MOD($Y83,18),1,0)))</f>
      </c>
      <c r="AM83" t="e">
        <f>IF(OR(OR($A83="",$D83=""),S83=""),"",S83-(INT($Y83/18)+IF(INDEX('Tournament Setup'!$AQ:$AQ,MATCH($A83,'Tournament Setup'!$A:$A,0))&lt;=MOD($Y83,18),1,0)))</f>
      </c>
      <c r="AN83" t="e">
        <f>IF(OR(OR($A83="",$D83=""),T83=""),"",T83-(INT($Y83/18)+IF(INDEX('Tournament Setup'!$AR:$AR,MATCH($A83,'Tournament Setup'!$A:$A,0))&lt;=MOD($Y83,18),1,0)))</f>
      </c>
      <c r="AO83" t="e">
        <f>IF(OR(OR($A83="",$D83=""),U83=""),"",U83-(INT($Y83/18)+IF(INDEX('Tournament Setup'!$AS:$AS,MATCH($A83,'Tournament Setup'!$A:$A,0))&lt;=MOD($Y83,18),1,0)))</f>
      </c>
      <c r="AP83" t="e">
        <f>IF(OR(OR($A83="",$D83=""),V83=""),"",V83-(INT($Y83/18)+IF(INDEX('Tournament Setup'!$AT:$AT,MATCH($A83,'Tournament Setup'!$A:$A,0))&lt;=MOD($Y83,18),1,0)))</f>
      </c>
      <c r="AQ83" t="e">
        <f>IF(OR(OR($A83="",$D83=""),W83=""),"",W83-(INT($Y83/18)+IF(INDEX('Tournament Setup'!$AU:$AU,MATCH($A83,'Tournament Setup'!$A:$A,0))&lt;=MOD($Y83,18),1,0)))</f>
      </c>
    </row>
    <row r="84">
      <c r="X84" t="e">
        <f>IF(OR($A84="",$D84=""),"",SUM(F84:W84))</f>
      </c>
      <c r="Y84" t="e">
        <f>IF(OR($A84="",$D84=""),"",IF(INDEX('Tournament Setup'!$F:$F,MATCH($A84,'Tournament Setup'!$A:$A,0))="Net",ROUND(($E84-_xlfn.MINIFS($E$2:$E$401,$A$2:$A$401,$A84,$B$2:$B$401,$B84))*INDEX('Tournament Setup'!$G:$G,MATCH($A84,'Tournament Setup'!$A:$A,0))/100,0),0))</f>
      </c>
      <c r="Z84" t="e">
        <f>IF(OR(OR($A84="",$D84=""),F84=""),"",F84-(INT($Y84/18)+IF(INDEX('Tournament Setup'!$AD:$AD,MATCH($A84,'Tournament Setup'!$A:$A,0))&lt;=MOD($Y84,18),1,0)))</f>
      </c>
      <c r="AA84" t="e">
        <f>IF(OR(OR($A84="",$D84=""),G84=""),"",G84-(INT($Y84/18)+IF(INDEX('Tournament Setup'!$AE:$AE,MATCH($A84,'Tournament Setup'!$A:$A,0))&lt;=MOD($Y84,18),1,0)))</f>
      </c>
      <c r="AB84" t="e">
        <f>IF(OR(OR($A84="",$D84=""),H84=""),"",H84-(INT($Y84/18)+IF(INDEX('Tournament Setup'!$AF:$AF,MATCH($A84,'Tournament Setup'!$A:$A,0))&lt;=MOD($Y84,18),1,0)))</f>
      </c>
      <c r="AC84" t="e">
        <f>IF(OR(OR($A84="",$D84=""),I84=""),"",I84-(INT($Y84/18)+IF(INDEX('Tournament Setup'!$AG:$AG,MATCH($A84,'Tournament Setup'!$A:$A,0))&lt;=MOD($Y84,18),1,0)))</f>
      </c>
      <c r="AD84" t="e">
        <f>IF(OR(OR($A84="",$D84=""),J84=""),"",J84-(INT($Y84/18)+IF(INDEX('Tournament Setup'!$AH:$AH,MATCH($A84,'Tournament Setup'!$A:$A,0))&lt;=MOD($Y84,18),1,0)))</f>
      </c>
      <c r="AE84" t="e">
        <f>IF(OR(OR($A84="",$D84=""),K84=""),"",K84-(INT($Y84/18)+IF(INDEX('Tournament Setup'!$AI:$AI,MATCH($A84,'Tournament Setup'!$A:$A,0))&lt;=MOD($Y84,18),1,0)))</f>
      </c>
      <c r="AF84" t="e">
        <f>IF(OR(OR($A84="",$D84=""),L84=""),"",L84-(INT($Y84/18)+IF(INDEX('Tournament Setup'!$AJ:$AJ,MATCH($A84,'Tournament Setup'!$A:$A,0))&lt;=MOD($Y84,18),1,0)))</f>
      </c>
      <c r="AG84" t="e">
        <f>IF(OR(OR($A84="",$D84=""),M84=""),"",M84-(INT($Y84/18)+IF(INDEX('Tournament Setup'!$AK:$AK,MATCH($A84,'Tournament Setup'!$A:$A,0))&lt;=MOD($Y84,18),1,0)))</f>
      </c>
      <c r="AH84" t="e">
        <f>IF(OR(OR($A84="",$D84=""),N84=""),"",N84-(INT($Y84/18)+IF(INDEX('Tournament Setup'!$AL:$AL,MATCH($A84,'Tournament Setup'!$A:$A,0))&lt;=MOD($Y84,18),1,0)))</f>
      </c>
      <c r="AI84" t="e">
        <f>IF(OR(OR($A84="",$D84=""),O84=""),"",O84-(INT($Y84/18)+IF(INDEX('Tournament Setup'!$AM:$AM,MATCH($A84,'Tournament Setup'!$A:$A,0))&lt;=MOD($Y84,18),1,0)))</f>
      </c>
      <c r="AJ84" t="e">
        <f>IF(OR(OR($A84="",$D84=""),P84=""),"",P84-(INT($Y84/18)+IF(INDEX('Tournament Setup'!$AN:$AN,MATCH($A84,'Tournament Setup'!$A:$A,0))&lt;=MOD($Y84,18),1,0)))</f>
      </c>
      <c r="AK84" t="e">
        <f>IF(OR(OR($A84="",$D84=""),Q84=""),"",Q84-(INT($Y84/18)+IF(INDEX('Tournament Setup'!$AO:$AO,MATCH($A84,'Tournament Setup'!$A:$A,0))&lt;=MOD($Y84,18),1,0)))</f>
      </c>
      <c r="AL84" t="e">
        <f>IF(OR(OR($A84="",$D84=""),R84=""),"",R84-(INT($Y84/18)+IF(INDEX('Tournament Setup'!$AP:$AP,MATCH($A84,'Tournament Setup'!$A:$A,0))&lt;=MOD($Y84,18),1,0)))</f>
      </c>
      <c r="AM84" t="e">
        <f>IF(OR(OR($A84="",$D84=""),S84=""),"",S84-(INT($Y84/18)+IF(INDEX('Tournament Setup'!$AQ:$AQ,MATCH($A84,'Tournament Setup'!$A:$A,0))&lt;=MOD($Y84,18),1,0)))</f>
      </c>
      <c r="AN84" t="e">
        <f>IF(OR(OR($A84="",$D84=""),T84=""),"",T84-(INT($Y84/18)+IF(INDEX('Tournament Setup'!$AR:$AR,MATCH($A84,'Tournament Setup'!$A:$A,0))&lt;=MOD($Y84,18),1,0)))</f>
      </c>
      <c r="AO84" t="e">
        <f>IF(OR(OR($A84="",$D84=""),U84=""),"",U84-(INT($Y84/18)+IF(INDEX('Tournament Setup'!$AS:$AS,MATCH($A84,'Tournament Setup'!$A:$A,0))&lt;=MOD($Y84,18),1,0)))</f>
      </c>
      <c r="AP84" t="e">
        <f>IF(OR(OR($A84="",$D84=""),V84=""),"",V84-(INT($Y84/18)+IF(INDEX('Tournament Setup'!$AT:$AT,MATCH($A84,'Tournament Setup'!$A:$A,0))&lt;=MOD($Y84,18),1,0)))</f>
      </c>
      <c r="AQ84" t="e">
        <f>IF(OR(OR($A84="",$D84=""),W84=""),"",W84-(INT($Y84/18)+IF(INDEX('Tournament Setup'!$AU:$AU,MATCH($A84,'Tournament Setup'!$A:$A,0))&lt;=MOD($Y84,18),1,0)))</f>
      </c>
    </row>
    <row r="85">
      <c r="X85" t="e">
        <f>IF(OR($A85="",$D85=""),"",SUM(F85:W85))</f>
      </c>
      <c r="Y85" t="e">
        <f>IF(OR($A85="",$D85=""),"",IF(INDEX('Tournament Setup'!$F:$F,MATCH($A85,'Tournament Setup'!$A:$A,0))="Net",ROUND(($E85-_xlfn.MINIFS($E$2:$E$401,$A$2:$A$401,$A85,$B$2:$B$401,$B85))*INDEX('Tournament Setup'!$G:$G,MATCH($A85,'Tournament Setup'!$A:$A,0))/100,0),0))</f>
      </c>
      <c r="Z85" t="e">
        <f>IF(OR(OR($A85="",$D85=""),F85=""),"",F85-(INT($Y85/18)+IF(INDEX('Tournament Setup'!$AD:$AD,MATCH($A85,'Tournament Setup'!$A:$A,0))&lt;=MOD($Y85,18),1,0)))</f>
      </c>
      <c r="AA85" t="e">
        <f>IF(OR(OR($A85="",$D85=""),G85=""),"",G85-(INT($Y85/18)+IF(INDEX('Tournament Setup'!$AE:$AE,MATCH($A85,'Tournament Setup'!$A:$A,0))&lt;=MOD($Y85,18),1,0)))</f>
      </c>
      <c r="AB85" t="e">
        <f>IF(OR(OR($A85="",$D85=""),H85=""),"",H85-(INT($Y85/18)+IF(INDEX('Tournament Setup'!$AF:$AF,MATCH($A85,'Tournament Setup'!$A:$A,0))&lt;=MOD($Y85,18),1,0)))</f>
      </c>
      <c r="AC85" t="e">
        <f>IF(OR(OR($A85="",$D85=""),I85=""),"",I85-(INT($Y85/18)+IF(INDEX('Tournament Setup'!$AG:$AG,MATCH($A85,'Tournament Setup'!$A:$A,0))&lt;=MOD($Y85,18),1,0)))</f>
      </c>
      <c r="AD85" t="e">
        <f>IF(OR(OR($A85="",$D85=""),J85=""),"",J85-(INT($Y85/18)+IF(INDEX('Tournament Setup'!$AH:$AH,MATCH($A85,'Tournament Setup'!$A:$A,0))&lt;=MOD($Y85,18),1,0)))</f>
      </c>
      <c r="AE85" t="e">
        <f>IF(OR(OR($A85="",$D85=""),K85=""),"",K85-(INT($Y85/18)+IF(INDEX('Tournament Setup'!$AI:$AI,MATCH($A85,'Tournament Setup'!$A:$A,0))&lt;=MOD($Y85,18),1,0)))</f>
      </c>
      <c r="AF85" t="e">
        <f>IF(OR(OR($A85="",$D85=""),L85=""),"",L85-(INT($Y85/18)+IF(INDEX('Tournament Setup'!$AJ:$AJ,MATCH($A85,'Tournament Setup'!$A:$A,0))&lt;=MOD($Y85,18),1,0)))</f>
      </c>
      <c r="AG85" t="e">
        <f>IF(OR(OR($A85="",$D85=""),M85=""),"",M85-(INT($Y85/18)+IF(INDEX('Tournament Setup'!$AK:$AK,MATCH($A85,'Tournament Setup'!$A:$A,0))&lt;=MOD($Y85,18),1,0)))</f>
      </c>
      <c r="AH85" t="e">
        <f>IF(OR(OR($A85="",$D85=""),N85=""),"",N85-(INT($Y85/18)+IF(INDEX('Tournament Setup'!$AL:$AL,MATCH($A85,'Tournament Setup'!$A:$A,0))&lt;=MOD($Y85,18),1,0)))</f>
      </c>
      <c r="AI85" t="e">
        <f>IF(OR(OR($A85="",$D85=""),O85=""),"",O85-(INT($Y85/18)+IF(INDEX('Tournament Setup'!$AM:$AM,MATCH($A85,'Tournament Setup'!$A:$A,0))&lt;=MOD($Y85,18),1,0)))</f>
      </c>
      <c r="AJ85" t="e">
        <f>IF(OR(OR($A85="",$D85=""),P85=""),"",P85-(INT($Y85/18)+IF(INDEX('Tournament Setup'!$AN:$AN,MATCH($A85,'Tournament Setup'!$A:$A,0))&lt;=MOD($Y85,18),1,0)))</f>
      </c>
      <c r="AK85" t="e">
        <f>IF(OR(OR($A85="",$D85=""),Q85=""),"",Q85-(INT($Y85/18)+IF(INDEX('Tournament Setup'!$AO:$AO,MATCH($A85,'Tournament Setup'!$A:$A,0))&lt;=MOD($Y85,18),1,0)))</f>
      </c>
      <c r="AL85" t="e">
        <f>IF(OR(OR($A85="",$D85=""),R85=""),"",R85-(INT($Y85/18)+IF(INDEX('Tournament Setup'!$AP:$AP,MATCH($A85,'Tournament Setup'!$A:$A,0))&lt;=MOD($Y85,18),1,0)))</f>
      </c>
      <c r="AM85" t="e">
        <f>IF(OR(OR($A85="",$D85=""),S85=""),"",S85-(INT($Y85/18)+IF(INDEX('Tournament Setup'!$AQ:$AQ,MATCH($A85,'Tournament Setup'!$A:$A,0))&lt;=MOD($Y85,18),1,0)))</f>
      </c>
      <c r="AN85" t="e">
        <f>IF(OR(OR($A85="",$D85=""),T85=""),"",T85-(INT($Y85/18)+IF(INDEX('Tournament Setup'!$AR:$AR,MATCH($A85,'Tournament Setup'!$A:$A,0))&lt;=MOD($Y85,18),1,0)))</f>
      </c>
      <c r="AO85" t="e">
        <f>IF(OR(OR($A85="",$D85=""),U85=""),"",U85-(INT($Y85/18)+IF(INDEX('Tournament Setup'!$AS:$AS,MATCH($A85,'Tournament Setup'!$A:$A,0))&lt;=MOD($Y85,18),1,0)))</f>
      </c>
      <c r="AP85" t="e">
        <f>IF(OR(OR($A85="",$D85=""),V85=""),"",V85-(INT($Y85/18)+IF(INDEX('Tournament Setup'!$AT:$AT,MATCH($A85,'Tournament Setup'!$A:$A,0))&lt;=MOD($Y85,18),1,0)))</f>
      </c>
      <c r="AQ85" t="e">
        <f>IF(OR(OR($A85="",$D85=""),W85=""),"",W85-(INT($Y85/18)+IF(INDEX('Tournament Setup'!$AU:$AU,MATCH($A85,'Tournament Setup'!$A:$A,0))&lt;=MOD($Y85,18),1,0)))</f>
      </c>
    </row>
    <row r="86">
      <c r="X86" t="e">
        <f>IF(OR($A86="",$D86=""),"",SUM(F86:W86))</f>
      </c>
      <c r="Y86" t="e">
        <f>IF(OR($A86="",$D86=""),"",IF(INDEX('Tournament Setup'!$F:$F,MATCH($A86,'Tournament Setup'!$A:$A,0))="Net",ROUND(($E86-_xlfn.MINIFS($E$2:$E$401,$A$2:$A$401,$A86,$B$2:$B$401,$B86))*INDEX('Tournament Setup'!$G:$G,MATCH($A86,'Tournament Setup'!$A:$A,0))/100,0),0))</f>
      </c>
      <c r="Z86" t="e">
        <f>IF(OR(OR($A86="",$D86=""),F86=""),"",F86-(INT($Y86/18)+IF(INDEX('Tournament Setup'!$AD:$AD,MATCH($A86,'Tournament Setup'!$A:$A,0))&lt;=MOD($Y86,18),1,0)))</f>
      </c>
      <c r="AA86" t="e">
        <f>IF(OR(OR($A86="",$D86=""),G86=""),"",G86-(INT($Y86/18)+IF(INDEX('Tournament Setup'!$AE:$AE,MATCH($A86,'Tournament Setup'!$A:$A,0))&lt;=MOD($Y86,18),1,0)))</f>
      </c>
      <c r="AB86" t="e">
        <f>IF(OR(OR($A86="",$D86=""),H86=""),"",H86-(INT($Y86/18)+IF(INDEX('Tournament Setup'!$AF:$AF,MATCH($A86,'Tournament Setup'!$A:$A,0))&lt;=MOD($Y86,18),1,0)))</f>
      </c>
      <c r="AC86" t="e">
        <f>IF(OR(OR($A86="",$D86=""),I86=""),"",I86-(INT($Y86/18)+IF(INDEX('Tournament Setup'!$AG:$AG,MATCH($A86,'Tournament Setup'!$A:$A,0))&lt;=MOD($Y86,18),1,0)))</f>
      </c>
      <c r="AD86" t="e">
        <f>IF(OR(OR($A86="",$D86=""),J86=""),"",J86-(INT($Y86/18)+IF(INDEX('Tournament Setup'!$AH:$AH,MATCH($A86,'Tournament Setup'!$A:$A,0))&lt;=MOD($Y86,18),1,0)))</f>
      </c>
      <c r="AE86" t="e">
        <f>IF(OR(OR($A86="",$D86=""),K86=""),"",K86-(INT($Y86/18)+IF(INDEX('Tournament Setup'!$AI:$AI,MATCH($A86,'Tournament Setup'!$A:$A,0))&lt;=MOD($Y86,18),1,0)))</f>
      </c>
      <c r="AF86" t="e">
        <f>IF(OR(OR($A86="",$D86=""),L86=""),"",L86-(INT($Y86/18)+IF(INDEX('Tournament Setup'!$AJ:$AJ,MATCH($A86,'Tournament Setup'!$A:$A,0))&lt;=MOD($Y86,18),1,0)))</f>
      </c>
      <c r="AG86" t="e">
        <f>IF(OR(OR($A86="",$D86=""),M86=""),"",M86-(INT($Y86/18)+IF(INDEX('Tournament Setup'!$AK:$AK,MATCH($A86,'Tournament Setup'!$A:$A,0))&lt;=MOD($Y86,18),1,0)))</f>
      </c>
      <c r="AH86" t="e">
        <f>IF(OR(OR($A86="",$D86=""),N86=""),"",N86-(INT($Y86/18)+IF(INDEX('Tournament Setup'!$AL:$AL,MATCH($A86,'Tournament Setup'!$A:$A,0))&lt;=MOD($Y86,18),1,0)))</f>
      </c>
      <c r="AI86" t="e">
        <f>IF(OR(OR($A86="",$D86=""),O86=""),"",O86-(INT($Y86/18)+IF(INDEX('Tournament Setup'!$AM:$AM,MATCH($A86,'Tournament Setup'!$A:$A,0))&lt;=MOD($Y86,18),1,0)))</f>
      </c>
      <c r="AJ86" t="e">
        <f>IF(OR(OR($A86="",$D86=""),P86=""),"",P86-(INT($Y86/18)+IF(INDEX('Tournament Setup'!$AN:$AN,MATCH($A86,'Tournament Setup'!$A:$A,0))&lt;=MOD($Y86,18),1,0)))</f>
      </c>
      <c r="AK86" t="e">
        <f>IF(OR(OR($A86="",$D86=""),Q86=""),"",Q86-(INT($Y86/18)+IF(INDEX('Tournament Setup'!$AO:$AO,MATCH($A86,'Tournament Setup'!$A:$A,0))&lt;=MOD($Y86,18),1,0)))</f>
      </c>
      <c r="AL86" t="e">
        <f>IF(OR(OR($A86="",$D86=""),R86=""),"",R86-(INT($Y86/18)+IF(INDEX('Tournament Setup'!$AP:$AP,MATCH($A86,'Tournament Setup'!$A:$A,0))&lt;=MOD($Y86,18),1,0)))</f>
      </c>
      <c r="AM86" t="e">
        <f>IF(OR(OR($A86="",$D86=""),S86=""),"",S86-(INT($Y86/18)+IF(INDEX('Tournament Setup'!$AQ:$AQ,MATCH($A86,'Tournament Setup'!$A:$A,0))&lt;=MOD($Y86,18),1,0)))</f>
      </c>
      <c r="AN86" t="e">
        <f>IF(OR(OR($A86="",$D86=""),T86=""),"",T86-(INT($Y86/18)+IF(INDEX('Tournament Setup'!$AR:$AR,MATCH($A86,'Tournament Setup'!$A:$A,0))&lt;=MOD($Y86,18),1,0)))</f>
      </c>
      <c r="AO86" t="e">
        <f>IF(OR(OR($A86="",$D86=""),U86=""),"",U86-(INT($Y86/18)+IF(INDEX('Tournament Setup'!$AS:$AS,MATCH($A86,'Tournament Setup'!$A:$A,0))&lt;=MOD($Y86,18),1,0)))</f>
      </c>
      <c r="AP86" t="e">
        <f>IF(OR(OR($A86="",$D86=""),V86=""),"",V86-(INT($Y86/18)+IF(INDEX('Tournament Setup'!$AT:$AT,MATCH($A86,'Tournament Setup'!$A:$A,0))&lt;=MOD($Y86,18),1,0)))</f>
      </c>
      <c r="AQ86" t="e">
        <f>IF(OR(OR($A86="",$D86=""),W86=""),"",W86-(INT($Y86/18)+IF(INDEX('Tournament Setup'!$AU:$AU,MATCH($A86,'Tournament Setup'!$A:$A,0))&lt;=MOD($Y86,18),1,0)))</f>
      </c>
    </row>
    <row r="87">
      <c r="X87" t="e">
        <f>IF(OR($A87="",$D87=""),"",SUM(F87:W87))</f>
      </c>
      <c r="Y87" t="e">
        <f>IF(OR($A87="",$D87=""),"",IF(INDEX('Tournament Setup'!$F:$F,MATCH($A87,'Tournament Setup'!$A:$A,0))="Net",ROUND(($E87-_xlfn.MINIFS($E$2:$E$401,$A$2:$A$401,$A87,$B$2:$B$401,$B87))*INDEX('Tournament Setup'!$G:$G,MATCH($A87,'Tournament Setup'!$A:$A,0))/100,0),0))</f>
      </c>
      <c r="Z87" t="e">
        <f>IF(OR(OR($A87="",$D87=""),F87=""),"",F87-(INT($Y87/18)+IF(INDEX('Tournament Setup'!$AD:$AD,MATCH($A87,'Tournament Setup'!$A:$A,0))&lt;=MOD($Y87,18),1,0)))</f>
      </c>
      <c r="AA87" t="e">
        <f>IF(OR(OR($A87="",$D87=""),G87=""),"",G87-(INT($Y87/18)+IF(INDEX('Tournament Setup'!$AE:$AE,MATCH($A87,'Tournament Setup'!$A:$A,0))&lt;=MOD($Y87,18),1,0)))</f>
      </c>
      <c r="AB87" t="e">
        <f>IF(OR(OR($A87="",$D87=""),H87=""),"",H87-(INT($Y87/18)+IF(INDEX('Tournament Setup'!$AF:$AF,MATCH($A87,'Tournament Setup'!$A:$A,0))&lt;=MOD($Y87,18),1,0)))</f>
      </c>
      <c r="AC87" t="e">
        <f>IF(OR(OR($A87="",$D87=""),I87=""),"",I87-(INT($Y87/18)+IF(INDEX('Tournament Setup'!$AG:$AG,MATCH($A87,'Tournament Setup'!$A:$A,0))&lt;=MOD($Y87,18),1,0)))</f>
      </c>
      <c r="AD87" t="e">
        <f>IF(OR(OR($A87="",$D87=""),J87=""),"",J87-(INT($Y87/18)+IF(INDEX('Tournament Setup'!$AH:$AH,MATCH($A87,'Tournament Setup'!$A:$A,0))&lt;=MOD($Y87,18),1,0)))</f>
      </c>
      <c r="AE87" t="e">
        <f>IF(OR(OR($A87="",$D87=""),K87=""),"",K87-(INT($Y87/18)+IF(INDEX('Tournament Setup'!$AI:$AI,MATCH($A87,'Tournament Setup'!$A:$A,0))&lt;=MOD($Y87,18),1,0)))</f>
      </c>
      <c r="AF87" t="e">
        <f>IF(OR(OR($A87="",$D87=""),L87=""),"",L87-(INT($Y87/18)+IF(INDEX('Tournament Setup'!$AJ:$AJ,MATCH($A87,'Tournament Setup'!$A:$A,0))&lt;=MOD($Y87,18),1,0)))</f>
      </c>
      <c r="AG87" t="e">
        <f>IF(OR(OR($A87="",$D87=""),M87=""),"",M87-(INT($Y87/18)+IF(INDEX('Tournament Setup'!$AK:$AK,MATCH($A87,'Tournament Setup'!$A:$A,0))&lt;=MOD($Y87,18),1,0)))</f>
      </c>
      <c r="AH87" t="e">
        <f>IF(OR(OR($A87="",$D87=""),N87=""),"",N87-(INT($Y87/18)+IF(INDEX('Tournament Setup'!$AL:$AL,MATCH($A87,'Tournament Setup'!$A:$A,0))&lt;=MOD($Y87,18),1,0)))</f>
      </c>
      <c r="AI87" t="e">
        <f>IF(OR(OR($A87="",$D87=""),O87=""),"",O87-(INT($Y87/18)+IF(INDEX('Tournament Setup'!$AM:$AM,MATCH($A87,'Tournament Setup'!$A:$A,0))&lt;=MOD($Y87,18),1,0)))</f>
      </c>
      <c r="AJ87" t="e">
        <f>IF(OR(OR($A87="",$D87=""),P87=""),"",P87-(INT($Y87/18)+IF(INDEX('Tournament Setup'!$AN:$AN,MATCH($A87,'Tournament Setup'!$A:$A,0))&lt;=MOD($Y87,18),1,0)))</f>
      </c>
      <c r="AK87" t="e">
        <f>IF(OR(OR($A87="",$D87=""),Q87=""),"",Q87-(INT($Y87/18)+IF(INDEX('Tournament Setup'!$AO:$AO,MATCH($A87,'Tournament Setup'!$A:$A,0))&lt;=MOD($Y87,18),1,0)))</f>
      </c>
      <c r="AL87" t="e">
        <f>IF(OR(OR($A87="",$D87=""),R87=""),"",R87-(INT($Y87/18)+IF(INDEX('Tournament Setup'!$AP:$AP,MATCH($A87,'Tournament Setup'!$A:$A,0))&lt;=MOD($Y87,18),1,0)))</f>
      </c>
      <c r="AM87" t="e">
        <f>IF(OR(OR($A87="",$D87=""),S87=""),"",S87-(INT($Y87/18)+IF(INDEX('Tournament Setup'!$AQ:$AQ,MATCH($A87,'Tournament Setup'!$A:$A,0))&lt;=MOD($Y87,18),1,0)))</f>
      </c>
      <c r="AN87" t="e">
        <f>IF(OR(OR($A87="",$D87=""),T87=""),"",T87-(INT($Y87/18)+IF(INDEX('Tournament Setup'!$AR:$AR,MATCH($A87,'Tournament Setup'!$A:$A,0))&lt;=MOD($Y87,18),1,0)))</f>
      </c>
      <c r="AO87" t="e">
        <f>IF(OR(OR($A87="",$D87=""),U87=""),"",U87-(INT($Y87/18)+IF(INDEX('Tournament Setup'!$AS:$AS,MATCH($A87,'Tournament Setup'!$A:$A,0))&lt;=MOD($Y87,18),1,0)))</f>
      </c>
      <c r="AP87" t="e">
        <f>IF(OR(OR($A87="",$D87=""),V87=""),"",V87-(INT($Y87/18)+IF(INDEX('Tournament Setup'!$AT:$AT,MATCH($A87,'Tournament Setup'!$A:$A,0))&lt;=MOD($Y87,18),1,0)))</f>
      </c>
      <c r="AQ87" t="e">
        <f>IF(OR(OR($A87="",$D87=""),W87=""),"",W87-(INT($Y87/18)+IF(INDEX('Tournament Setup'!$AU:$AU,MATCH($A87,'Tournament Setup'!$A:$A,0))&lt;=MOD($Y87,18),1,0)))</f>
      </c>
    </row>
    <row r="88">
      <c r="X88" t="e">
        <f>IF(OR($A88="",$D88=""),"",SUM(F88:W88))</f>
      </c>
      <c r="Y88" t="e">
        <f>IF(OR($A88="",$D88=""),"",IF(INDEX('Tournament Setup'!$F:$F,MATCH($A88,'Tournament Setup'!$A:$A,0))="Net",ROUND(($E88-_xlfn.MINIFS($E$2:$E$401,$A$2:$A$401,$A88,$B$2:$B$401,$B88))*INDEX('Tournament Setup'!$G:$G,MATCH($A88,'Tournament Setup'!$A:$A,0))/100,0),0))</f>
      </c>
      <c r="Z88" t="e">
        <f>IF(OR(OR($A88="",$D88=""),F88=""),"",F88-(INT($Y88/18)+IF(INDEX('Tournament Setup'!$AD:$AD,MATCH($A88,'Tournament Setup'!$A:$A,0))&lt;=MOD($Y88,18),1,0)))</f>
      </c>
      <c r="AA88" t="e">
        <f>IF(OR(OR($A88="",$D88=""),G88=""),"",G88-(INT($Y88/18)+IF(INDEX('Tournament Setup'!$AE:$AE,MATCH($A88,'Tournament Setup'!$A:$A,0))&lt;=MOD($Y88,18),1,0)))</f>
      </c>
      <c r="AB88" t="e">
        <f>IF(OR(OR($A88="",$D88=""),H88=""),"",H88-(INT($Y88/18)+IF(INDEX('Tournament Setup'!$AF:$AF,MATCH($A88,'Tournament Setup'!$A:$A,0))&lt;=MOD($Y88,18),1,0)))</f>
      </c>
      <c r="AC88" t="e">
        <f>IF(OR(OR($A88="",$D88=""),I88=""),"",I88-(INT($Y88/18)+IF(INDEX('Tournament Setup'!$AG:$AG,MATCH($A88,'Tournament Setup'!$A:$A,0))&lt;=MOD($Y88,18),1,0)))</f>
      </c>
      <c r="AD88" t="e">
        <f>IF(OR(OR($A88="",$D88=""),J88=""),"",J88-(INT($Y88/18)+IF(INDEX('Tournament Setup'!$AH:$AH,MATCH($A88,'Tournament Setup'!$A:$A,0))&lt;=MOD($Y88,18),1,0)))</f>
      </c>
      <c r="AE88" t="e">
        <f>IF(OR(OR($A88="",$D88=""),K88=""),"",K88-(INT($Y88/18)+IF(INDEX('Tournament Setup'!$AI:$AI,MATCH($A88,'Tournament Setup'!$A:$A,0))&lt;=MOD($Y88,18),1,0)))</f>
      </c>
      <c r="AF88" t="e">
        <f>IF(OR(OR($A88="",$D88=""),L88=""),"",L88-(INT($Y88/18)+IF(INDEX('Tournament Setup'!$AJ:$AJ,MATCH($A88,'Tournament Setup'!$A:$A,0))&lt;=MOD($Y88,18),1,0)))</f>
      </c>
      <c r="AG88" t="e">
        <f>IF(OR(OR($A88="",$D88=""),M88=""),"",M88-(INT($Y88/18)+IF(INDEX('Tournament Setup'!$AK:$AK,MATCH($A88,'Tournament Setup'!$A:$A,0))&lt;=MOD($Y88,18),1,0)))</f>
      </c>
      <c r="AH88" t="e">
        <f>IF(OR(OR($A88="",$D88=""),N88=""),"",N88-(INT($Y88/18)+IF(INDEX('Tournament Setup'!$AL:$AL,MATCH($A88,'Tournament Setup'!$A:$A,0))&lt;=MOD($Y88,18),1,0)))</f>
      </c>
      <c r="AI88" t="e">
        <f>IF(OR(OR($A88="",$D88=""),O88=""),"",O88-(INT($Y88/18)+IF(INDEX('Tournament Setup'!$AM:$AM,MATCH($A88,'Tournament Setup'!$A:$A,0))&lt;=MOD($Y88,18),1,0)))</f>
      </c>
      <c r="AJ88" t="e">
        <f>IF(OR(OR($A88="",$D88=""),P88=""),"",P88-(INT($Y88/18)+IF(INDEX('Tournament Setup'!$AN:$AN,MATCH($A88,'Tournament Setup'!$A:$A,0))&lt;=MOD($Y88,18),1,0)))</f>
      </c>
      <c r="AK88" t="e">
        <f>IF(OR(OR($A88="",$D88=""),Q88=""),"",Q88-(INT($Y88/18)+IF(INDEX('Tournament Setup'!$AO:$AO,MATCH($A88,'Tournament Setup'!$A:$A,0))&lt;=MOD($Y88,18),1,0)))</f>
      </c>
      <c r="AL88" t="e">
        <f>IF(OR(OR($A88="",$D88=""),R88=""),"",R88-(INT($Y88/18)+IF(INDEX('Tournament Setup'!$AP:$AP,MATCH($A88,'Tournament Setup'!$A:$A,0))&lt;=MOD($Y88,18),1,0)))</f>
      </c>
      <c r="AM88" t="e">
        <f>IF(OR(OR($A88="",$D88=""),S88=""),"",S88-(INT($Y88/18)+IF(INDEX('Tournament Setup'!$AQ:$AQ,MATCH($A88,'Tournament Setup'!$A:$A,0))&lt;=MOD($Y88,18),1,0)))</f>
      </c>
      <c r="AN88" t="e">
        <f>IF(OR(OR($A88="",$D88=""),T88=""),"",T88-(INT($Y88/18)+IF(INDEX('Tournament Setup'!$AR:$AR,MATCH($A88,'Tournament Setup'!$A:$A,0))&lt;=MOD($Y88,18),1,0)))</f>
      </c>
      <c r="AO88" t="e">
        <f>IF(OR(OR($A88="",$D88=""),U88=""),"",U88-(INT($Y88/18)+IF(INDEX('Tournament Setup'!$AS:$AS,MATCH($A88,'Tournament Setup'!$A:$A,0))&lt;=MOD($Y88,18),1,0)))</f>
      </c>
      <c r="AP88" t="e">
        <f>IF(OR(OR($A88="",$D88=""),V88=""),"",V88-(INT($Y88/18)+IF(INDEX('Tournament Setup'!$AT:$AT,MATCH($A88,'Tournament Setup'!$A:$A,0))&lt;=MOD($Y88,18),1,0)))</f>
      </c>
      <c r="AQ88" t="e">
        <f>IF(OR(OR($A88="",$D88=""),W88=""),"",W88-(INT($Y88/18)+IF(INDEX('Tournament Setup'!$AU:$AU,MATCH($A88,'Tournament Setup'!$A:$A,0))&lt;=MOD($Y88,18),1,0)))</f>
      </c>
    </row>
    <row r="89">
      <c r="X89" t="e">
        <f>IF(OR($A89="",$D89=""),"",SUM(F89:W89))</f>
      </c>
      <c r="Y89" t="e">
        <f>IF(OR($A89="",$D89=""),"",IF(INDEX('Tournament Setup'!$F:$F,MATCH($A89,'Tournament Setup'!$A:$A,0))="Net",ROUND(($E89-_xlfn.MINIFS($E$2:$E$401,$A$2:$A$401,$A89,$B$2:$B$401,$B89))*INDEX('Tournament Setup'!$G:$G,MATCH($A89,'Tournament Setup'!$A:$A,0))/100,0),0))</f>
      </c>
      <c r="Z89" t="e">
        <f>IF(OR(OR($A89="",$D89=""),F89=""),"",F89-(INT($Y89/18)+IF(INDEX('Tournament Setup'!$AD:$AD,MATCH($A89,'Tournament Setup'!$A:$A,0))&lt;=MOD($Y89,18),1,0)))</f>
      </c>
      <c r="AA89" t="e">
        <f>IF(OR(OR($A89="",$D89=""),G89=""),"",G89-(INT($Y89/18)+IF(INDEX('Tournament Setup'!$AE:$AE,MATCH($A89,'Tournament Setup'!$A:$A,0))&lt;=MOD($Y89,18),1,0)))</f>
      </c>
      <c r="AB89" t="e">
        <f>IF(OR(OR($A89="",$D89=""),H89=""),"",H89-(INT($Y89/18)+IF(INDEX('Tournament Setup'!$AF:$AF,MATCH($A89,'Tournament Setup'!$A:$A,0))&lt;=MOD($Y89,18),1,0)))</f>
      </c>
      <c r="AC89" t="e">
        <f>IF(OR(OR($A89="",$D89=""),I89=""),"",I89-(INT($Y89/18)+IF(INDEX('Tournament Setup'!$AG:$AG,MATCH($A89,'Tournament Setup'!$A:$A,0))&lt;=MOD($Y89,18),1,0)))</f>
      </c>
      <c r="AD89" t="e">
        <f>IF(OR(OR($A89="",$D89=""),J89=""),"",J89-(INT($Y89/18)+IF(INDEX('Tournament Setup'!$AH:$AH,MATCH($A89,'Tournament Setup'!$A:$A,0))&lt;=MOD($Y89,18),1,0)))</f>
      </c>
      <c r="AE89" t="e">
        <f>IF(OR(OR($A89="",$D89=""),K89=""),"",K89-(INT($Y89/18)+IF(INDEX('Tournament Setup'!$AI:$AI,MATCH($A89,'Tournament Setup'!$A:$A,0))&lt;=MOD($Y89,18),1,0)))</f>
      </c>
      <c r="AF89" t="e">
        <f>IF(OR(OR($A89="",$D89=""),L89=""),"",L89-(INT($Y89/18)+IF(INDEX('Tournament Setup'!$AJ:$AJ,MATCH($A89,'Tournament Setup'!$A:$A,0))&lt;=MOD($Y89,18),1,0)))</f>
      </c>
      <c r="AG89" t="e">
        <f>IF(OR(OR($A89="",$D89=""),M89=""),"",M89-(INT($Y89/18)+IF(INDEX('Tournament Setup'!$AK:$AK,MATCH($A89,'Tournament Setup'!$A:$A,0))&lt;=MOD($Y89,18),1,0)))</f>
      </c>
      <c r="AH89" t="e">
        <f>IF(OR(OR($A89="",$D89=""),N89=""),"",N89-(INT($Y89/18)+IF(INDEX('Tournament Setup'!$AL:$AL,MATCH($A89,'Tournament Setup'!$A:$A,0))&lt;=MOD($Y89,18),1,0)))</f>
      </c>
      <c r="AI89" t="e">
        <f>IF(OR(OR($A89="",$D89=""),O89=""),"",O89-(INT($Y89/18)+IF(INDEX('Tournament Setup'!$AM:$AM,MATCH($A89,'Tournament Setup'!$A:$A,0))&lt;=MOD($Y89,18),1,0)))</f>
      </c>
      <c r="AJ89" t="e">
        <f>IF(OR(OR($A89="",$D89=""),P89=""),"",P89-(INT($Y89/18)+IF(INDEX('Tournament Setup'!$AN:$AN,MATCH($A89,'Tournament Setup'!$A:$A,0))&lt;=MOD($Y89,18),1,0)))</f>
      </c>
      <c r="AK89" t="e">
        <f>IF(OR(OR($A89="",$D89=""),Q89=""),"",Q89-(INT($Y89/18)+IF(INDEX('Tournament Setup'!$AO:$AO,MATCH($A89,'Tournament Setup'!$A:$A,0))&lt;=MOD($Y89,18),1,0)))</f>
      </c>
      <c r="AL89" t="e">
        <f>IF(OR(OR($A89="",$D89=""),R89=""),"",R89-(INT($Y89/18)+IF(INDEX('Tournament Setup'!$AP:$AP,MATCH($A89,'Tournament Setup'!$A:$A,0))&lt;=MOD($Y89,18),1,0)))</f>
      </c>
      <c r="AM89" t="e">
        <f>IF(OR(OR($A89="",$D89=""),S89=""),"",S89-(INT($Y89/18)+IF(INDEX('Tournament Setup'!$AQ:$AQ,MATCH($A89,'Tournament Setup'!$A:$A,0))&lt;=MOD($Y89,18),1,0)))</f>
      </c>
      <c r="AN89" t="e">
        <f>IF(OR(OR($A89="",$D89=""),T89=""),"",T89-(INT($Y89/18)+IF(INDEX('Tournament Setup'!$AR:$AR,MATCH($A89,'Tournament Setup'!$A:$A,0))&lt;=MOD($Y89,18),1,0)))</f>
      </c>
      <c r="AO89" t="e">
        <f>IF(OR(OR($A89="",$D89=""),U89=""),"",U89-(INT($Y89/18)+IF(INDEX('Tournament Setup'!$AS:$AS,MATCH($A89,'Tournament Setup'!$A:$A,0))&lt;=MOD($Y89,18),1,0)))</f>
      </c>
      <c r="AP89" t="e">
        <f>IF(OR(OR($A89="",$D89=""),V89=""),"",V89-(INT($Y89/18)+IF(INDEX('Tournament Setup'!$AT:$AT,MATCH($A89,'Tournament Setup'!$A:$A,0))&lt;=MOD($Y89,18),1,0)))</f>
      </c>
      <c r="AQ89" t="e">
        <f>IF(OR(OR($A89="",$D89=""),W89=""),"",W89-(INT($Y89/18)+IF(INDEX('Tournament Setup'!$AU:$AU,MATCH($A89,'Tournament Setup'!$A:$A,0))&lt;=MOD($Y89,18),1,0)))</f>
      </c>
    </row>
    <row r="90">
      <c r="X90" t="e">
        <f>IF(OR($A90="",$D90=""),"",SUM(F90:W90))</f>
      </c>
      <c r="Y90" t="e">
        <f>IF(OR($A90="",$D90=""),"",IF(INDEX('Tournament Setup'!$F:$F,MATCH($A90,'Tournament Setup'!$A:$A,0))="Net",ROUND(($E90-_xlfn.MINIFS($E$2:$E$401,$A$2:$A$401,$A90,$B$2:$B$401,$B90))*INDEX('Tournament Setup'!$G:$G,MATCH($A90,'Tournament Setup'!$A:$A,0))/100,0),0))</f>
      </c>
      <c r="Z90" t="e">
        <f>IF(OR(OR($A90="",$D90=""),F90=""),"",F90-(INT($Y90/18)+IF(INDEX('Tournament Setup'!$AD:$AD,MATCH($A90,'Tournament Setup'!$A:$A,0))&lt;=MOD($Y90,18),1,0)))</f>
      </c>
      <c r="AA90" t="e">
        <f>IF(OR(OR($A90="",$D90=""),G90=""),"",G90-(INT($Y90/18)+IF(INDEX('Tournament Setup'!$AE:$AE,MATCH($A90,'Tournament Setup'!$A:$A,0))&lt;=MOD($Y90,18),1,0)))</f>
      </c>
      <c r="AB90" t="e">
        <f>IF(OR(OR($A90="",$D90=""),H90=""),"",H90-(INT($Y90/18)+IF(INDEX('Tournament Setup'!$AF:$AF,MATCH($A90,'Tournament Setup'!$A:$A,0))&lt;=MOD($Y90,18),1,0)))</f>
      </c>
      <c r="AC90" t="e">
        <f>IF(OR(OR($A90="",$D90=""),I90=""),"",I90-(INT($Y90/18)+IF(INDEX('Tournament Setup'!$AG:$AG,MATCH($A90,'Tournament Setup'!$A:$A,0))&lt;=MOD($Y90,18),1,0)))</f>
      </c>
      <c r="AD90" t="e">
        <f>IF(OR(OR($A90="",$D90=""),J90=""),"",J90-(INT($Y90/18)+IF(INDEX('Tournament Setup'!$AH:$AH,MATCH($A90,'Tournament Setup'!$A:$A,0))&lt;=MOD($Y90,18),1,0)))</f>
      </c>
      <c r="AE90" t="e">
        <f>IF(OR(OR($A90="",$D90=""),K90=""),"",K90-(INT($Y90/18)+IF(INDEX('Tournament Setup'!$AI:$AI,MATCH($A90,'Tournament Setup'!$A:$A,0))&lt;=MOD($Y90,18),1,0)))</f>
      </c>
      <c r="AF90" t="e">
        <f>IF(OR(OR($A90="",$D90=""),L90=""),"",L90-(INT($Y90/18)+IF(INDEX('Tournament Setup'!$AJ:$AJ,MATCH($A90,'Tournament Setup'!$A:$A,0))&lt;=MOD($Y90,18),1,0)))</f>
      </c>
      <c r="AG90" t="e">
        <f>IF(OR(OR($A90="",$D90=""),M90=""),"",M90-(INT($Y90/18)+IF(INDEX('Tournament Setup'!$AK:$AK,MATCH($A90,'Tournament Setup'!$A:$A,0))&lt;=MOD($Y90,18),1,0)))</f>
      </c>
      <c r="AH90" t="e">
        <f>IF(OR(OR($A90="",$D90=""),N90=""),"",N90-(INT($Y90/18)+IF(INDEX('Tournament Setup'!$AL:$AL,MATCH($A90,'Tournament Setup'!$A:$A,0))&lt;=MOD($Y90,18),1,0)))</f>
      </c>
      <c r="AI90" t="e">
        <f>IF(OR(OR($A90="",$D90=""),O90=""),"",O90-(INT($Y90/18)+IF(INDEX('Tournament Setup'!$AM:$AM,MATCH($A90,'Tournament Setup'!$A:$A,0))&lt;=MOD($Y90,18),1,0)))</f>
      </c>
      <c r="AJ90" t="e">
        <f>IF(OR(OR($A90="",$D90=""),P90=""),"",P90-(INT($Y90/18)+IF(INDEX('Tournament Setup'!$AN:$AN,MATCH($A90,'Tournament Setup'!$A:$A,0))&lt;=MOD($Y90,18),1,0)))</f>
      </c>
      <c r="AK90" t="e">
        <f>IF(OR(OR($A90="",$D90=""),Q90=""),"",Q90-(INT($Y90/18)+IF(INDEX('Tournament Setup'!$AO:$AO,MATCH($A90,'Tournament Setup'!$A:$A,0))&lt;=MOD($Y90,18),1,0)))</f>
      </c>
      <c r="AL90" t="e">
        <f>IF(OR(OR($A90="",$D90=""),R90=""),"",R90-(INT($Y90/18)+IF(INDEX('Tournament Setup'!$AP:$AP,MATCH($A90,'Tournament Setup'!$A:$A,0))&lt;=MOD($Y90,18),1,0)))</f>
      </c>
      <c r="AM90" t="e">
        <f>IF(OR(OR($A90="",$D90=""),S90=""),"",S90-(INT($Y90/18)+IF(INDEX('Tournament Setup'!$AQ:$AQ,MATCH($A90,'Tournament Setup'!$A:$A,0))&lt;=MOD($Y90,18),1,0)))</f>
      </c>
      <c r="AN90" t="e">
        <f>IF(OR(OR($A90="",$D90=""),T90=""),"",T90-(INT($Y90/18)+IF(INDEX('Tournament Setup'!$AR:$AR,MATCH($A90,'Tournament Setup'!$A:$A,0))&lt;=MOD($Y90,18),1,0)))</f>
      </c>
      <c r="AO90" t="e">
        <f>IF(OR(OR($A90="",$D90=""),U90=""),"",U90-(INT($Y90/18)+IF(INDEX('Tournament Setup'!$AS:$AS,MATCH($A90,'Tournament Setup'!$A:$A,0))&lt;=MOD($Y90,18),1,0)))</f>
      </c>
      <c r="AP90" t="e">
        <f>IF(OR(OR($A90="",$D90=""),V90=""),"",V90-(INT($Y90/18)+IF(INDEX('Tournament Setup'!$AT:$AT,MATCH($A90,'Tournament Setup'!$A:$A,0))&lt;=MOD($Y90,18),1,0)))</f>
      </c>
      <c r="AQ90" t="e">
        <f>IF(OR(OR($A90="",$D90=""),W90=""),"",W90-(INT($Y90/18)+IF(INDEX('Tournament Setup'!$AU:$AU,MATCH($A90,'Tournament Setup'!$A:$A,0))&lt;=MOD($Y90,18),1,0)))</f>
      </c>
    </row>
    <row r="91">
      <c r="X91" t="e">
        <f>IF(OR($A91="",$D91=""),"",SUM(F91:W91))</f>
      </c>
      <c r="Y91" t="e">
        <f>IF(OR($A91="",$D91=""),"",IF(INDEX('Tournament Setup'!$F:$F,MATCH($A91,'Tournament Setup'!$A:$A,0))="Net",ROUND(($E91-_xlfn.MINIFS($E$2:$E$401,$A$2:$A$401,$A91,$B$2:$B$401,$B91))*INDEX('Tournament Setup'!$G:$G,MATCH($A91,'Tournament Setup'!$A:$A,0))/100,0),0))</f>
      </c>
      <c r="Z91" t="e">
        <f>IF(OR(OR($A91="",$D91=""),F91=""),"",F91-(INT($Y91/18)+IF(INDEX('Tournament Setup'!$AD:$AD,MATCH($A91,'Tournament Setup'!$A:$A,0))&lt;=MOD($Y91,18),1,0)))</f>
      </c>
      <c r="AA91" t="e">
        <f>IF(OR(OR($A91="",$D91=""),G91=""),"",G91-(INT($Y91/18)+IF(INDEX('Tournament Setup'!$AE:$AE,MATCH($A91,'Tournament Setup'!$A:$A,0))&lt;=MOD($Y91,18),1,0)))</f>
      </c>
      <c r="AB91" t="e">
        <f>IF(OR(OR($A91="",$D91=""),H91=""),"",H91-(INT($Y91/18)+IF(INDEX('Tournament Setup'!$AF:$AF,MATCH($A91,'Tournament Setup'!$A:$A,0))&lt;=MOD($Y91,18),1,0)))</f>
      </c>
      <c r="AC91" t="e">
        <f>IF(OR(OR($A91="",$D91=""),I91=""),"",I91-(INT($Y91/18)+IF(INDEX('Tournament Setup'!$AG:$AG,MATCH($A91,'Tournament Setup'!$A:$A,0))&lt;=MOD($Y91,18),1,0)))</f>
      </c>
      <c r="AD91" t="e">
        <f>IF(OR(OR($A91="",$D91=""),J91=""),"",J91-(INT($Y91/18)+IF(INDEX('Tournament Setup'!$AH:$AH,MATCH($A91,'Tournament Setup'!$A:$A,0))&lt;=MOD($Y91,18),1,0)))</f>
      </c>
      <c r="AE91" t="e">
        <f>IF(OR(OR($A91="",$D91=""),K91=""),"",K91-(INT($Y91/18)+IF(INDEX('Tournament Setup'!$AI:$AI,MATCH($A91,'Tournament Setup'!$A:$A,0))&lt;=MOD($Y91,18),1,0)))</f>
      </c>
      <c r="AF91" t="e">
        <f>IF(OR(OR($A91="",$D91=""),L91=""),"",L91-(INT($Y91/18)+IF(INDEX('Tournament Setup'!$AJ:$AJ,MATCH($A91,'Tournament Setup'!$A:$A,0))&lt;=MOD($Y91,18),1,0)))</f>
      </c>
      <c r="AG91" t="e">
        <f>IF(OR(OR($A91="",$D91=""),M91=""),"",M91-(INT($Y91/18)+IF(INDEX('Tournament Setup'!$AK:$AK,MATCH($A91,'Tournament Setup'!$A:$A,0))&lt;=MOD($Y91,18),1,0)))</f>
      </c>
      <c r="AH91" t="e">
        <f>IF(OR(OR($A91="",$D91=""),N91=""),"",N91-(INT($Y91/18)+IF(INDEX('Tournament Setup'!$AL:$AL,MATCH($A91,'Tournament Setup'!$A:$A,0))&lt;=MOD($Y91,18),1,0)))</f>
      </c>
      <c r="AI91" t="e">
        <f>IF(OR(OR($A91="",$D91=""),O91=""),"",O91-(INT($Y91/18)+IF(INDEX('Tournament Setup'!$AM:$AM,MATCH($A91,'Tournament Setup'!$A:$A,0))&lt;=MOD($Y91,18),1,0)))</f>
      </c>
      <c r="AJ91" t="e">
        <f>IF(OR(OR($A91="",$D91=""),P91=""),"",P91-(INT($Y91/18)+IF(INDEX('Tournament Setup'!$AN:$AN,MATCH($A91,'Tournament Setup'!$A:$A,0))&lt;=MOD($Y91,18),1,0)))</f>
      </c>
      <c r="AK91" t="e">
        <f>IF(OR(OR($A91="",$D91=""),Q91=""),"",Q91-(INT($Y91/18)+IF(INDEX('Tournament Setup'!$AO:$AO,MATCH($A91,'Tournament Setup'!$A:$A,0))&lt;=MOD($Y91,18),1,0)))</f>
      </c>
      <c r="AL91" t="e">
        <f>IF(OR(OR($A91="",$D91=""),R91=""),"",R91-(INT($Y91/18)+IF(INDEX('Tournament Setup'!$AP:$AP,MATCH($A91,'Tournament Setup'!$A:$A,0))&lt;=MOD($Y91,18),1,0)))</f>
      </c>
      <c r="AM91" t="e">
        <f>IF(OR(OR($A91="",$D91=""),S91=""),"",S91-(INT($Y91/18)+IF(INDEX('Tournament Setup'!$AQ:$AQ,MATCH($A91,'Tournament Setup'!$A:$A,0))&lt;=MOD($Y91,18),1,0)))</f>
      </c>
      <c r="AN91" t="e">
        <f>IF(OR(OR($A91="",$D91=""),T91=""),"",T91-(INT($Y91/18)+IF(INDEX('Tournament Setup'!$AR:$AR,MATCH($A91,'Tournament Setup'!$A:$A,0))&lt;=MOD($Y91,18),1,0)))</f>
      </c>
      <c r="AO91" t="e">
        <f>IF(OR(OR($A91="",$D91=""),U91=""),"",U91-(INT($Y91/18)+IF(INDEX('Tournament Setup'!$AS:$AS,MATCH($A91,'Tournament Setup'!$A:$A,0))&lt;=MOD($Y91,18),1,0)))</f>
      </c>
      <c r="AP91" t="e">
        <f>IF(OR(OR($A91="",$D91=""),V91=""),"",V91-(INT($Y91/18)+IF(INDEX('Tournament Setup'!$AT:$AT,MATCH($A91,'Tournament Setup'!$A:$A,0))&lt;=MOD($Y91,18),1,0)))</f>
      </c>
      <c r="AQ91" t="e">
        <f>IF(OR(OR($A91="",$D91=""),W91=""),"",W91-(INT($Y91/18)+IF(INDEX('Tournament Setup'!$AU:$AU,MATCH($A91,'Tournament Setup'!$A:$A,0))&lt;=MOD($Y91,18),1,0)))</f>
      </c>
    </row>
    <row r="92">
      <c r="X92" t="e">
        <f>IF(OR($A92="",$D92=""),"",SUM(F92:W92))</f>
      </c>
      <c r="Y92" t="e">
        <f>IF(OR($A92="",$D92=""),"",IF(INDEX('Tournament Setup'!$F:$F,MATCH($A92,'Tournament Setup'!$A:$A,0))="Net",ROUND(($E92-_xlfn.MINIFS($E$2:$E$401,$A$2:$A$401,$A92,$B$2:$B$401,$B92))*INDEX('Tournament Setup'!$G:$G,MATCH($A92,'Tournament Setup'!$A:$A,0))/100,0),0))</f>
      </c>
      <c r="Z92" t="e">
        <f>IF(OR(OR($A92="",$D92=""),F92=""),"",F92-(INT($Y92/18)+IF(INDEX('Tournament Setup'!$AD:$AD,MATCH($A92,'Tournament Setup'!$A:$A,0))&lt;=MOD($Y92,18),1,0)))</f>
      </c>
      <c r="AA92" t="e">
        <f>IF(OR(OR($A92="",$D92=""),G92=""),"",G92-(INT($Y92/18)+IF(INDEX('Tournament Setup'!$AE:$AE,MATCH($A92,'Tournament Setup'!$A:$A,0))&lt;=MOD($Y92,18),1,0)))</f>
      </c>
      <c r="AB92" t="e">
        <f>IF(OR(OR($A92="",$D92=""),H92=""),"",H92-(INT($Y92/18)+IF(INDEX('Tournament Setup'!$AF:$AF,MATCH($A92,'Tournament Setup'!$A:$A,0))&lt;=MOD($Y92,18),1,0)))</f>
      </c>
      <c r="AC92" t="e">
        <f>IF(OR(OR($A92="",$D92=""),I92=""),"",I92-(INT($Y92/18)+IF(INDEX('Tournament Setup'!$AG:$AG,MATCH($A92,'Tournament Setup'!$A:$A,0))&lt;=MOD($Y92,18),1,0)))</f>
      </c>
      <c r="AD92" t="e">
        <f>IF(OR(OR($A92="",$D92=""),J92=""),"",J92-(INT($Y92/18)+IF(INDEX('Tournament Setup'!$AH:$AH,MATCH($A92,'Tournament Setup'!$A:$A,0))&lt;=MOD($Y92,18),1,0)))</f>
      </c>
      <c r="AE92" t="e">
        <f>IF(OR(OR($A92="",$D92=""),K92=""),"",K92-(INT($Y92/18)+IF(INDEX('Tournament Setup'!$AI:$AI,MATCH($A92,'Tournament Setup'!$A:$A,0))&lt;=MOD($Y92,18),1,0)))</f>
      </c>
      <c r="AF92" t="e">
        <f>IF(OR(OR($A92="",$D92=""),L92=""),"",L92-(INT($Y92/18)+IF(INDEX('Tournament Setup'!$AJ:$AJ,MATCH($A92,'Tournament Setup'!$A:$A,0))&lt;=MOD($Y92,18),1,0)))</f>
      </c>
      <c r="AG92" t="e">
        <f>IF(OR(OR($A92="",$D92=""),M92=""),"",M92-(INT($Y92/18)+IF(INDEX('Tournament Setup'!$AK:$AK,MATCH($A92,'Tournament Setup'!$A:$A,0))&lt;=MOD($Y92,18),1,0)))</f>
      </c>
      <c r="AH92" t="e">
        <f>IF(OR(OR($A92="",$D92=""),N92=""),"",N92-(INT($Y92/18)+IF(INDEX('Tournament Setup'!$AL:$AL,MATCH($A92,'Tournament Setup'!$A:$A,0))&lt;=MOD($Y92,18),1,0)))</f>
      </c>
      <c r="AI92" t="e">
        <f>IF(OR(OR($A92="",$D92=""),O92=""),"",O92-(INT($Y92/18)+IF(INDEX('Tournament Setup'!$AM:$AM,MATCH($A92,'Tournament Setup'!$A:$A,0))&lt;=MOD($Y92,18),1,0)))</f>
      </c>
      <c r="AJ92" t="e">
        <f>IF(OR(OR($A92="",$D92=""),P92=""),"",P92-(INT($Y92/18)+IF(INDEX('Tournament Setup'!$AN:$AN,MATCH($A92,'Tournament Setup'!$A:$A,0))&lt;=MOD($Y92,18),1,0)))</f>
      </c>
      <c r="AK92" t="e">
        <f>IF(OR(OR($A92="",$D92=""),Q92=""),"",Q92-(INT($Y92/18)+IF(INDEX('Tournament Setup'!$AO:$AO,MATCH($A92,'Tournament Setup'!$A:$A,0))&lt;=MOD($Y92,18),1,0)))</f>
      </c>
      <c r="AL92" t="e">
        <f>IF(OR(OR($A92="",$D92=""),R92=""),"",R92-(INT($Y92/18)+IF(INDEX('Tournament Setup'!$AP:$AP,MATCH($A92,'Tournament Setup'!$A:$A,0))&lt;=MOD($Y92,18),1,0)))</f>
      </c>
      <c r="AM92" t="e">
        <f>IF(OR(OR($A92="",$D92=""),S92=""),"",S92-(INT($Y92/18)+IF(INDEX('Tournament Setup'!$AQ:$AQ,MATCH($A92,'Tournament Setup'!$A:$A,0))&lt;=MOD($Y92,18),1,0)))</f>
      </c>
      <c r="AN92" t="e">
        <f>IF(OR(OR($A92="",$D92=""),T92=""),"",T92-(INT($Y92/18)+IF(INDEX('Tournament Setup'!$AR:$AR,MATCH($A92,'Tournament Setup'!$A:$A,0))&lt;=MOD($Y92,18),1,0)))</f>
      </c>
      <c r="AO92" t="e">
        <f>IF(OR(OR($A92="",$D92=""),U92=""),"",U92-(INT($Y92/18)+IF(INDEX('Tournament Setup'!$AS:$AS,MATCH($A92,'Tournament Setup'!$A:$A,0))&lt;=MOD($Y92,18),1,0)))</f>
      </c>
      <c r="AP92" t="e">
        <f>IF(OR(OR($A92="",$D92=""),V92=""),"",V92-(INT($Y92/18)+IF(INDEX('Tournament Setup'!$AT:$AT,MATCH($A92,'Tournament Setup'!$A:$A,0))&lt;=MOD($Y92,18),1,0)))</f>
      </c>
      <c r="AQ92" t="e">
        <f>IF(OR(OR($A92="",$D92=""),W92=""),"",W92-(INT($Y92/18)+IF(INDEX('Tournament Setup'!$AU:$AU,MATCH($A92,'Tournament Setup'!$A:$A,0))&lt;=MOD($Y92,18),1,0)))</f>
      </c>
    </row>
    <row r="93">
      <c r="X93" t="e">
        <f>IF(OR($A93="",$D93=""),"",SUM(F93:W93))</f>
      </c>
      <c r="Y93" t="e">
        <f>IF(OR($A93="",$D93=""),"",IF(INDEX('Tournament Setup'!$F:$F,MATCH($A93,'Tournament Setup'!$A:$A,0))="Net",ROUND(($E93-_xlfn.MINIFS($E$2:$E$401,$A$2:$A$401,$A93,$B$2:$B$401,$B93))*INDEX('Tournament Setup'!$G:$G,MATCH($A93,'Tournament Setup'!$A:$A,0))/100,0),0))</f>
      </c>
      <c r="Z93" t="e">
        <f>IF(OR(OR($A93="",$D93=""),F93=""),"",F93-(INT($Y93/18)+IF(INDEX('Tournament Setup'!$AD:$AD,MATCH($A93,'Tournament Setup'!$A:$A,0))&lt;=MOD($Y93,18),1,0)))</f>
      </c>
      <c r="AA93" t="e">
        <f>IF(OR(OR($A93="",$D93=""),G93=""),"",G93-(INT($Y93/18)+IF(INDEX('Tournament Setup'!$AE:$AE,MATCH($A93,'Tournament Setup'!$A:$A,0))&lt;=MOD($Y93,18),1,0)))</f>
      </c>
      <c r="AB93" t="e">
        <f>IF(OR(OR($A93="",$D93=""),H93=""),"",H93-(INT($Y93/18)+IF(INDEX('Tournament Setup'!$AF:$AF,MATCH($A93,'Tournament Setup'!$A:$A,0))&lt;=MOD($Y93,18),1,0)))</f>
      </c>
      <c r="AC93" t="e">
        <f>IF(OR(OR($A93="",$D93=""),I93=""),"",I93-(INT($Y93/18)+IF(INDEX('Tournament Setup'!$AG:$AG,MATCH($A93,'Tournament Setup'!$A:$A,0))&lt;=MOD($Y93,18),1,0)))</f>
      </c>
      <c r="AD93" t="e">
        <f>IF(OR(OR($A93="",$D93=""),J93=""),"",J93-(INT($Y93/18)+IF(INDEX('Tournament Setup'!$AH:$AH,MATCH($A93,'Tournament Setup'!$A:$A,0))&lt;=MOD($Y93,18),1,0)))</f>
      </c>
      <c r="AE93" t="e">
        <f>IF(OR(OR($A93="",$D93=""),K93=""),"",K93-(INT($Y93/18)+IF(INDEX('Tournament Setup'!$AI:$AI,MATCH($A93,'Tournament Setup'!$A:$A,0))&lt;=MOD($Y93,18),1,0)))</f>
      </c>
      <c r="AF93" t="e">
        <f>IF(OR(OR($A93="",$D93=""),L93=""),"",L93-(INT($Y93/18)+IF(INDEX('Tournament Setup'!$AJ:$AJ,MATCH($A93,'Tournament Setup'!$A:$A,0))&lt;=MOD($Y93,18),1,0)))</f>
      </c>
      <c r="AG93" t="e">
        <f>IF(OR(OR($A93="",$D93=""),M93=""),"",M93-(INT($Y93/18)+IF(INDEX('Tournament Setup'!$AK:$AK,MATCH($A93,'Tournament Setup'!$A:$A,0))&lt;=MOD($Y93,18),1,0)))</f>
      </c>
      <c r="AH93" t="e">
        <f>IF(OR(OR($A93="",$D93=""),N93=""),"",N93-(INT($Y93/18)+IF(INDEX('Tournament Setup'!$AL:$AL,MATCH($A93,'Tournament Setup'!$A:$A,0))&lt;=MOD($Y93,18),1,0)))</f>
      </c>
      <c r="AI93" t="e">
        <f>IF(OR(OR($A93="",$D93=""),O93=""),"",O93-(INT($Y93/18)+IF(INDEX('Tournament Setup'!$AM:$AM,MATCH($A93,'Tournament Setup'!$A:$A,0))&lt;=MOD($Y93,18),1,0)))</f>
      </c>
      <c r="AJ93" t="e">
        <f>IF(OR(OR($A93="",$D93=""),P93=""),"",P93-(INT($Y93/18)+IF(INDEX('Tournament Setup'!$AN:$AN,MATCH($A93,'Tournament Setup'!$A:$A,0))&lt;=MOD($Y93,18),1,0)))</f>
      </c>
      <c r="AK93" t="e">
        <f>IF(OR(OR($A93="",$D93=""),Q93=""),"",Q93-(INT($Y93/18)+IF(INDEX('Tournament Setup'!$AO:$AO,MATCH($A93,'Tournament Setup'!$A:$A,0))&lt;=MOD($Y93,18),1,0)))</f>
      </c>
      <c r="AL93" t="e">
        <f>IF(OR(OR($A93="",$D93=""),R93=""),"",R93-(INT($Y93/18)+IF(INDEX('Tournament Setup'!$AP:$AP,MATCH($A93,'Tournament Setup'!$A:$A,0))&lt;=MOD($Y93,18),1,0)))</f>
      </c>
      <c r="AM93" t="e">
        <f>IF(OR(OR($A93="",$D93=""),S93=""),"",S93-(INT($Y93/18)+IF(INDEX('Tournament Setup'!$AQ:$AQ,MATCH($A93,'Tournament Setup'!$A:$A,0))&lt;=MOD($Y93,18),1,0)))</f>
      </c>
      <c r="AN93" t="e">
        <f>IF(OR(OR($A93="",$D93=""),T93=""),"",T93-(INT($Y93/18)+IF(INDEX('Tournament Setup'!$AR:$AR,MATCH($A93,'Tournament Setup'!$A:$A,0))&lt;=MOD($Y93,18),1,0)))</f>
      </c>
      <c r="AO93" t="e">
        <f>IF(OR(OR($A93="",$D93=""),U93=""),"",U93-(INT($Y93/18)+IF(INDEX('Tournament Setup'!$AS:$AS,MATCH($A93,'Tournament Setup'!$A:$A,0))&lt;=MOD($Y93,18),1,0)))</f>
      </c>
      <c r="AP93" t="e">
        <f>IF(OR(OR($A93="",$D93=""),V93=""),"",V93-(INT($Y93/18)+IF(INDEX('Tournament Setup'!$AT:$AT,MATCH($A93,'Tournament Setup'!$A:$A,0))&lt;=MOD($Y93,18),1,0)))</f>
      </c>
      <c r="AQ93" t="e">
        <f>IF(OR(OR($A93="",$D93=""),W93=""),"",W93-(INT($Y93/18)+IF(INDEX('Tournament Setup'!$AU:$AU,MATCH($A93,'Tournament Setup'!$A:$A,0))&lt;=MOD($Y93,18),1,0)))</f>
      </c>
    </row>
    <row r="94">
      <c r="X94" t="e">
        <f>IF(OR($A94="",$D94=""),"",SUM(F94:W94))</f>
      </c>
      <c r="Y94" t="e">
        <f>IF(OR($A94="",$D94=""),"",IF(INDEX('Tournament Setup'!$F:$F,MATCH($A94,'Tournament Setup'!$A:$A,0))="Net",ROUND(($E94-_xlfn.MINIFS($E$2:$E$401,$A$2:$A$401,$A94,$B$2:$B$401,$B94))*INDEX('Tournament Setup'!$G:$G,MATCH($A94,'Tournament Setup'!$A:$A,0))/100,0),0))</f>
      </c>
      <c r="Z94" t="e">
        <f>IF(OR(OR($A94="",$D94=""),F94=""),"",F94-(INT($Y94/18)+IF(INDEX('Tournament Setup'!$AD:$AD,MATCH($A94,'Tournament Setup'!$A:$A,0))&lt;=MOD($Y94,18),1,0)))</f>
      </c>
      <c r="AA94" t="e">
        <f>IF(OR(OR($A94="",$D94=""),G94=""),"",G94-(INT($Y94/18)+IF(INDEX('Tournament Setup'!$AE:$AE,MATCH($A94,'Tournament Setup'!$A:$A,0))&lt;=MOD($Y94,18),1,0)))</f>
      </c>
      <c r="AB94" t="e">
        <f>IF(OR(OR($A94="",$D94=""),H94=""),"",H94-(INT($Y94/18)+IF(INDEX('Tournament Setup'!$AF:$AF,MATCH($A94,'Tournament Setup'!$A:$A,0))&lt;=MOD($Y94,18),1,0)))</f>
      </c>
      <c r="AC94" t="e">
        <f>IF(OR(OR($A94="",$D94=""),I94=""),"",I94-(INT($Y94/18)+IF(INDEX('Tournament Setup'!$AG:$AG,MATCH($A94,'Tournament Setup'!$A:$A,0))&lt;=MOD($Y94,18),1,0)))</f>
      </c>
      <c r="AD94" t="e">
        <f>IF(OR(OR($A94="",$D94=""),J94=""),"",J94-(INT($Y94/18)+IF(INDEX('Tournament Setup'!$AH:$AH,MATCH($A94,'Tournament Setup'!$A:$A,0))&lt;=MOD($Y94,18),1,0)))</f>
      </c>
      <c r="AE94" t="e">
        <f>IF(OR(OR($A94="",$D94=""),K94=""),"",K94-(INT($Y94/18)+IF(INDEX('Tournament Setup'!$AI:$AI,MATCH($A94,'Tournament Setup'!$A:$A,0))&lt;=MOD($Y94,18),1,0)))</f>
      </c>
      <c r="AF94" t="e">
        <f>IF(OR(OR($A94="",$D94=""),L94=""),"",L94-(INT($Y94/18)+IF(INDEX('Tournament Setup'!$AJ:$AJ,MATCH($A94,'Tournament Setup'!$A:$A,0))&lt;=MOD($Y94,18),1,0)))</f>
      </c>
      <c r="AG94" t="e">
        <f>IF(OR(OR($A94="",$D94=""),M94=""),"",M94-(INT($Y94/18)+IF(INDEX('Tournament Setup'!$AK:$AK,MATCH($A94,'Tournament Setup'!$A:$A,0))&lt;=MOD($Y94,18),1,0)))</f>
      </c>
      <c r="AH94" t="e">
        <f>IF(OR(OR($A94="",$D94=""),N94=""),"",N94-(INT($Y94/18)+IF(INDEX('Tournament Setup'!$AL:$AL,MATCH($A94,'Tournament Setup'!$A:$A,0))&lt;=MOD($Y94,18),1,0)))</f>
      </c>
      <c r="AI94" t="e">
        <f>IF(OR(OR($A94="",$D94=""),O94=""),"",O94-(INT($Y94/18)+IF(INDEX('Tournament Setup'!$AM:$AM,MATCH($A94,'Tournament Setup'!$A:$A,0))&lt;=MOD($Y94,18),1,0)))</f>
      </c>
      <c r="AJ94" t="e">
        <f>IF(OR(OR($A94="",$D94=""),P94=""),"",P94-(INT($Y94/18)+IF(INDEX('Tournament Setup'!$AN:$AN,MATCH($A94,'Tournament Setup'!$A:$A,0))&lt;=MOD($Y94,18),1,0)))</f>
      </c>
      <c r="AK94" t="e">
        <f>IF(OR(OR($A94="",$D94=""),Q94=""),"",Q94-(INT($Y94/18)+IF(INDEX('Tournament Setup'!$AO:$AO,MATCH($A94,'Tournament Setup'!$A:$A,0))&lt;=MOD($Y94,18),1,0)))</f>
      </c>
      <c r="AL94" t="e">
        <f>IF(OR(OR($A94="",$D94=""),R94=""),"",R94-(INT($Y94/18)+IF(INDEX('Tournament Setup'!$AP:$AP,MATCH($A94,'Tournament Setup'!$A:$A,0))&lt;=MOD($Y94,18),1,0)))</f>
      </c>
      <c r="AM94" t="e">
        <f>IF(OR(OR($A94="",$D94=""),S94=""),"",S94-(INT($Y94/18)+IF(INDEX('Tournament Setup'!$AQ:$AQ,MATCH($A94,'Tournament Setup'!$A:$A,0))&lt;=MOD($Y94,18),1,0)))</f>
      </c>
      <c r="AN94" t="e">
        <f>IF(OR(OR($A94="",$D94=""),T94=""),"",T94-(INT($Y94/18)+IF(INDEX('Tournament Setup'!$AR:$AR,MATCH($A94,'Tournament Setup'!$A:$A,0))&lt;=MOD($Y94,18),1,0)))</f>
      </c>
      <c r="AO94" t="e">
        <f>IF(OR(OR($A94="",$D94=""),U94=""),"",U94-(INT($Y94/18)+IF(INDEX('Tournament Setup'!$AS:$AS,MATCH($A94,'Tournament Setup'!$A:$A,0))&lt;=MOD($Y94,18),1,0)))</f>
      </c>
      <c r="AP94" t="e">
        <f>IF(OR(OR($A94="",$D94=""),V94=""),"",V94-(INT($Y94/18)+IF(INDEX('Tournament Setup'!$AT:$AT,MATCH($A94,'Tournament Setup'!$A:$A,0))&lt;=MOD($Y94,18),1,0)))</f>
      </c>
      <c r="AQ94" t="e">
        <f>IF(OR(OR($A94="",$D94=""),W94=""),"",W94-(INT($Y94/18)+IF(INDEX('Tournament Setup'!$AU:$AU,MATCH($A94,'Tournament Setup'!$A:$A,0))&lt;=MOD($Y94,18),1,0)))</f>
      </c>
    </row>
    <row r="95">
      <c r="X95" t="e">
        <f>IF(OR($A95="",$D95=""),"",SUM(F95:W95))</f>
      </c>
      <c r="Y95" t="e">
        <f>IF(OR($A95="",$D95=""),"",IF(INDEX('Tournament Setup'!$F:$F,MATCH($A95,'Tournament Setup'!$A:$A,0))="Net",ROUND(($E95-_xlfn.MINIFS($E$2:$E$401,$A$2:$A$401,$A95,$B$2:$B$401,$B95))*INDEX('Tournament Setup'!$G:$G,MATCH($A95,'Tournament Setup'!$A:$A,0))/100,0),0))</f>
      </c>
      <c r="Z95" t="e">
        <f>IF(OR(OR($A95="",$D95=""),F95=""),"",F95-(INT($Y95/18)+IF(INDEX('Tournament Setup'!$AD:$AD,MATCH($A95,'Tournament Setup'!$A:$A,0))&lt;=MOD($Y95,18),1,0)))</f>
      </c>
      <c r="AA95" t="e">
        <f>IF(OR(OR($A95="",$D95=""),G95=""),"",G95-(INT($Y95/18)+IF(INDEX('Tournament Setup'!$AE:$AE,MATCH($A95,'Tournament Setup'!$A:$A,0))&lt;=MOD($Y95,18),1,0)))</f>
      </c>
      <c r="AB95" t="e">
        <f>IF(OR(OR($A95="",$D95=""),H95=""),"",H95-(INT($Y95/18)+IF(INDEX('Tournament Setup'!$AF:$AF,MATCH($A95,'Tournament Setup'!$A:$A,0))&lt;=MOD($Y95,18),1,0)))</f>
      </c>
      <c r="AC95" t="e">
        <f>IF(OR(OR($A95="",$D95=""),I95=""),"",I95-(INT($Y95/18)+IF(INDEX('Tournament Setup'!$AG:$AG,MATCH($A95,'Tournament Setup'!$A:$A,0))&lt;=MOD($Y95,18),1,0)))</f>
      </c>
      <c r="AD95" t="e">
        <f>IF(OR(OR($A95="",$D95=""),J95=""),"",J95-(INT($Y95/18)+IF(INDEX('Tournament Setup'!$AH:$AH,MATCH($A95,'Tournament Setup'!$A:$A,0))&lt;=MOD($Y95,18),1,0)))</f>
      </c>
      <c r="AE95" t="e">
        <f>IF(OR(OR($A95="",$D95=""),K95=""),"",K95-(INT($Y95/18)+IF(INDEX('Tournament Setup'!$AI:$AI,MATCH($A95,'Tournament Setup'!$A:$A,0))&lt;=MOD($Y95,18),1,0)))</f>
      </c>
      <c r="AF95" t="e">
        <f>IF(OR(OR($A95="",$D95=""),L95=""),"",L95-(INT($Y95/18)+IF(INDEX('Tournament Setup'!$AJ:$AJ,MATCH($A95,'Tournament Setup'!$A:$A,0))&lt;=MOD($Y95,18),1,0)))</f>
      </c>
      <c r="AG95" t="e">
        <f>IF(OR(OR($A95="",$D95=""),M95=""),"",M95-(INT($Y95/18)+IF(INDEX('Tournament Setup'!$AK:$AK,MATCH($A95,'Tournament Setup'!$A:$A,0))&lt;=MOD($Y95,18),1,0)))</f>
      </c>
      <c r="AH95" t="e">
        <f>IF(OR(OR($A95="",$D95=""),N95=""),"",N95-(INT($Y95/18)+IF(INDEX('Tournament Setup'!$AL:$AL,MATCH($A95,'Tournament Setup'!$A:$A,0))&lt;=MOD($Y95,18),1,0)))</f>
      </c>
      <c r="AI95" t="e">
        <f>IF(OR(OR($A95="",$D95=""),O95=""),"",O95-(INT($Y95/18)+IF(INDEX('Tournament Setup'!$AM:$AM,MATCH($A95,'Tournament Setup'!$A:$A,0))&lt;=MOD($Y95,18),1,0)))</f>
      </c>
      <c r="AJ95" t="e">
        <f>IF(OR(OR($A95="",$D95=""),P95=""),"",P95-(INT($Y95/18)+IF(INDEX('Tournament Setup'!$AN:$AN,MATCH($A95,'Tournament Setup'!$A:$A,0))&lt;=MOD($Y95,18),1,0)))</f>
      </c>
      <c r="AK95" t="e">
        <f>IF(OR(OR($A95="",$D95=""),Q95=""),"",Q95-(INT($Y95/18)+IF(INDEX('Tournament Setup'!$AO:$AO,MATCH($A95,'Tournament Setup'!$A:$A,0))&lt;=MOD($Y95,18),1,0)))</f>
      </c>
      <c r="AL95" t="e">
        <f>IF(OR(OR($A95="",$D95=""),R95=""),"",R95-(INT($Y95/18)+IF(INDEX('Tournament Setup'!$AP:$AP,MATCH($A95,'Tournament Setup'!$A:$A,0))&lt;=MOD($Y95,18),1,0)))</f>
      </c>
      <c r="AM95" t="e">
        <f>IF(OR(OR($A95="",$D95=""),S95=""),"",S95-(INT($Y95/18)+IF(INDEX('Tournament Setup'!$AQ:$AQ,MATCH($A95,'Tournament Setup'!$A:$A,0))&lt;=MOD($Y95,18),1,0)))</f>
      </c>
      <c r="AN95" t="e">
        <f>IF(OR(OR($A95="",$D95=""),T95=""),"",T95-(INT($Y95/18)+IF(INDEX('Tournament Setup'!$AR:$AR,MATCH($A95,'Tournament Setup'!$A:$A,0))&lt;=MOD($Y95,18),1,0)))</f>
      </c>
      <c r="AO95" t="e">
        <f>IF(OR(OR($A95="",$D95=""),U95=""),"",U95-(INT($Y95/18)+IF(INDEX('Tournament Setup'!$AS:$AS,MATCH($A95,'Tournament Setup'!$A:$A,0))&lt;=MOD($Y95,18),1,0)))</f>
      </c>
      <c r="AP95" t="e">
        <f>IF(OR(OR($A95="",$D95=""),V95=""),"",V95-(INT($Y95/18)+IF(INDEX('Tournament Setup'!$AT:$AT,MATCH($A95,'Tournament Setup'!$A:$A,0))&lt;=MOD($Y95,18),1,0)))</f>
      </c>
      <c r="AQ95" t="e">
        <f>IF(OR(OR($A95="",$D95=""),W95=""),"",W95-(INT($Y95/18)+IF(INDEX('Tournament Setup'!$AU:$AU,MATCH($A95,'Tournament Setup'!$A:$A,0))&lt;=MOD($Y95,18),1,0)))</f>
      </c>
    </row>
    <row r="96">
      <c r="X96" t="e">
        <f>IF(OR($A96="",$D96=""),"",SUM(F96:W96))</f>
      </c>
      <c r="Y96" t="e">
        <f>IF(OR($A96="",$D96=""),"",IF(INDEX('Tournament Setup'!$F:$F,MATCH($A96,'Tournament Setup'!$A:$A,0))="Net",ROUND(($E96-_xlfn.MINIFS($E$2:$E$401,$A$2:$A$401,$A96,$B$2:$B$401,$B96))*INDEX('Tournament Setup'!$G:$G,MATCH($A96,'Tournament Setup'!$A:$A,0))/100,0),0))</f>
      </c>
      <c r="Z96" t="e">
        <f>IF(OR(OR($A96="",$D96=""),F96=""),"",F96-(INT($Y96/18)+IF(INDEX('Tournament Setup'!$AD:$AD,MATCH($A96,'Tournament Setup'!$A:$A,0))&lt;=MOD($Y96,18),1,0)))</f>
      </c>
      <c r="AA96" t="e">
        <f>IF(OR(OR($A96="",$D96=""),G96=""),"",G96-(INT($Y96/18)+IF(INDEX('Tournament Setup'!$AE:$AE,MATCH($A96,'Tournament Setup'!$A:$A,0))&lt;=MOD($Y96,18),1,0)))</f>
      </c>
      <c r="AB96" t="e">
        <f>IF(OR(OR($A96="",$D96=""),H96=""),"",H96-(INT($Y96/18)+IF(INDEX('Tournament Setup'!$AF:$AF,MATCH($A96,'Tournament Setup'!$A:$A,0))&lt;=MOD($Y96,18),1,0)))</f>
      </c>
      <c r="AC96" t="e">
        <f>IF(OR(OR($A96="",$D96=""),I96=""),"",I96-(INT($Y96/18)+IF(INDEX('Tournament Setup'!$AG:$AG,MATCH($A96,'Tournament Setup'!$A:$A,0))&lt;=MOD($Y96,18),1,0)))</f>
      </c>
      <c r="AD96" t="e">
        <f>IF(OR(OR($A96="",$D96=""),J96=""),"",J96-(INT($Y96/18)+IF(INDEX('Tournament Setup'!$AH:$AH,MATCH($A96,'Tournament Setup'!$A:$A,0))&lt;=MOD($Y96,18),1,0)))</f>
      </c>
      <c r="AE96" t="e">
        <f>IF(OR(OR($A96="",$D96=""),K96=""),"",K96-(INT($Y96/18)+IF(INDEX('Tournament Setup'!$AI:$AI,MATCH($A96,'Tournament Setup'!$A:$A,0))&lt;=MOD($Y96,18),1,0)))</f>
      </c>
      <c r="AF96" t="e">
        <f>IF(OR(OR($A96="",$D96=""),L96=""),"",L96-(INT($Y96/18)+IF(INDEX('Tournament Setup'!$AJ:$AJ,MATCH($A96,'Tournament Setup'!$A:$A,0))&lt;=MOD($Y96,18),1,0)))</f>
      </c>
      <c r="AG96" t="e">
        <f>IF(OR(OR($A96="",$D96=""),M96=""),"",M96-(INT($Y96/18)+IF(INDEX('Tournament Setup'!$AK:$AK,MATCH($A96,'Tournament Setup'!$A:$A,0))&lt;=MOD($Y96,18),1,0)))</f>
      </c>
      <c r="AH96" t="e">
        <f>IF(OR(OR($A96="",$D96=""),N96=""),"",N96-(INT($Y96/18)+IF(INDEX('Tournament Setup'!$AL:$AL,MATCH($A96,'Tournament Setup'!$A:$A,0))&lt;=MOD($Y96,18),1,0)))</f>
      </c>
      <c r="AI96" t="e">
        <f>IF(OR(OR($A96="",$D96=""),O96=""),"",O96-(INT($Y96/18)+IF(INDEX('Tournament Setup'!$AM:$AM,MATCH($A96,'Tournament Setup'!$A:$A,0))&lt;=MOD($Y96,18),1,0)))</f>
      </c>
      <c r="AJ96" t="e">
        <f>IF(OR(OR($A96="",$D96=""),P96=""),"",P96-(INT($Y96/18)+IF(INDEX('Tournament Setup'!$AN:$AN,MATCH($A96,'Tournament Setup'!$A:$A,0))&lt;=MOD($Y96,18),1,0)))</f>
      </c>
      <c r="AK96" t="e">
        <f>IF(OR(OR($A96="",$D96=""),Q96=""),"",Q96-(INT($Y96/18)+IF(INDEX('Tournament Setup'!$AO:$AO,MATCH($A96,'Tournament Setup'!$A:$A,0))&lt;=MOD($Y96,18),1,0)))</f>
      </c>
      <c r="AL96" t="e">
        <f>IF(OR(OR($A96="",$D96=""),R96=""),"",R96-(INT($Y96/18)+IF(INDEX('Tournament Setup'!$AP:$AP,MATCH($A96,'Tournament Setup'!$A:$A,0))&lt;=MOD($Y96,18),1,0)))</f>
      </c>
      <c r="AM96" t="e">
        <f>IF(OR(OR($A96="",$D96=""),S96=""),"",S96-(INT($Y96/18)+IF(INDEX('Tournament Setup'!$AQ:$AQ,MATCH($A96,'Tournament Setup'!$A:$A,0))&lt;=MOD($Y96,18),1,0)))</f>
      </c>
      <c r="AN96" t="e">
        <f>IF(OR(OR($A96="",$D96=""),T96=""),"",T96-(INT($Y96/18)+IF(INDEX('Tournament Setup'!$AR:$AR,MATCH($A96,'Tournament Setup'!$A:$A,0))&lt;=MOD($Y96,18),1,0)))</f>
      </c>
      <c r="AO96" t="e">
        <f>IF(OR(OR($A96="",$D96=""),U96=""),"",U96-(INT($Y96/18)+IF(INDEX('Tournament Setup'!$AS:$AS,MATCH($A96,'Tournament Setup'!$A:$A,0))&lt;=MOD($Y96,18),1,0)))</f>
      </c>
      <c r="AP96" t="e">
        <f>IF(OR(OR($A96="",$D96=""),V96=""),"",V96-(INT($Y96/18)+IF(INDEX('Tournament Setup'!$AT:$AT,MATCH($A96,'Tournament Setup'!$A:$A,0))&lt;=MOD($Y96,18),1,0)))</f>
      </c>
      <c r="AQ96" t="e">
        <f>IF(OR(OR($A96="",$D96=""),W96=""),"",W96-(INT($Y96/18)+IF(INDEX('Tournament Setup'!$AU:$AU,MATCH($A96,'Tournament Setup'!$A:$A,0))&lt;=MOD($Y96,18),1,0)))</f>
      </c>
    </row>
    <row r="97">
      <c r="X97" t="e">
        <f>IF(OR($A97="",$D97=""),"",SUM(F97:W97))</f>
      </c>
      <c r="Y97" t="e">
        <f>IF(OR($A97="",$D97=""),"",IF(INDEX('Tournament Setup'!$F:$F,MATCH($A97,'Tournament Setup'!$A:$A,0))="Net",ROUND(($E97-_xlfn.MINIFS($E$2:$E$401,$A$2:$A$401,$A97,$B$2:$B$401,$B97))*INDEX('Tournament Setup'!$G:$G,MATCH($A97,'Tournament Setup'!$A:$A,0))/100,0),0))</f>
      </c>
      <c r="Z97" t="e">
        <f>IF(OR(OR($A97="",$D97=""),F97=""),"",F97-(INT($Y97/18)+IF(INDEX('Tournament Setup'!$AD:$AD,MATCH($A97,'Tournament Setup'!$A:$A,0))&lt;=MOD($Y97,18),1,0)))</f>
      </c>
      <c r="AA97" t="e">
        <f>IF(OR(OR($A97="",$D97=""),G97=""),"",G97-(INT($Y97/18)+IF(INDEX('Tournament Setup'!$AE:$AE,MATCH($A97,'Tournament Setup'!$A:$A,0))&lt;=MOD($Y97,18),1,0)))</f>
      </c>
      <c r="AB97" t="e">
        <f>IF(OR(OR($A97="",$D97=""),H97=""),"",H97-(INT($Y97/18)+IF(INDEX('Tournament Setup'!$AF:$AF,MATCH($A97,'Tournament Setup'!$A:$A,0))&lt;=MOD($Y97,18),1,0)))</f>
      </c>
      <c r="AC97" t="e">
        <f>IF(OR(OR($A97="",$D97=""),I97=""),"",I97-(INT($Y97/18)+IF(INDEX('Tournament Setup'!$AG:$AG,MATCH($A97,'Tournament Setup'!$A:$A,0))&lt;=MOD($Y97,18),1,0)))</f>
      </c>
      <c r="AD97" t="e">
        <f>IF(OR(OR($A97="",$D97=""),J97=""),"",J97-(INT($Y97/18)+IF(INDEX('Tournament Setup'!$AH:$AH,MATCH($A97,'Tournament Setup'!$A:$A,0))&lt;=MOD($Y97,18),1,0)))</f>
      </c>
      <c r="AE97" t="e">
        <f>IF(OR(OR($A97="",$D97=""),K97=""),"",K97-(INT($Y97/18)+IF(INDEX('Tournament Setup'!$AI:$AI,MATCH($A97,'Tournament Setup'!$A:$A,0))&lt;=MOD($Y97,18),1,0)))</f>
      </c>
      <c r="AF97" t="e">
        <f>IF(OR(OR($A97="",$D97=""),L97=""),"",L97-(INT($Y97/18)+IF(INDEX('Tournament Setup'!$AJ:$AJ,MATCH($A97,'Tournament Setup'!$A:$A,0))&lt;=MOD($Y97,18),1,0)))</f>
      </c>
      <c r="AG97" t="e">
        <f>IF(OR(OR($A97="",$D97=""),M97=""),"",M97-(INT($Y97/18)+IF(INDEX('Tournament Setup'!$AK:$AK,MATCH($A97,'Tournament Setup'!$A:$A,0))&lt;=MOD($Y97,18),1,0)))</f>
      </c>
      <c r="AH97" t="e">
        <f>IF(OR(OR($A97="",$D97=""),N97=""),"",N97-(INT($Y97/18)+IF(INDEX('Tournament Setup'!$AL:$AL,MATCH($A97,'Tournament Setup'!$A:$A,0))&lt;=MOD($Y97,18),1,0)))</f>
      </c>
      <c r="AI97" t="e">
        <f>IF(OR(OR($A97="",$D97=""),O97=""),"",O97-(INT($Y97/18)+IF(INDEX('Tournament Setup'!$AM:$AM,MATCH($A97,'Tournament Setup'!$A:$A,0))&lt;=MOD($Y97,18),1,0)))</f>
      </c>
      <c r="AJ97" t="e">
        <f>IF(OR(OR($A97="",$D97=""),P97=""),"",P97-(INT($Y97/18)+IF(INDEX('Tournament Setup'!$AN:$AN,MATCH($A97,'Tournament Setup'!$A:$A,0))&lt;=MOD($Y97,18),1,0)))</f>
      </c>
      <c r="AK97" t="e">
        <f>IF(OR(OR($A97="",$D97=""),Q97=""),"",Q97-(INT($Y97/18)+IF(INDEX('Tournament Setup'!$AO:$AO,MATCH($A97,'Tournament Setup'!$A:$A,0))&lt;=MOD($Y97,18),1,0)))</f>
      </c>
      <c r="AL97" t="e">
        <f>IF(OR(OR($A97="",$D97=""),R97=""),"",R97-(INT($Y97/18)+IF(INDEX('Tournament Setup'!$AP:$AP,MATCH($A97,'Tournament Setup'!$A:$A,0))&lt;=MOD($Y97,18),1,0)))</f>
      </c>
      <c r="AM97" t="e">
        <f>IF(OR(OR($A97="",$D97=""),S97=""),"",S97-(INT($Y97/18)+IF(INDEX('Tournament Setup'!$AQ:$AQ,MATCH($A97,'Tournament Setup'!$A:$A,0))&lt;=MOD($Y97,18),1,0)))</f>
      </c>
      <c r="AN97" t="e">
        <f>IF(OR(OR($A97="",$D97=""),T97=""),"",T97-(INT($Y97/18)+IF(INDEX('Tournament Setup'!$AR:$AR,MATCH($A97,'Tournament Setup'!$A:$A,0))&lt;=MOD($Y97,18),1,0)))</f>
      </c>
      <c r="AO97" t="e">
        <f>IF(OR(OR($A97="",$D97=""),U97=""),"",U97-(INT($Y97/18)+IF(INDEX('Tournament Setup'!$AS:$AS,MATCH($A97,'Tournament Setup'!$A:$A,0))&lt;=MOD($Y97,18),1,0)))</f>
      </c>
      <c r="AP97" t="e">
        <f>IF(OR(OR($A97="",$D97=""),V97=""),"",V97-(INT($Y97/18)+IF(INDEX('Tournament Setup'!$AT:$AT,MATCH($A97,'Tournament Setup'!$A:$A,0))&lt;=MOD($Y97,18),1,0)))</f>
      </c>
      <c r="AQ97" t="e">
        <f>IF(OR(OR($A97="",$D97=""),W97=""),"",W97-(INT($Y97/18)+IF(INDEX('Tournament Setup'!$AU:$AU,MATCH($A97,'Tournament Setup'!$A:$A,0))&lt;=MOD($Y97,18),1,0)))</f>
      </c>
    </row>
    <row r="98">
      <c r="X98" t="e">
        <f>IF(OR($A98="",$D98=""),"",SUM(F98:W98))</f>
      </c>
      <c r="Y98" t="e">
        <f>IF(OR($A98="",$D98=""),"",IF(INDEX('Tournament Setup'!$F:$F,MATCH($A98,'Tournament Setup'!$A:$A,0))="Net",ROUND(($E98-_xlfn.MINIFS($E$2:$E$401,$A$2:$A$401,$A98,$B$2:$B$401,$B98))*INDEX('Tournament Setup'!$G:$G,MATCH($A98,'Tournament Setup'!$A:$A,0))/100,0),0))</f>
      </c>
      <c r="Z98" t="e">
        <f>IF(OR(OR($A98="",$D98=""),F98=""),"",F98-(INT($Y98/18)+IF(INDEX('Tournament Setup'!$AD:$AD,MATCH($A98,'Tournament Setup'!$A:$A,0))&lt;=MOD($Y98,18),1,0)))</f>
      </c>
      <c r="AA98" t="e">
        <f>IF(OR(OR($A98="",$D98=""),G98=""),"",G98-(INT($Y98/18)+IF(INDEX('Tournament Setup'!$AE:$AE,MATCH($A98,'Tournament Setup'!$A:$A,0))&lt;=MOD($Y98,18),1,0)))</f>
      </c>
      <c r="AB98" t="e">
        <f>IF(OR(OR($A98="",$D98=""),H98=""),"",H98-(INT($Y98/18)+IF(INDEX('Tournament Setup'!$AF:$AF,MATCH($A98,'Tournament Setup'!$A:$A,0))&lt;=MOD($Y98,18),1,0)))</f>
      </c>
      <c r="AC98" t="e">
        <f>IF(OR(OR($A98="",$D98=""),I98=""),"",I98-(INT($Y98/18)+IF(INDEX('Tournament Setup'!$AG:$AG,MATCH($A98,'Tournament Setup'!$A:$A,0))&lt;=MOD($Y98,18),1,0)))</f>
      </c>
      <c r="AD98" t="e">
        <f>IF(OR(OR($A98="",$D98=""),J98=""),"",J98-(INT($Y98/18)+IF(INDEX('Tournament Setup'!$AH:$AH,MATCH($A98,'Tournament Setup'!$A:$A,0))&lt;=MOD($Y98,18),1,0)))</f>
      </c>
      <c r="AE98" t="e">
        <f>IF(OR(OR($A98="",$D98=""),K98=""),"",K98-(INT($Y98/18)+IF(INDEX('Tournament Setup'!$AI:$AI,MATCH($A98,'Tournament Setup'!$A:$A,0))&lt;=MOD($Y98,18),1,0)))</f>
      </c>
      <c r="AF98" t="e">
        <f>IF(OR(OR($A98="",$D98=""),L98=""),"",L98-(INT($Y98/18)+IF(INDEX('Tournament Setup'!$AJ:$AJ,MATCH($A98,'Tournament Setup'!$A:$A,0))&lt;=MOD($Y98,18),1,0)))</f>
      </c>
      <c r="AG98" t="e">
        <f>IF(OR(OR($A98="",$D98=""),M98=""),"",M98-(INT($Y98/18)+IF(INDEX('Tournament Setup'!$AK:$AK,MATCH($A98,'Tournament Setup'!$A:$A,0))&lt;=MOD($Y98,18),1,0)))</f>
      </c>
      <c r="AH98" t="e">
        <f>IF(OR(OR($A98="",$D98=""),N98=""),"",N98-(INT($Y98/18)+IF(INDEX('Tournament Setup'!$AL:$AL,MATCH($A98,'Tournament Setup'!$A:$A,0))&lt;=MOD($Y98,18),1,0)))</f>
      </c>
      <c r="AI98" t="e">
        <f>IF(OR(OR($A98="",$D98=""),O98=""),"",O98-(INT($Y98/18)+IF(INDEX('Tournament Setup'!$AM:$AM,MATCH($A98,'Tournament Setup'!$A:$A,0))&lt;=MOD($Y98,18),1,0)))</f>
      </c>
      <c r="AJ98" t="e">
        <f>IF(OR(OR($A98="",$D98=""),P98=""),"",P98-(INT($Y98/18)+IF(INDEX('Tournament Setup'!$AN:$AN,MATCH($A98,'Tournament Setup'!$A:$A,0))&lt;=MOD($Y98,18),1,0)))</f>
      </c>
      <c r="AK98" t="e">
        <f>IF(OR(OR($A98="",$D98=""),Q98=""),"",Q98-(INT($Y98/18)+IF(INDEX('Tournament Setup'!$AO:$AO,MATCH($A98,'Tournament Setup'!$A:$A,0))&lt;=MOD($Y98,18),1,0)))</f>
      </c>
      <c r="AL98" t="e">
        <f>IF(OR(OR($A98="",$D98=""),R98=""),"",R98-(INT($Y98/18)+IF(INDEX('Tournament Setup'!$AP:$AP,MATCH($A98,'Tournament Setup'!$A:$A,0))&lt;=MOD($Y98,18),1,0)))</f>
      </c>
      <c r="AM98" t="e">
        <f>IF(OR(OR($A98="",$D98=""),S98=""),"",S98-(INT($Y98/18)+IF(INDEX('Tournament Setup'!$AQ:$AQ,MATCH($A98,'Tournament Setup'!$A:$A,0))&lt;=MOD($Y98,18),1,0)))</f>
      </c>
      <c r="AN98" t="e">
        <f>IF(OR(OR($A98="",$D98=""),T98=""),"",T98-(INT($Y98/18)+IF(INDEX('Tournament Setup'!$AR:$AR,MATCH($A98,'Tournament Setup'!$A:$A,0))&lt;=MOD($Y98,18),1,0)))</f>
      </c>
      <c r="AO98" t="e">
        <f>IF(OR(OR($A98="",$D98=""),U98=""),"",U98-(INT($Y98/18)+IF(INDEX('Tournament Setup'!$AS:$AS,MATCH($A98,'Tournament Setup'!$A:$A,0))&lt;=MOD($Y98,18),1,0)))</f>
      </c>
      <c r="AP98" t="e">
        <f>IF(OR(OR($A98="",$D98=""),V98=""),"",V98-(INT($Y98/18)+IF(INDEX('Tournament Setup'!$AT:$AT,MATCH($A98,'Tournament Setup'!$A:$A,0))&lt;=MOD($Y98,18),1,0)))</f>
      </c>
      <c r="AQ98" t="e">
        <f>IF(OR(OR($A98="",$D98=""),W98=""),"",W98-(INT($Y98/18)+IF(INDEX('Tournament Setup'!$AU:$AU,MATCH($A98,'Tournament Setup'!$A:$A,0))&lt;=MOD($Y98,18),1,0)))</f>
      </c>
    </row>
    <row r="99">
      <c r="X99" t="e">
        <f>IF(OR($A99="",$D99=""),"",SUM(F99:W99))</f>
      </c>
      <c r="Y99" t="e">
        <f>IF(OR($A99="",$D99=""),"",IF(INDEX('Tournament Setup'!$F:$F,MATCH($A99,'Tournament Setup'!$A:$A,0))="Net",ROUND(($E99-_xlfn.MINIFS($E$2:$E$401,$A$2:$A$401,$A99,$B$2:$B$401,$B99))*INDEX('Tournament Setup'!$G:$G,MATCH($A99,'Tournament Setup'!$A:$A,0))/100,0),0))</f>
      </c>
      <c r="Z99" t="e">
        <f>IF(OR(OR($A99="",$D99=""),F99=""),"",F99-(INT($Y99/18)+IF(INDEX('Tournament Setup'!$AD:$AD,MATCH($A99,'Tournament Setup'!$A:$A,0))&lt;=MOD($Y99,18),1,0)))</f>
      </c>
      <c r="AA99" t="e">
        <f>IF(OR(OR($A99="",$D99=""),G99=""),"",G99-(INT($Y99/18)+IF(INDEX('Tournament Setup'!$AE:$AE,MATCH($A99,'Tournament Setup'!$A:$A,0))&lt;=MOD($Y99,18),1,0)))</f>
      </c>
      <c r="AB99" t="e">
        <f>IF(OR(OR($A99="",$D99=""),H99=""),"",H99-(INT($Y99/18)+IF(INDEX('Tournament Setup'!$AF:$AF,MATCH($A99,'Tournament Setup'!$A:$A,0))&lt;=MOD($Y99,18),1,0)))</f>
      </c>
      <c r="AC99" t="e">
        <f>IF(OR(OR($A99="",$D99=""),I99=""),"",I99-(INT($Y99/18)+IF(INDEX('Tournament Setup'!$AG:$AG,MATCH($A99,'Tournament Setup'!$A:$A,0))&lt;=MOD($Y99,18),1,0)))</f>
      </c>
      <c r="AD99" t="e">
        <f>IF(OR(OR($A99="",$D99=""),J99=""),"",J99-(INT($Y99/18)+IF(INDEX('Tournament Setup'!$AH:$AH,MATCH($A99,'Tournament Setup'!$A:$A,0))&lt;=MOD($Y99,18),1,0)))</f>
      </c>
      <c r="AE99" t="e">
        <f>IF(OR(OR($A99="",$D99=""),K99=""),"",K99-(INT($Y99/18)+IF(INDEX('Tournament Setup'!$AI:$AI,MATCH($A99,'Tournament Setup'!$A:$A,0))&lt;=MOD($Y99,18),1,0)))</f>
      </c>
      <c r="AF99" t="e">
        <f>IF(OR(OR($A99="",$D99=""),L99=""),"",L99-(INT($Y99/18)+IF(INDEX('Tournament Setup'!$AJ:$AJ,MATCH($A99,'Tournament Setup'!$A:$A,0))&lt;=MOD($Y99,18),1,0)))</f>
      </c>
      <c r="AG99" t="e">
        <f>IF(OR(OR($A99="",$D99=""),M99=""),"",M99-(INT($Y99/18)+IF(INDEX('Tournament Setup'!$AK:$AK,MATCH($A99,'Tournament Setup'!$A:$A,0))&lt;=MOD($Y99,18),1,0)))</f>
      </c>
      <c r="AH99" t="e">
        <f>IF(OR(OR($A99="",$D99=""),N99=""),"",N99-(INT($Y99/18)+IF(INDEX('Tournament Setup'!$AL:$AL,MATCH($A99,'Tournament Setup'!$A:$A,0))&lt;=MOD($Y99,18),1,0)))</f>
      </c>
      <c r="AI99" t="e">
        <f>IF(OR(OR($A99="",$D99=""),O99=""),"",O99-(INT($Y99/18)+IF(INDEX('Tournament Setup'!$AM:$AM,MATCH($A99,'Tournament Setup'!$A:$A,0))&lt;=MOD($Y99,18),1,0)))</f>
      </c>
      <c r="AJ99" t="e">
        <f>IF(OR(OR($A99="",$D99=""),P99=""),"",P99-(INT($Y99/18)+IF(INDEX('Tournament Setup'!$AN:$AN,MATCH($A99,'Tournament Setup'!$A:$A,0))&lt;=MOD($Y99,18),1,0)))</f>
      </c>
      <c r="AK99" t="e">
        <f>IF(OR(OR($A99="",$D99=""),Q99=""),"",Q99-(INT($Y99/18)+IF(INDEX('Tournament Setup'!$AO:$AO,MATCH($A99,'Tournament Setup'!$A:$A,0))&lt;=MOD($Y99,18),1,0)))</f>
      </c>
      <c r="AL99" t="e">
        <f>IF(OR(OR($A99="",$D99=""),R99=""),"",R99-(INT($Y99/18)+IF(INDEX('Tournament Setup'!$AP:$AP,MATCH($A99,'Tournament Setup'!$A:$A,0))&lt;=MOD($Y99,18),1,0)))</f>
      </c>
      <c r="AM99" t="e">
        <f>IF(OR(OR($A99="",$D99=""),S99=""),"",S99-(INT($Y99/18)+IF(INDEX('Tournament Setup'!$AQ:$AQ,MATCH($A99,'Tournament Setup'!$A:$A,0))&lt;=MOD($Y99,18),1,0)))</f>
      </c>
      <c r="AN99" t="e">
        <f>IF(OR(OR($A99="",$D99=""),T99=""),"",T99-(INT($Y99/18)+IF(INDEX('Tournament Setup'!$AR:$AR,MATCH($A99,'Tournament Setup'!$A:$A,0))&lt;=MOD($Y99,18),1,0)))</f>
      </c>
      <c r="AO99" t="e">
        <f>IF(OR(OR($A99="",$D99=""),U99=""),"",U99-(INT($Y99/18)+IF(INDEX('Tournament Setup'!$AS:$AS,MATCH($A99,'Tournament Setup'!$A:$A,0))&lt;=MOD($Y99,18),1,0)))</f>
      </c>
      <c r="AP99" t="e">
        <f>IF(OR(OR($A99="",$D99=""),V99=""),"",V99-(INT($Y99/18)+IF(INDEX('Tournament Setup'!$AT:$AT,MATCH($A99,'Tournament Setup'!$A:$A,0))&lt;=MOD($Y99,18),1,0)))</f>
      </c>
      <c r="AQ99" t="e">
        <f>IF(OR(OR($A99="",$D99=""),W99=""),"",W99-(INT($Y99/18)+IF(INDEX('Tournament Setup'!$AU:$AU,MATCH($A99,'Tournament Setup'!$A:$A,0))&lt;=MOD($Y99,18),1,0)))</f>
      </c>
    </row>
    <row r="100">
      <c r="X100" t="e">
        <f>IF(OR($A100="",$D100=""),"",SUM(F100:W100))</f>
      </c>
      <c r="Y100" t="e">
        <f>IF(OR($A100="",$D100=""),"",IF(INDEX('Tournament Setup'!$F:$F,MATCH($A100,'Tournament Setup'!$A:$A,0))="Net",ROUND(($E100-_xlfn.MINIFS($E$2:$E$401,$A$2:$A$401,$A100,$B$2:$B$401,$B100))*INDEX('Tournament Setup'!$G:$G,MATCH($A100,'Tournament Setup'!$A:$A,0))/100,0),0))</f>
      </c>
      <c r="Z100" t="e">
        <f>IF(OR(OR($A100="",$D100=""),F100=""),"",F100-(INT($Y100/18)+IF(INDEX('Tournament Setup'!$AD:$AD,MATCH($A100,'Tournament Setup'!$A:$A,0))&lt;=MOD($Y100,18),1,0)))</f>
      </c>
      <c r="AA100" t="e">
        <f>IF(OR(OR($A100="",$D100=""),G100=""),"",G100-(INT($Y100/18)+IF(INDEX('Tournament Setup'!$AE:$AE,MATCH($A100,'Tournament Setup'!$A:$A,0))&lt;=MOD($Y100,18),1,0)))</f>
      </c>
      <c r="AB100" t="e">
        <f>IF(OR(OR($A100="",$D100=""),H100=""),"",H100-(INT($Y100/18)+IF(INDEX('Tournament Setup'!$AF:$AF,MATCH($A100,'Tournament Setup'!$A:$A,0))&lt;=MOD($Y100,18),1,0)))</f>
      </c>
      <c r="AC100" t="e">
        <f>IF(OR(OR($A100="",$D100=""),I100=""),"",I100-(INT($Y100/18)+IF(INDEX('Tournament Setup'!$AG:$AG,MATCH($A100,'Tournament Setup'!$A:$A,0))&lt;=MOD($Y100,18),1,0)))</f>
      </c>
      <c r="AD100" t="e">
        <f>IF(OR(OR($A100="",$D100=""),J100=""),"",J100-(INT($Y100/18)+IF(INDEX('Tournament Setup'!$AH:$AH,MATCH($A100,'Tournament Setup'!$A:$A,0))&lt;=MOD($Y100,18),1,0)))</f>
      </c>
      <c r="AE100" t="e">
        <f>IF(OR(OR($A100="",$D100=""),K100=""),"",K100-(INT($Y100/18)+IF(INDEX('Tournament Setup'!$AI:$AI,MATCH($A100,'Tournament Setup'!$A:$A,0))&lt;=MOD($Y100,18),1,0)))</f>
      </c>
      <c r="AF100" t="e">
        <f>IF(OR(OR($A100="",$D100=""),L100=""),"",L100-(INT($Y100/18)+IF(INDEX('Tournament Setup'!$AJ:$AJ,MATCH($A100,'Tournament Setup'!$A:$A,0))&lt;=MOD($Y100,18),1,0)))</f>
      </c>
      <c r="AG100" t="e">
        <f>IF(OR(OR($A100="",$D100=""),M100=""),"",M100-(INT($Y100/18)+IF(INDEX('Tournament Setup'!$AK:$AK,MATCH($A100,'Tournament Setup'!$A:$A,0))&lt;=MOD($Y100,18),1,0)))</f>
      </c>
      <c r="AH100" t="e">
        <f>IF(OR(OR($A100="",$D100=""),N100=""),"",N100-(INT($Y100/18)+IF(INDEX('Tournament Setup'!$AL:$AL,MATCH($A100,'Tournament Setup'!$A:$A,0))&lt;=MOD($Y100,18),1,0)))</f>
      </c>
      <c r="AI100" t="e">
        <f>IF(OR(OR($A100="",$D100=""),O100=""),"",O100-(INT($Y100/18)+IF(INDEX('Tournament Setup'!$AM:$AM,MATCH($A100,'Tournament Setup'!$A:$A,0))&lt;=MOD($Y100,18),1,0)))</f>
      </c>
      <c r="AJ100" t="e">
        <f>IF(OR(OR($A100="",$D100=""),P100=""),"",P100-(INT($Y100/18)+IF(INDEX('Tournament Setup'!$AN:$AN,MATCH($A100,'Tournament Setup'!$A:$A,0))&lt;=MOD($Y100,18),1,0)))</f>
      </c>
      <c r="AK100" t="e">
        <f>IF(OR(OR($A100="",$D100=""),Q100=""),"",Q100-(INT($Y100/18)+IF(INDEX('Tournament Setup'!$AO:$AO,MATCH($A100,'Tournament Setup'!$A:$A,0))&lt;=MOD($Y100,18),1,0)))</f>
      </c>
      <c r="AL100" t="e">
        <f>IF(OR(OR($A100="",$D100=""),R100=""),"",R100-(INT($Y100/18)+IF(INDEX('Tournament Setup'!$AP:$AP,MATCH($A100,'Tournament Setup'!$A:$A,0))&lt;=MOD($Y100,18),1,0)))</f>
      </c>
      <c r="AM100" t="e">
        <f>IF(OR(OR($A100="",$D100=""),S100=""),"",S100-(INT($Y100/18)+IF(INDEX('Tournament Setup'!$AQ:$AQ,MATCH($A100,'Tournament Setup'!$A:$A,0))&lt;=MOD($Y100,18),1,0)))</f>
      </c>
      <c r="AN100" t="e">
        <f>IF(OR(OR($A100="",$D100=""),T100=""),"",T100-(INT($Y100/18)+IF(INDEX('Tournament Setup'!$AR:$AR,MATCH($A100,'Tournament Setup'!$A:$A,0))&lt;=MOD($Y100,18),1,0)))</f>
      </c>
      <c r="AO100" t="e">
        <f>IF(OR(OR($A100="",$D100=""),U100=""),"",U100-(INT($Y100/18)+IF(INDEX('Tournament Setup'!$AS:$AS,MATCH($A100,'Tournament Setup'!$A:$A,0))&lt;=MOD($Y100,18),1,0)))</f>
      </c>
      <c r="AP100" t="e">
        <f>IF(OR(OR($A100="",$D100=""),V100=""),"",V100-(INT($Y100/18)+IF(INDEX('Tournament Setup'!$AT:$AT,MATCH($A100,'Tournament Setup'!$A:$A,0))&lt;=MOD($Y100,18),1,0)))</f>
      </c>
      <c r="AQ100" t="e">
        <f>IF(OR(OR($A100="",$D100=""),W100=""),"",W100-(INT($Y100/18)+IF(INDEX('Tournament Setup'!$AU:$AU,MATCH($A100,'Tournament Setup'!$A:$A,0))&lt;=MOD($Y100,18),1,0)))</f>
      </c>
    </row>
    <row r="101">
      <c r="X101" t="e">
        <f>IF(OR($A101="",$D101=""),"",SUM(F101:W101))</f>
      </c>
      <c r="Y101" t="e">
        <f>IF(OR($A101="",$D101=""),"",IF(INDEX('Tournament Setup'!$F:$F,MATCH($A101,'Tournament Setup'!$A:$A,0))="Net",ROUND(($E101-_xlfn.MINIFS($E$2:$E$401,$A$2:$A$401,$A101,$B$2:$B$401,$B101))*INDEX('Tournament Setup'!$G:$G,MATCH($A101,'Tournament Setup'!$A:$A,0))/100,0),0))</f>
      </c>
      <c r="Z101" t="e">
        <f>IF(OR(OR($A101="",$D101=""),F101=""),"",F101-(INT($Y101/18)+IF(INDEX('Tournament Setup'!$AD:$AD,MATCH($A101,'Tournament Setup'!$A:$A,0))&lt;=MOD($Y101,18),1,0)))</f>
      </c>
      <c r="AA101" t="e">
        <f>IF(OR(OR($A101="",$D101=""),G101=""),"",G101-(INT($Y101/18)+IF(INDEX('Tournament Setup'!$AE:$AE,MATCH($A101,'Tournament Setup'!$A:$A,0))&lt;=MOD($Y101,18),1,0)))</f>
      </c>
      <c r="AB101" t="e">
        <f>IF(OR(OR($A101="",$D101=""),H101=""),"",H101-(INT($Y101/18)+IF(INDEX('Tournament Setup'!$AF:$AF,MATCH($A101,'Tournament Setup'!$A:$A,0))&lt;=MOD($Y101,18),1,0)))</f>
      </c>
      <c r="AC101" t="e">
        <f>IF(OR(OR($A101="",$D101=""),I101=""),"",I101-(INT($Y101/18)+IF(INDEX('Tournament Setup'!$AG:$AG,MATCH($A101,'Tournament Setup'!$A:$A,0))&lt;=MOD($Y101,18),1,0)))</f>
      </c>
      <c r="AD101" t="e">
        <f>IF(OR(OR($A101="",$D101=""),J101=""),"",J101-(INT($Y101/18)+IF(INDEX('Tournament Setup'!$AH:$AH,MATCH($A101,'Tournament Setup'!$A:$A,0))&lt;=MOD($Y101,18),1,0)))</f>
      </c>
      <c r="AE101" t="e">
        <f>IF(OR(OR($A101="",$D101=""),K101=""),"",K101-(INT($Y101/18)+IF(INDEX('Tournament Setup'!$AI:$AI,MATCH($A101,'Tournament Setup'!$A:$A,0))&lt;=MOD($Y101,18),1,0)))</f>
      </c>
      <c r="AF101" t="e">
        <f>IF(OR(OR($A101="",$D101=""),L101=""),"",L101-(INT($Y101/18)+IF(INDEX('Tournament Setup'!$AJ:$AJ,MATCH($A101,'Tournament Setup'!$A:$A,0))&lt;=MOD($Y101,18),1,0)))</f>
      </c>
      <c r="AG101" t="e">
        <f>IF(OR(OR($A101="",$D101=""),M101=""),"",M101-(INT($Y101/18)+IF(INDEX('Tournament Setup'!$AK:$AK,MATCH($A101,'Tournament Setup'!$A:$A,0))&lt;=MOD($Y101,18),1,0)))</f>
      </c>
      <c r="AH101" t="e">
        <f>IF(OR(OR($A101="",$D101=""),N101=""),"",N101-(INT($Y101/18)+IF(INDEX('Tournament Setup'!$AL:$AL,MATCH($A101,'Tournament Setup'!$A:$A,0))&lt;=MOD($Y101,18),1,0)))</f>
      </c>
      <c r="AI101" t="e">
        <f>IF(OR(OR($A101="",$D101=""),O101=""),"",O101-(INT($Y101/18)+IF(INDEX('Tournament Setup'!$AM:$AM,MATCH($A101,'Tournament Setup'!$A:$A,0))&lt;=MOD($Y101,18),1,0)))</f>
      </c>
      <c r="AJ101" t="e">
        <f>IF(OR(OR($A101="",$D101=""),P101=""),"",P101-(INT($Y101/18)+IF(INDEX('Tournament Setup'!$AN:$AN,MATCH($A101,'Tournament Setup'!$A:$A,0))&lt;=MOD($Y101,18),1,0)))</f>
      </c>
      <c r="AK101" t="e">
        <f>IF(OR(OR($A101="",$D101=""),Q101=""),"",Q101-(INT($Y101/18)+IF(INDEX('Tournament Setup'!$AO:$AO,MATCH($A101,'Tournament Setup'!$A:$A,0))&lt;=MOD($Y101,18),1,0)))</f>
      </c>
      <c r="AL101" t="e">
        <f>IF(OR(OR($A101="",$D101=""),R101=""),"",R101-(INT($Y101/18)+IF(INDEX('Tournament Setup'!$AP:$AP,MATCH($A101,'Tournament Setup'!$A:$A,0))&lt;=MOD($Y101,18),1,0)))</f>
      </c>
      <c r="AM101" t="e">
        <f>IF(OR(OR($A101="",$D101=""),S101=""),"",S101-(INT($Y101/18)+IF(INDEX('Tournament Setup'!$AQ:$AQ,MATCH($A101,'Tournament Setup'!$A:$A,0))&lt;=MOD($Y101,18),1,0)))</f>
      </c>
      <c r="AN101" t="e">
        <f>IF(OR(OR($A101="",$D101=""),T101=""),"",T101-(INT($Y101/18)+IF(INDEX('Tournament Setup'!$AR:$AR,MATCH($A101,'Tournament Setup'!$A:$A,0))&lt;=MOD($Y101,18),1,0)))</f>
      </c>
      <c r="AO101" t="e">
        <f>IF(OR(OR($A101="",$D101=""),U101=""),"",U101-(INT($Y101/18)+IF(INDEX('Tournament Setup'!$AS:$AS,MATCH($A101,'Tournament Setup'!$A:$A,0))&lt;=MOD($Y101,18),1,0)))</f>
      </c>
      <c r="AP101" t="e">
        <f>IF(OR(OR($A101="",$D101=""),V101=""),"",V101-(INT($Y101/18)+IF(INDEX('Tournament Setup'!$AT:$AT,MATCH($A101,'Tournament Setup'!$A:$A,0))&lt;=MOD($Y101,18),1,0)))</f>
      </c>
      <c r="AQ101" t="e">
        <f>IF(OR(OR($A101="",$D101=""),W101=""),"",W101-(INT($Y101/18)+IF(INDEX('Tournament Setup'!$AU:$AU,MATCH($A101,'Tournament Setup'!$A:$A,0))&lt;=MOD($Y101,18),1,0)))</f>
      </c>
    </row>
    <row r="102">
      <c r="X102" t="e">
        <f>IF(OR($A102="",$D102=""),"",SUM(F102:W102))</f>
      </c>
      <c r="Y102" t="e">
        <f>IF(OR($A102="",$D102=""),"",IF(INDEX('Tournament Setup'!$F:$F,MATCH($A102,'Tournament Setup'!$A:$A,0))="Net",ROUND(($E102-_xlfn.MINIFS($E$2:$E$401,$A$2:$A$401,$A102,$B$2:$B$401,$B102))*INDEX('Tournament Setup'!$G:$G,MATCH($A102,'Tournament Setup'!$A:$A,0))/100,0),0))</f>
      </c>
      <c r="Z102" t="e">
        <f>IF(OR(OR($A102="",$D102=""),F102=""),"",F102-(INT($Y102/18)+IF(INDEX('Tournament Setup'!$AD:$AD,MATCH($A102,'Tournament Setup'!$A:$A,0))&lt;=MOD($Y102,18),1,0)))</f>
      </c>
      <c r="AA102" t="e">
        <f>IF(OR(OR($A102="",$D102=""),G102=""),"",G102-(INT($Y102/18)+IF(INDEX('Tournament Setup'!$AE:$AE,MATCH($A102,'Tournament Setup'!$A:$A,0))&lt;=MOD($Y102,18),1,0)))</f>
      </c>
      <c r="AB102" t="e">
        <f>IF(OR(OR($A102="",$D102=""),H102=""),"",H102-(INT($Y102/18)+IF(INDEX('Tournament Setup'!$AF:$AF,MATCH($A102,'Tournament Setup'!$A:$A,0))&lt;=MOD($Y102,18),1,0)))</f>
      </c>
      <c r="AC102" t="e">
        <f>IF(OR(OR($A102="",$D102=""),I102=""),"",I102-(INT($Y102/18)+IF(INDEX('Tournament Setup'!$AG:$AG,MATCH($A102,'Tournament Setup'!$A:$A,0))&lt;=MOD($Y102,18),1,0)))</f>
      </c>
      <c r="AD102" t="e">
        <f>IF(OR(OR($A102="",$D102=""),J102=""),"",J102-(INT($Y102/18)+IF(INDEX('Tournament Setup'!$AH:$AH,MATCH($A102,'Tournament Setup'!$A:$A,0))&lt;=MOD($Y102,18),1,0)))</f>
      </c>
      <c r="AE102" t="e">
        <f>IF(OR(OR($A102="",$D102=""),K102=""),"",K102-(INT($Y102/18)+IF(INDEX('Tournament Setup'!$AI:$AI,MATCH($A102,'Tournament Setup'!$A:$A,0))&lt;=MOD($Y102,18),1,0)))</f>
      </c>
      <c r="AF102" t="e">
        <f>IF(OR(OR($A102="",$D102=""),L102=""),"",L102-(INT($Y102/18)+IF(INDEX('Tournament Setup'!$AJ:$AJ,MATCH($A102,'Tournament Setup'!$A:$A,0))&lt;=MOD($Y102,18),1,0)))</f>
      </c>
      <c r="AG102" t="e">
        <f>IF(OR(OR($A102="",$D102=""),M102=""),"",M102-(INT($Y102/18)+IF(INDEX('Tournament Setup'!$AK:$AK,MATCH($A102,'Tournament Setup'!$A:$A,0))&lt;=MOD($Y102,18),1,0)))</f>
      </c>
      <c r="AH102" t="e">
        <f>IF(OR(OR($A102="",$D102=""),N102=""),"",N102-(INT($Y102/18)+IF(INDEX('Tournament Setup'!$AL:$AL,MATCH($A102,'Tournament Setup'!$A:$A,0))&lt;=MOD($Y102,18),1,0)))</f>
      </c>
      <c r="AI102" t="e">
        <f>IF(OR(OR($A102="",$D102=""),O102=""),"",O102-(INT($Y102/18)+IF(INDEX('Tournament Setup'!$AM:$AM,MATCH($A102,'Tournament Setup'!$A:$A,0))&lt;=MOD($Y102,18),1,0)))</f>
      </c>
      <c r="AJ102" t="e">
        <f>IF(OR(OR($A102="",$D102=""),P102=""),"",P102-(INT($Y102/18)+IF(INDEX('Tournament Setup'!$AN:$AN,MATCH($A102,'Tournament Setup'!$A:$A,0))&lt;=MOD($Y102,18),1,0)))</f>
      </c>
      <c r="AK102" t="e">
        <f>IF(OR(OR($A102="",$D102=""),Q102=""),"",Q102-(INT($Y102/18)+IF(INDEX('Tournament Setup'!$AO:$AO,MATCH($A102,'Tournament Setup'!$A:$A,0))&lt;=MOD($Y102,18),1,0)))</f>
      </c>
      <c r="AL102" t="e">
        <f>IF(OR(OR($A102="",$D102=""),R102=""),"",R102-(INT($Y102/18)+IF(INDEX('Tournament Setup'!$AP:$AP,MATCH($A102,'Tournament Setup'!$A:$A,0))&lt;=MOD($Y102,18),1,0)))</f>
      </c>
      <c r="AM102" t="e">
        <f>IF(OR(OR($A102="",$D102=""),S102=""),"",S102-(INT($Y102/18)+IF(INDEX('Tournament Setup'!$AQ:$AQ,MATCH($A102,'Tournament Setup'!$A:$A,0))&lt;=MOD($Y102,18),1,0)))</f>
      </c>
      <c r="AN102" t="e">
        <f>IF(OR(OR($A102="",$D102=""),T102=""),"",T102-(INT($Y102/18)+IF(INDEX('Tournament Setup'!$AR:$AR,MATCH($A102,'Tournament Setup'!$A:$A,0))&lt;=MOD($Y102,18),1,0)))</f>
      </c>
      <c r="AO102" t="e">
        <f>IF(OR(OR($A102="",$D102=""),U102=""),"",U102-(INT($Y102/18)+IF(INDEX('Tournament Setup'!$AS:$AS,MATCH($A102,'Tournament Setup'!$A:$A,0))&lt;=MOD($Y102,18),1,0)))</f>
      </c>
      <c r="AP102" t="e">
        <f>IF(OR(OR($A102="",$D102=""),V102=""),"",V102-(INT($Y102/18)+IF(INDEX('Tournament Setup'!$AT:$AT,MATCH($A102,'Tournament Setup'!$A:$A,0))&lt;=MOD($Y102,18),1,0)))</f>
      </c>
      <c r="AQ102" t="e">
        <f>IF(OR(OR($A102="",$D102=""),W102=""),"",W102-(INT($Y102/18)+IF(INDEX('Tournament Setup'!$AU:$AU,MATCH($A102,'Tournament Setup'!$A:$A,0))&lt;=MOD($Y102,18),1,0)))</f>
      </c>
    </row>
    <row r="103">
      <c r="X103" t="e">
        <f>IF(OR($A103="",$D103=""),"",SUM(F103:W103))</f>
      </c>
      <c r="Y103" t="e">
        <f>IF(OR($A103="",$D103=""),"",IF(INDEX('Tournament Setup'!$F:$F,MATCH($A103,'Tournament Setup'!$A:$A,0))="Net",ROUND(($E103-_xlfn.MINIFS($E$2:$E$401,$A$2:$A$401,$A103,$B$2:$B$401,$B103))*INDEX('Tournament Setup'!$G:$G,MATCH($A103,'Tournament Setup'!$A:$A,0))/100,0),0))</f>
      </c>
      <c r="Z103" t="e">
        <f>IF(OR(OR($A103="",$D103=""),F103=""),"",F103-(INT($Y103/18)+IF(INDEX('Tournament Setup'!$AD:$AD,MATCH($A103,'Tournament Setup'!$A:$A,0))&lt;=MOD($Y103,18),1,0)))</f>
      </c>
      <c r="AA103" t="e">
        <f>IF(OR(OR($A103="",$D103=""),G103=""),"",G103-(INT($Y103/18)+IF(INDEX('Tournament Setup'!$AE:$AE,MATCH($A103,'Tournament Setup'!$A:$A,0))&lt;=MOD($Y103,18),1,0)))</f>
      </c>
      <c r="AB103" t="e">
        <f>IF(OR(OR($A103="",$D103=""),H103=""),"",H103-(INT($Y103/18)+IF(INDEX('Tournament Setup'!$AF:$AF,MATCH($A103,'Tournament Setup'!$A:$A,0))&lt;=MOD($Y103,18),1,0)))</f>
      </c>
      <c r="AC103" t="e">
        <f>IF(OR(OR($A103="",$D103=""),I103=""),"",I103-(INT($Y103/18)+IF(INDEX('Tournament Setup'!$AG:$AG,MATCH($A103,'Tournament Setup'!$A:$A,0))&lt;=MOD($Y103,18),1,0)))</f>
      </c>
      <c r="AD103" t="e">
        <f>IF(OR(OR($A103="",$D103=""),J103=""),"",J103-(INT($Y103/18)+IF(INDEX('Tournament Setup'!$AH:$AH,MATCH($A103,'Tournament Setup'!$A:$A,0))&lt;=MOD($Y103,18),1,0)))</f>
      </c>
      <c r="AE103" t="e">
        <f>IF(OR(OR($A103="",$D103=""),K103=""),"",K103-(INT($Y103/18)+IF(INDEX('Tournament Setup'!$AI:$AI,MATCH($A103,'Tournament Setup'!$A:$A,0))&lt;=MOD($Y103,18),1,0)))</f>
      </c>
      <c r="AF103" t="e">
        <f>IF(OR(OR($A103="",$D103=""),L103=""),"",L103-(INT($Y103/18)+IF(INDEX('Tournament Setup'!$AJ:$AJ,MATCH($A103,'Tournament Setup'!$A:$A,0))&lt;=MOD($Y103,18),1,0)))</f>
      </c>
      <c r="AG103" t="e">
        <f>IF(OR(OR($A103="",$D103=""),M103=""),"",M103-(INT($Y103/18)+IF(INDEX('Tournament Setup'!$AK:$AK,MATCH($A103,'Tournament Setup'!$A:$A,0))&lt;=MOD($Y103,18),1,0)))</f>
      </c>
      <c r="AH103" t="e">
        <f>IF(OR(OR($A103="",$D103=""),N103=""),"",N103-(INT($Y103/18)+IF(INDEX('Tournament Setup'!$AL:$AL,MATCH($A103,'Tournament Setup'!$A:$A,0))&lt;=MOD($Y103,18),1,0)))</f>
      </c>
      <c r="AI103" t="e">
        <f>IF(OR(OR($A103="",$D103=""),O103=""),"",O103-(INT($Y103/18)+IF(INDEX('Tournament Setup'!$AM:$AM,MATCH($A103,'Tournament Setup'!$A:$A,0))&lt;=MOD($Y103,18),1,0)))</f>
      </c>
      <c r="AJ103" t="e">
        <f>IF(OR(OR($A103="",$D103=""),P103=""),"",P103-(INT($Y103/18)+IF(INDEX('Tournament Setup'!$AN:$AN,MATCH($A103,'Tournament Setup'!$A:$A,0))&lt;=MOD($Y103,18),1,0)))</f>
      </c>
      <c r="AK103" t="e">
        <f>IF(OR(OR($A103="",$D103=""),Q103=""),"",Q103-(INT($Y103/18)+IF(INDEX('Tournament Setup'!$AO:$AO,MATCH($A103,'Tournament Setup'!$A:$A,0))&lt;=MOD($Y103,18),1,0)))</f>
      </c>
      <c r="AL103" t="e">
        <f>IF(OR(OR($A103="",$D103=""),R103=""),"",R103-(INT($Y103/18)+IF(INDEX('Tournament Setup'!$AP:$AP,MATCH($A103,'Tournament Setup'!$A:$A,0))&lt;=MOD($Y103,18),1,0)))</f>
      </c>
      <c r="AM103" t="e">
        <f>IF(OR(OR($A103="",$D103=""),S103=""),"",S103-(INT($Y103/18)+IF(INDEX('Tournament Setup'!$AQ:$AQ,MATCH($A103,'Tournament Setup'!$A:$A,0))&lt;=MOD($Y103,18),1,0)))</f>
      </c>
      <c r="AN103" t="e">
        <f>IF(OR(OR($A103="",$D103=""),T103=""),"",T103-(INT($Y103/18)+IF(INDEX('Tournament Setup'!$AR:$AR,MATCH($A103,'Tournament Setup'!$A:$A,0))&lt;=MOD($Y103,18),1,0)))</f>
      </c>
      <c r="AO103" t="e">
        <f>IF(OR(OR($A103="",$D103=""),U103=""),"",U103-(INT($Y103/18)+IF(INDEX('Tournament Setup'!$AS:$AS,MATCH($A103,'Tournament Setup'!$A:$A,0))&lt;=MOD($Y103,18),1,0)))</f>
      </c>
      <c r="AP103" t="e">
        <f>IF(OR(OR($A103="",$D103=""),V103=""),"",V103-(INT($Y103/18)+IF(INDEX('Tournament Setup'!$AT:$AT,MATCH($A103,'Tournament Setup'!$A:$A,0))&lt;=MOD($Y103,18),1,0)))</f>
      </c>
      <c r="AQ103" t="e">
        <f>IF(OR(OR($A103="",$D103=""),W103=""),"",W103-(INT($Y103/18)+IF(INDEX('Tournament Setup'!$AU:$AU,MATCH($A103,'Tournament Setup'!$A:$A,0))&lt;=MOD($Y103,18),1,0)))</f>
      </c>
    </row>
    <row r="104">
      <c r="X104" t="e">
        <f>IF(OR($A104="",$D104=""),"",SUM(F104:W104))</f>
      </c>
      <c r="Y104" t="e">
        <f>IF(OR($A104="",$D104=""),"",IF(INDEX('Tournament Setup'!$F:$F,MATCH($A104,'Tournament Setup'!$A:$A,0))="Net",ROUND(($E104-_xlfn.MINIFS($E$2:$E$401,$A$2:$A$401,$A104,$B$2:$B$401,$B104))*INDEX('Tournament Setup'!$G:$G,MATCH($A104,'Tournament Setup'!$A:$A,0))/100,0),0))</f>
      </c>
      <c r="Z104" t="e">
        <f>IF(OR(OR($A104="",$D104=""),F104=""),"",F104-(INT($Y104/18)+IF(INDEX('Tournament Setup'!$AD:$AD,MATCH($A104,'Tournament Setup'!$A:$A,0))&lt;=MOD($Y104,18),1,0)))</f>
      </c>
      <c r="AA104" t="e">
        <f>IF(OR(OR($A104="",$D104=""),G104=""),"",G104-(INT($Y104/18)+IF(INDEX('Tournament Setup'!$AE:$AE,MATCH($A104,'Tournament Setup'!$A:$A,0))&lt;=MOD($Y104,18),1,0)))</f>
      </c>
      <c r="AB104" t="e">
        <f>IF(OR(OR($A104="",$D104=""),H104=""),"",H104-(INT($Y104/18)+IF(INDEX('Tournament Setup'!$AF:$AF,MATCH($A104,'Tournament Setup'!$A:$A,0))&lt;=MOD($Y104,18),1,0)))</f>
      </c>
      <c r="AC104" t="e">
        <f>IF(OR(OR($A104="",$D104=""),I104=""),"",I104-(INT($Y104/18)+IF(INDEX('Tournament Setup'!$AG:$AG,MATCH($A104,'Tournament Setup'!$A:$A,0))&lt;=MOD($Y104,18),1,0)))</f>
      </c>
      <c r="AD104" t="e">
        <f>IF(OR(OR($A104="",$D104=""),J104=""),"",J104-(INT($Y104/18)+IF(INDEX('Tournament Setup'!$AH:$AH,MATCH($A104,'Tournament Setup'!$A:$A,0))&lt;=MOD($Y104,18),1,0)))</f>
      </c>
      <c r="AE104" t="e">
        <f>IF(OR(OR($A104="",$D104=""),K104=""),"",K104-(INT($Y104/18)+IF(INDEX('Tournament Setup'!$AI:$AI,MATCH($A104,'Tournament Setup'!$A:$A,0))&lt;=MOD($Y104,18),1,0)))</f>
      </c>
      <c r="AF104" t="e">
        <f>IF(OR(OR($A104="",$D104=""),L104=""),"",L104-(INT($Y104/18)+IF(INDEX('Tournament Setup'!$AJ:$AJ,MATCH($A104,'Tournament Setup'!$A:$A,0))&lt;=MOD($Y104,18),1,0)))</f>
      </c>
      <c r="AG104" t="e">
        <f>IF(OR(OR($A104="",$D104=""),M104=""),"",M104-(INT($Y104/18)+IF(INDEX('Tournament Setup'!$AK:$AK,MATCH($A104,'Tournament Setup'!$A:$A,0))&lt;=MOD($Y104,18),1,0)))</f>
      </c>
      <c r="AH104" t="e">
        <f>IF(OR(OR($A104="",$D104=""),N104=""),"",N104-(INT($Y104/18)+IF(INDEX('Tournament Setup'!$AL:$AL,MATCH($A104,'Tournament Setup'!$A:$A,0))&lt;=MOD($Y104,18),1,0)))</f>
      </c>
      <c r="AI104" t="e">
        <f>IF(OR(OR($A104="",$D104=""),O104=""),"",O104-(INT($Y104/18)+IF(INDEX('Tournament Setup'!$AM:$AM,MATCH($A104,'Tournament Setup'!$A:$A,0))&lt;=MOD($Y104,18),1,0)))</f>
      </c>
      <c r="AJ104" t="e">
        <f>IF(OR(OR($A104="",$D104=""),P104=""),"",P104-(INT($Y104/18)+IF(INDEX('Tournament Setup'!$AN:$AN,MATCH($A104,'Tournament Setup'!$A:$A,0))&lt;=MOD($Y104,18),1,0)))</f>
      </c>
      <c r="AK104" t="e">
        <f>IF(OR(OR($A104="",$D104=""),Q104=""),"",Q104-(INT($Y104/18)+IF(INDEX('Tournament Setup'!$AO:$AO,MATCH($A104,'Tournament Setup'!$A:$A,0))&lt;=MOD($Y104,18),1,0)))</f>
      </c>
      <c r="AL104" t="e">
        <f>IF(OR(OR($A104="",$D104=""),R104=""),"",R104-(INT($Y104/18)+IF(INDEX('Tournament Setup'!$AP:$AP,MATCH($A104,'Tournament Setup'!$A:$A,0))&lt;=MOD($Y104,18),1,0)))</f>
      </c>
      <c r="AM104" t="e">
        <f>IF(OR(OR($A104="",$D104=""),S104=""),"",S104-(INT($Y104/18)+IF(INDEX('Tournament Setup'!$AQ:$AQ,MATCH($A104,'Tournament Setup'!$A:$A,0))&lt;=MOD($Y104,18),1,0)))</f>
      </c>
      <c r="AN104" t="e">
        <f>IF(OR(OR($A104="",$D104=""),T104=""),"",T104-(INT($Y104/18)+IF(INDEX('Tournament Setup'!$AR:$AR,MATCH($A104,'Tournament Setup'!$A:$A,0))&lt;=MOD($Y104,18),1,0)))</f>
      </c>
      <c r="AO104" t="e">
        <f>IF(OR(OR($A104="",$D104=""),U104=""),"",U104-(INT($Y104/18)+IF(INDEX('Tournament Setup'!$AS:$AS,MATCH($A104,'Tournament Setup'!$A:$A,0))&lt;=MOD($Y104,18),1,0)))</f>
      </c>
      <c r="AP104" t="e">
        <f>IF(OR(OR($A104="",$D104=""),V104=""),"",V104-(INT($Y104/18)+IF(INDEX('Tournament Setup'!$AT:$AT,MATCH($A104,'Tournament Setup'!$A:$A,0))&lt;=MOD($Y104,18),1,0)))</f>
      </c>
      <c r="AQ104" t="e">
        <f>IF(OR(OR($A104="",$D104=""),W104=""),"",W104-(INT($Y104/18)+IF(INDEX('Tournament Setup'!$AU:$AU,MATCH($A104,'Tournament Setup'!$A:$A,0))&lt;=MOD($Y104,18),1,0)))</f>
      </c>
    </row>
    <row r="105">
      <c r="X105" t="e">
        <f>IF(OR($A105="",$D105=""),"",SUM(F105:W105))</f>
      </c>
      <c r="Y105" t="e">
        <f>IF(OR($A105="",$D105=""),"",IF(INDEX('Tournament Setup'!$F:$F,MATCH($A105,'Tournament Setup'!$A:$A,0))="Net",ROUND(($E105-_xlfn.MINIFS($E$2:$E$401,$A$2:$A$401,$A105,$B$2:$B$401,$B105))*INDEX('Tournament Setup'!$G:$G,MATCH($A105,'Tournament Setup'!$A:$A,0))/100,0),0))</f>
      </c>
      <c r="Z105" t="e">
        <f>IF(OR(OR($A105="",$D105=""),F105=""),"",F105-(INT($Y105/18)+IF(INDEX('Tournament Setup'!$AD:$AD,MATCH($A105,'Tournament Setup'!$A:$A,0))&lt;=MOD($Y105,18),1,0)))</f>
      </c>
      <c r="AA105" t="e">
        <f>IF(OR(OR($A105="",$D105=""),G105=""),"",G105-(INT($Y105/18)+IF(INDEX('Tournament Setup'!$AE:$AE,MATCH($A105,'Tournament Setup'!$A:$A,0))&lt;=MOD($Y105,18),1,0)))</f>
      </c>
      <c r="AB105" t="e">
        <f>IF(OR(OR($A105="",$D105=""),H105=""),"",H105-(INT($Y105/18)+IF(INDEX('Tournament Setup'!$AF:$AF,MATCH($A105,'Tournament Setup'!$A:$A,0))&lt;=MOD($Y105,18),1,0)))</f>
      </c>
      <c r="AC105" t="e">
        <f>IF(OR(OR($A105="",$D105=""),I105=""),"",I105-(INT($Y105/18)+IF(INDEX('Tournament Setup'!$AG:$AG,MATCH($A105,'Tournament Setup'!$A:$A,0))&lt;=MOD($Y105,18),1,0)))</f>
      </c>
      <c r="AD105" t="e">
        <f>IF(OR(OR($A105="",$D105=""),J105=""),"",J105-(INT($Y105/18)+IF(INDEX('Tournament Setup'!$AH:$AH,MATCH($A105,'Tournament Setup'!$A:$A,0))&lt;=MOD($Y105,18),1,0)))</f>
      </c>
      <c r="AE105" t="e">
        <f>IF(OR(OR($A105="",$D105=""),K105=""),"",K105-(INT($Y105/18)+IF(INDEX('Tournament Setup'!$AI:$AI,MATCH($A105,'Tournament Setup'!$A:$A,0))&lt;=MOD($Y105,18),1,0)))</f>
      </c>
      <c r="AF105" t="e">
        <f>IF(OR(OR($A105="",$D105=""),L105=""),"",L105-(INT($Y105/18)+IF(INDEX('Tournament Setup'!$AJ:$AJ,MATCH($A105,'Tournament Setup'!$A:$A,0))&lt;=MOD($Y105,18),1,0)))</f>
      </c>
      <c r="AG105" t="e">
        <f>IF(OR(OR($A105="",$D105=""),M105=""),"",M105-(INT($Y105/18)+IF(INDEX('Tournament Setup'!$AK:$AK,MATCH($A105,'Tournament Setup'!$A:$A,0))&lt;=MOD($Y105,18),1,0)))</f>
      </c>
      <c r="AH105" t="e">
        <f>IF(OR(OR($A105="",$D105=""),N105=""),"",N105-(INT($Y105/18)+IF(INDEX('Tournament Setup'!$AL:$AL,MATCH($A105,'Tournament Setup'!$A:$A,0))&lt;=MOD($Y105,18),1,0)))</f>
      </c>
      <c r="AI105" t="e">
        <f>IF(OR(OR($A105="",$D105=""),O105=""),"",O105-(INT($Y105/18)+IF(INDEX('Tournament Setup'!$AM:$AM,MATCH($A105,'Tournament Setup'!$A:$A,0))&lt;=MOD($Y105,18),1,0)))</f>
      </c>
      <c r="AJ105" t="e">
        <f>IF(OR(OR($A105="",$D105=""),P105=""),"",P105-(INT($Y105/18)+IF(INDEX('Tournament Setup'!$AN:$AN,MATCH($A105,'Tournament Setup'!$A:$A,0))&lt;=MOD($Y105,18),1,0)))</f>
      </c>
      <c r="AK105" t="e">
        <f>IF(OR(OR($A105="",$D105=""),Q105=""),"",Q105-(INT($Y105/18)+IF(INDEX('Tournament Setup'!$AO:$AO,MATCH($A105,'Tournament Setup'!$A:$A,0))&lt;=MOD($Y105,18),1,0)))</f>
      </c>
      <c r="AL105" t="e">
        <f>IF(OR(OR($A105="",$D105=""),R105=""),"",R105-(INT($Y105/18)+IF(INDEX('Tournament Setup'!$AP:$AP,MATCH($A105,'Tournament Setup'!$A:$A,0))&lt;=MOD($Y105,18),1,0)))</f>
      </c>
      <c r="AM105" t="e">
        <f>IF(OR(OR($A105="",$D105=""),S105=""),"",S105-(INT($Y105/18)+IF(INDEX('Tournament Setup'!$AQ:$AQ,MATCH($A105,'Tournament Setup'!$A:$A,0))&lt;=MOD($Y105,18),1,0)))</f>
      </c>
      <c r="AN105" t="e">
        <f>IF(OR(OR($A105="",$D105=""),T105=""),"",T105-(INT($Y105/18)+IF(INDEX('Tournament Setup'!$AR:$AR,MATCH($A105,'Tournament Setup'!$A:$A,0))&lt;=MOD($Y105,18),1,0)))</f>
      </c>
      <c r="AO105" t="e">
        <f>IF(OR(OR($A105="",$D105=""),U105=""),"",U105-(INT($Y105/18)+IF(INDEX('Tournament Setup'!$AS:$AS,MATCH($A105,'Tournament Setup'!$A:$A,0))&lt;=MOD($Y105,18),1,0)))</f>
      </c>
      <c r="AP105" t="e">
        <f>IF(OR(OR($A105="",$D105=""),V105=""),"",V105-(INT($Y105/18)+IF(INDEX('Tournament Setup'!$AT:$AT,MATCH($A105,'Tournament Setup'!$A:$A,0))&lt;=MOD($Y105,18),1,0)))</f>
      </c>
      <c r="AQ105" t="e">
        <f>IF(OR(OR($A105="",$D105=""),W105=""),"",W105-(INT($Y105/18)+IF(INDEX('Tournament Setup'!$AU:$AU,MATCH($A105,'Tournament Setup'!$A:$A,0))&lt;=MOD($Y105,18),1,0)))</f>
      </c>
    </row>
    <row r="106">
      <c r="X106" t="e">
        <f>IF(OR($A106="",$D106=""),"",SUM(F106:W106))</f>
      </c>
      <c r="Y106" t="e">
        <f>IF(OR($A106="",$D106=""),"",IF(INDEX('Tournament Setup'!$F:$F,MATCH($A106,'Tournament Setup'!$A:$A,0))="Net",ROUND(($E106-_xlfn.MINIFS($E$2:$E$401,$A$2:$A$401,$A106,$B$2:$B$401,$B106))*INDEX('Tournament Setup'!$G:$G,MATCH($A106,'Tournament Setup'!$A:$A,0))/100,0),0))</f>
      </c>
      <c r="Z106" t="e">
        <f>IF(OR(OR($A106="",$D106=""),F106=""),"",F106-(INT($Y106/18)+IF(INDEX('Tournament Setup'!$AD:$AD,MATCH($A106,'Tournament Setup'!$A:$A,0))&lt;=MOD($Y106,18),1,0)))</f>
      </c>
      <c r="AA106" t="e">
        <f>IF(OR(OR($A106="",$D106=""),G106=""),"",G106-(INT($Y106/18)+IF(INDEX('Tournament Setup'!$AE:$AE,MATCH($A106,'Tournament Setup'!$A:$A,0))&lt;=MOD($Y106,18),1,0)))</f>
      </c>
      <c r="AB106" t="e">
        <f>IF(OR(OR($A106="",$D106=""),H106=""),"",H106-(INT($Y106/18)+IF(INDEX('Tournament Setup'!$AF:$AF,MATCH($A106,'Tournament Setup'!$A:$A,0))&lt;=MOD($Y106,18),1,0)))</f>
      </c>
      <c r="AC106" t="e">
        <f>IF(OR(OR($A106="",$D106=""),I106=""),"",I106-(INT($Y106/18)+IF(INDEX('Tournament Setup'!$AG:$AG,MATCH($A106,'Tournament Setup'!$A:$A,0))&lt;=MOD($Y106,18),1,0)))</f>
      </c>
      <c r="AD106" t="e">
        <f>IF(OR(OR($A106="",$D106=""),J106=""),"",J106-(INT($Y106/18)+IF(INDEX('Tournament Setup'!$AH:$AH,MATCH($A106,'Tournament Setup'!$A:$A,0))&lt;=MOD($Y106,18),1,0)))</f>
      </c>
      <c r="AE106" t="e">
        <f>IF(OR(OR($A106="",$D106=""),K106=""),"",K106-(INT($Y106/18)+IF(INDEX('Tournament Setup'!$AI:$AI,MATCH($A106,'Tournament Setup'!$A:$A,0))&lt;=MOD($Y106,18),1,0)))</f>
      </c>
      <c r="AF106" t="e">
        <f>IF(OR(OR($A106="",$D106=""),L106=""),"",L106-(INT($Y106/18)+IF(INDEX('Tournament Setup'!$AJ:$AJ,MATCH($A106,'Tournament Setup'!$A:$A,0))&lt;=MOD($Y106,18),1,0)))</f>
      </c>
      <c r="AG106" t="e">
        <f>IF(OR(OR($A106="",$D106=""),M106=""),"",M106-(INT($Y106/18)+IF(INDEX('Tournament Setup'!$AK:$AK,MATCH($A106,'Tournament Setup'!$A:$A,0))&lt;=MOD($Y106,18),1,0)))</f>
      </c>
      <c r="AH106" t="e">
        <f>IF(OR(OR($A106="",$D106=""),N106=""),"",N106-(INT($Y106/18)+IF(INDEX('Tournament Setup'!$AL:$AL,MATCH($A106,'Tournament Setup'!$A:$A,0))&lt;=MOD($Y106,18),1,0)))</f>
      </c>
      <c r="AI106" t="e">
        <f>IF(OR(OR($A106="",$D106=""),O106=""),"",O106-(INT($Y106/18)+IF(INDEX('Tournament Setup'!$AM:$AM,MATCH($A106,'Tournament Setup'!$A:$A,0))&lt;=MOD($Y106,18),1,0)))</f>
      </c>
      <c r="AJ106" t="e">
        <f>IF(OR(OR($A106="",$D106=""),P106=""),"",P106-(INT($Y106/18)+IF(INDEX('Tournament Setup'!$AN:$AN,MATCH($A106,'Tournament Setup'!$A:$A,0))&lt;=MOD($Y106,18),1,0)))</f>
      </c>
      <c r="AK106" t="e">
        <f>IF(OR(OR($A106="",$D106=""),Q106=""),"",Q106-(INT($Y106/18)+IF(INDEX('Tournament Setup'!$AO:$AO,MATCH($A106,'Tournament Setup'!$A:$A,0))&lt;=MOD($Y106,18),1,0)))</f>
      </c>
      <c r="AL106" t="e">
        <f>IF(OR(OR($A106="",$D106=""),R106=""),"",R106-(INT($Y106/18)+IF(INDEX('Tournament Setup'!$AP:$AP,MATCH($A106,'Tournament Setup'!$A:$A,0))&lt;=MOD($Y106,18),1,0)))</f>
      </c>
      <c r="AM106" t="e">
        <f>IF(OR(OR($A106="",$D106=""),S106=""),"",S106-(INT($Y106/18)+IF(INDEX('Tournament Setup'!$AQ:$AQ,MATCH($A106,'Tournament Setup'!$A:$A,0))&lt;=MOD($Y106,18),1,0)))</f>
      </c>
      <c r="AN106" t="e">
        <f>IF(OR(OR($A106="",$D106=""),T106=""),"",T106-(INT($Y106/18)+IF(INDEX('Tournament Setup'!$AR:$AR,MATCH($A106,'Tournament Setup'!$A:$A,0))&lt;=MOD($Y106,18),1,0)))</f>
      </c>
      <c r="AO106" t="e">
        <f>IF(OR(OR($A106="",$D106=""),U106=""),"",U106-(INT($Y106/18)+IF(INDEX('Tournament Setup'!$AS:$AS,MATCH($A106,'Tournament Setup'!$A:$A,0))&lt;=MOD($Y106,18),1,0)))</f>
      </c>
      <c r="AP106" t="e">
        <f>IF(OR(OR($A106="",$D106=""),V106=""),"",V106-(INT($Y106/18)+IF(INDEX('Tournament Setup'!$AT:$AT,MATCH($A106,'Tournament Setup'!$A:$A,0))&lt;=MOD($Y106,18),1,0)))</f>
      </c>
      <c r="AQ106" t="e">
        <f>IF(OR(OR($A106="",$D106=""),W106=""),"",W106-(INT($Y106/18)+IF(INDEX('Tournament Setup'!$AU:$AU,MATCH($A106,'Tournament Setup'!$A:$A,0))&lt;=MOD($Y106,18),1,0)))</f>
      </c>
    </row>
    <row r="107">
      <c r="X107" t="e">
        <f>IF(OR($A107="",$D107=""),"",SUM(F107:W107))</f>
      </c>
      <c r="Y107" t="e">
        <f>IF(OR($A107="",$D107=""),"",IF(INDEX('Tournament Setup'!$F:$F,MATCH($A107,'Tournament Setup'!$A:$A,0))="Net",ROUND(($E107-_xlfn.MINIFS($E$2:$E$401,$A$2:$A$401,$A107,$B$2:$B$401,$B107))*INDEX('Tournament Setup'!$G:$G,MATCH($A107,'Tournament Setup'!$A:$A,0))/100,0),0))</f>
      </c>
      <c r="Z107" t="e">
        <f>IF(OR(OR($A107="",$D107=""),F107=""),"",F107-(INT($Y107/18)+IF(INDEX('Tournament Setup'!$AD:$AD,MATCH($A107,'Tournament Setup'!$A:$A,0))&lt;=MOD($Y107,18),1,0)))</f>
      </c>
      <c r="AA107" t="e">
        <f>IF(OR(OR($A107="",$D107=""),G107=""),"",G107-(INT($Y107/18)+IF(INDEX('Tournament Setup'!$AE:$AE,MATCH($A107,'Tournament Setup'!$A:$A,0))&lt;=MOD($Y107,18),1,0)))</f>
      </c>
      <c r="AB107" t="e">
        <f>IF(OR(OR($A107="",$D107=""),H107=""),"",H107-(INT($Y107/18)+IF(INDEX('Tournament Setup'!$AF:$AF,MATCH($A107,'Tournament Setup'!$A:$A,0))&lt;=MOD($Y107,18),1,0)))</f>
      </c>
      <c r="AC107" t="e">
        <f>IF(OR(OR($A107="",$D107=""),I107=""),"",I107-(INT($Y107/18)+IF(INDEX('Tournament Setup'!$AG:$AG,MATCH($A107,'Tournament Setup'!$A:$A,0))&lt;=MOD($Y107,18),1,0)))</f>
      </c>
      <c r="AD107" t="e">
        <f>IF(OR(OR($A107="",$D107=""),J107=""),"",J107-(INT($Y107/18)+IF(INDEX('Tournament Setup'!$AH:$AH,MATCH($A107,'Tournament Setup'!$A:$A,0))&lt;=MOD($Y107,18),1,0)))</f>
      </c>
      <c r="AE107" t="e">
        <f>IF(OR(OR($A107="",$D107=""),K107=""),"",K107-(INT($Y107/18)+IF(INDEX('Tournament Setup'!$AI:$AI,MATCH($A107,'Tournament Setup'!$A:$A,0))&lt;=MOD($Y107,18),1,0)))</f>
      </c>
      <c r="AF107" t="e">
        <f>IF(OR(OR($A107="",$D107=""),L107=""),"",L107-(INT($Y107/18)+IF(INDEX('Tournament Setup'!$AJ:$AJ,MATCH($A107,'Tournament Setup'!$A:$A,0))&lt;=MOD($Y107,18),1,0)))</f>
      </c>
      <c r="AG107" t="e">
        <f>IF(OR(OR($A107="",$D107=""),M107=""),"",M107-(INT($Y107/18)+IF(INDEX('Tournament Setup'!$AK:$AK,MATCH($A107,'Tournament Setup'!$A:$A,0))&lt;=MOD($Y107,18),1,0)))</f>
      </c>
      <c r="AH107" t="e">
        <f>IF(OR(OR($A107="",$D107=""),N107=""),"",N107-(INT($Y107/18)+IF(INDEX('Tournament Setup'!$AL:$AL,MATCH($A107,'Tournament Setup'!$A:$A,0))&lt;=MOD($Y107,18),1,0)))</f>
      </c>
      <c r="AI107" t="e">
        <f>IF(OR(OR($A107="",$D107=""),O107=""),"",O107-(INT($Y107/18)+IF(INDEX('Tournament Setup'!$AM:$AM,MATCH($A107,'Tournament Setup'!$A:$A,0))&lt;=MOD($Y107,18),1,0)))</f>
      </c>
      <c r="AJ107" t="e">
        <f>IF(OR(OR($A107="",$D107=""),P107=""),"",P107-(INT($Y107/18)+IF(INDEX('Tournament Setup'!$AN:$AN,MATCH($A107,'Tournament Setup'!$A:$A,0))&lt;=MOD($Y107,18),1,0)))</f>
      </c>
      <c r="AK107" t="e">
        <f>IF(OR(OR($A107="",$D107=""),Q107=""),"",Q107-(INT($Y107/18)+IF(INDEX('Tournament Setup'!$AO:$AO,MATCH($A107,'Tournament Setup'!$A:$A,0))&lt;=MOD($Y107,18),1,0)))</f>
      </c>
      <c r="AL107" t="e">
        <f>IF(OR(OR($A107="",$D107=""),R107=""),"",R107-(INT($Y107/18)+IF(INDEX('Tournament Setup'!$AP:$AP,MATCH($A107,'Tournament Setup'!$A:$A,0))&lt;=MOD($Y107,18),1,0)))</f>
      </c>
      <c r="AM107" t="e">
        <f>IF(OR(OR($A107="",$D107=""),S107=""),"",S107-(INT($Y107/18)+IF(INDEX('Tournament Setup'!$AQ:$AQ,MATCH($A107,'Tournament Setup'!$A:$A,0))&lt;=MOD($Y107,18),1,0)))</f>
      </c>
      <c r="AN107" t="e">
        <f>IF(OR(OR($A107="",$D107=""),T107=""),"",T107-(INT($Y107/18)+IF(INDEX('Tournament Setup'!$AR:$AR,MATCH($A107,'Tournament Setup'!$A:$A,0))&lt;=MOD($Y107,18),1,0)))</f>
      </c>
      <c r="AO107" t="e">
        <f>IF(OR(OR($A107="",$D107=""),U107=""),"",U107-(INT($Y107/18)+IF(INDEX('Tournament Setup'!$AS:$AS,MATCH($A107,'Tournament Setup'!$A:$A,0))&lt;=MOD($Y107,18),1,0)))</f>
      </c>
      <c r="AP107" t="e">
        <f>IF(OR(OR($A107="",$D107=""),V107=""),"",V107-(INT($Y107/18)+IF(INDEX('Tournament Setup'!$AT:$AT,MATCH($A107,'Tournament Setup'!$A:$A,0))&lt;=MOD($Y107,18),1,0)))</f>
      </c>
      <c r="AQ107" t="e">
        <f>IF(OR(OR($A107="",$D107=""),W107=""),"",W107-(INT($Y107/18)+IF(INDEX('Tournament Setup'!$AU:$AU,MATCH($A107,'Tournament Setup'!$A:$A,0))&lt;=MOD($Y107,18),1,0)))</f>
      </c>
    </row>
    <row r="108">
      <c r="X108" t="e">
        <f>IF(OR($A108="",$D108=""),"",SUM(F108:W108))</f>
      </c>
      <c r="Y108" t="e">
        <f>IF(OR($A108="",$D108=""),"",IF(INDEX('Tournament Setup'!$F:$F,MATCH($A108,'Tournament Setup'!$A:$A,0))="Net",ROUND(($E108-_xlfn.MINIFS($E$2:$E$401,$A$2:$A$401,$A108,$B$2:$B$401,$B108))*INDEX('Tournament Setup'!$G:$G,MATCH($A108,'Tournament Setup'!$A:$A,0))/100,0),0))</f>
      </c>
      <c r="Z108" t="e">
        <f>IF(OR(OR($A108="",$D108=""),F108=""),"",F108-(INT($Y108/18)+IF(INDEX('Tournament Setup'!$AD:$AD,MATCH($A108,'Tournament Setup'!$A:$A,0))&lt;=MOD($Y108,18),1,0)))</f>
      </c>
      <c r="AA108" t="e">
        <f>IF(OR(OR($A108="",$D108=""),G108=""),"",G108-(INT($Y108/18)+IF(INDEX('Tournament Setup'!$AE:$AE,MATCH($A108,'Tournament Setup'!$A:$A,0))&lt;=MOD($Y108,18),1,0)))</f>
      </c>
      <c r="AB108" t="e">
        <f>IF(OR(OR($A108="",$D108=""),H108=""),"",H108-(INT($Y108/18)+IF(INDEX('Tournament Setup'!$AF:$AF,MATCH($A108,'Tournament Setup'!$A:$A,0))&lt;=MOD($Y108,18),1,0)))</f>
      </c>
      <c r="AC108" t="e">
        <f>IF(OR(OR($A108="",$D108=""),I108=""),"",I108-(INT($Y108/18)+IF(INDEX('Tournament Setup'!$AG:$AG,MATCH($A108,'Tournament Setup'!$A:$A,0))&lt;=MOD($Y108,18),1,0)))</f>
      </c>
      <c r="AD108" t="e">
        <f>IF(OR(OR($A108="",$D108=""),J108=""),"",J108-(INT($Y108/18)+IF(INDEX('Tournament Setup'!$AH:$AH,MATCH($A108,'Tournament Setup'!$A:$A,0))&lt;=MOD($Y108,18),1,0)))</f>
      </c>
      <c r="AE108" t="e">
        <f>IF(OR(OR($A108="",$D108=""),K108=""),"",K108-(INT($Y108/18)+IF(INDEX('Tournament Setup'!$AI:$AI,MATCH($A108,'Tournament Setup'!$A:$A,0))&lt;=MOD($Y108,18),1,0)))</f>
      </c>
      <c r="AF108" t="e">
        <f>IF(OR(OR($A108="",$D108=""),L108=""),"",L108-(INT($Y108/18)+IF(INDEX('Tournament Setup'!$AJ:$AJ,MATCH($A108,'Tournament Setup'!$A:$A,0))&lt;=MOD($Y108,18),1,0)))</f>
      </c>
      <c r="AG108" t="e">
        <f>IF(OR(OR($A108="",$D108=""),M108=""),"",M108-(INT($Y108/18)+IF(INDEX('Tournament Setup'!$AK:$AK,MATCH($A108,'Tournament Setup'!$A:$A,0))&lt;=MOD($Y108,18),1,0)))</f>
      </c>
      <c r="AH108" t="e">
        <f>IF(OR(OR($A108="",$D108=""),N108=""),"",N108-(INT($Y108/18)+IF(INDEX('Tournament Setup'!$AL:$AL,MATCH($A108,'Tournament Setup'!$A:$A,0))&lt;=MOD($Y108,18),1,0)))</f>
      </c>
      <c r="AI108" t="e">
        <f>IF(OR(OR($A108="",$D108=""),O108=""),"",O108-(INT($Y108/18)+IF(INDEX('Tournament Setup'!$AM:$AM,MATCH($A108,'Tournament Setup'!$A:$A,0))&lt;=MOD($Y108,18),1,0)))</f>
      </c>
      <c r="AJ108" t="e">
        <f>IF(OR(OR($A108="",$D108=""),P108=""),"",P108-(INT($Y108/18)+IF(INDEX('Tournament Setup'!$AN:$AN,MATCH($A108,'Tournament Setup'!$A:$A,0))&lt;=MOD($Y108,18),1,0)))</f>
      </c>
      <c r="AK108" t="e">
        <f>IF(OR(OR($A108="",$D108=""),Q108=""),"",Q108-(INT($Y108/18)+IF(INDEX('Tournament Setup'!$AO:$AO,MATCH($A108,'Tournament Setup'!$A:$A,0))&lt;=MOD($Y108,18),1,0)))</f>
      </c>
      <c r="AL108" t="e">
        <f>IF(OR(OR($A108="",$D108=""),R108=""),"",R108-(INT($Y108/18)+IF(INDEX('Tournament Setup'!$AP:$AP,MATCH($A108,'Tournament Setup'!$A:$A,0))&lt;=MOD($Y108,18),1,0)))</f>
      </c>
      <c r="AM108" t="e">
        <f>IF(OR(OR($A108="",$D108=""),S108=""),"",S108-(INT($Y108/18)+IF(INDEX('Tournament Setup'!$AQ:$AQ,MATCH($A108,'Tournament Setup'!$A:$A,0))&lt;=MOD($Y108,18),1,0)))</f>
      </c>
      <c r="AN108" t="e">
        <f>IF(OR(OR($A108="",$D108=""),T108=""),"",T108-(INT($Y108/18)+IF(INDEX('Tournament Setup'!$AR:$AR,MATCH($A108,'Tournament Setup'!$A:$A,0))&lt;=MOD($Y108,18),1,0)))</f>
      </c>
      <c r="AO108" t="e">
        <f>IF(OR(OR($A108="",$D108=""),U108=""),"",U108-(INT($Y108/18)+IF(INDEX('Tournament Setup'!$AS:$AS,MATCH($A108,'Tournament Setup'!$A:$A,0))&lt;=MOD($Y108,18),1,0)))</f>
      </c>
      <c r="AP108" t="e">
        <f>IF(OR(OR($A108="",$D108=""),V108=""),"",V108-(INT($Y108/18)+IF(INDEX('Tournament Setup'!$AT:$AT,MATCH($A108,'Tournament Setup'!$A:$A,0))&lt;=MOD($Y108,18),1,0)))</f>
      </c>
      <c r="AQ108" t="e">
        <f>IF(OR(OR($A108="",$D108=""),W108=""),"",W108-(INT($Y108/18)+IF(INDEX('Tournament Setup'!$AU:$AU,MATCH($A108,'Tournament Setup'!$A:$A,0))&lt;=MOD($Y108,18),1,0)))</f>
      </c>
    </row>
    <row r="109">
      <c r="X109" t="e">
        <f>IF(OR($A109="",$D109=""),"",SUM(F109:W109))</f>
      </c>
      <c r="Y109" t="e">
        <f>IF(OR($A109="",$D109=""),"",IF(INDEX('Tournament Setup'!$F:$F,MATCH($A109,'Tournament Setup'!$A:$A,0))="Net",ROUND(($E109-_xlfn.MINIFS($E$2:$E$401,$A$2:$A$401,$A109,$B$2:$B$401,$B109))*INDEX('Tournament Setup'!$G:$G,MATCH($A109,'Tournament Setup'!$A:$A,0))/100,0),0))</f>
      </c>
      <c r="Z109" t="e">
        <f>IF(OR(OR($A109="",$D109=""),F109=""),"",F109-(INT($Y109/18)+IF(INDEX('Tournament Setup'!$AD:$AD,MATCH($A109,'Tournament Setup'!$A:$A,0))&lt;=MOD($Y109,18),1,0)))</f>
      </c>
      <c r="AA109" t="e">
        <f>IF(OR(OR($A109="",$D109=""),G109=""),"",G109-(INT($Y109/18)+IF(INDEX('Tournament Setup'!$AE:$AE,MATCH($A109,'Tournament Setup'!$A:$A,0))&lt;=MOD($Y109,18),1,0)))</f>
      </c>
      <c r="AB109" t="e">
        <f>IF(OR(OR($A109="",$D109=""),H109=""),"",H109-(INT($Y109/18)+IF(INDEX('Tournament Setup'!$AF:$AF,MATCH($A109,'Tournament Setup'!$A:$A,0))&lt;=MOD($Y109,18),1,0)))</f>
      </c>
      <c r="AC109" t="e">
        <f>IF(OR(OR($A109="",$D109=""),I109=""),"",I109-(INT($Y109/18)+IF(INDEX('Tournament Setup'!$AG:$AG,MATCH($A109,'Tournament Setup'!$A:$A,0))&lt;=MOD($Y109,18),1,0)))</f>
      </c>
      <c r="AD109" t="e">
        <f>IF(OR(OR($A109="",$D109=""),J109=""),"",J109-(INT($Y109/18)+IF(INDEX('Tournament Setup'!$AH:$AH,MATCH($A109,'Tournament Setup'!$A:$A,0))&lt;=MOD($Y109,18),1,0)))</f>
      </c>
      <c r="AE109" t="e">
        <f>IF(OR(OR($A109="",$D109=""),K109=""),"",K109-(INT($Y109/18)+IF(INDEX('Tournament Setup'!$AI:$AI,MATCH($A109,'Tournament Setup'!$A:$A,0))&lt;=MOD($Y109,18),1,0)))</f>
      </c>
      <c r="AF109" t="e">
        <f>IF(OR(OR($A109="",$D109=""),L109=""),"",L109-(INT($Y109/18)+IF(INDEX('Tournament Setup'!$AJ:$AJ,MATCH($A109,'Tournament Setup'!$A:$A,0))&lt;=MOD($Y109,18),1,0)))</f>
      </c>
      <c r="AG109" t="e">
        <f>IF(OR(OR($A109="",$D109=""),M109=""),"",M109-(INT($Y109/18)+IF(INDEX('Tournament Setup'!$AK:$AK,MATCH($A109,'Tournament Setup'!$A:$A,0))&lt;=MOD($Y109,18),1,0)))</f>
      </c>
      <c r="AH109" t="e">
        <f>IF(OR(OR($A109="",$D109=""),N109=""),"",N109-(INT($Y109/18)+IF(INDEX('Tournament Setup'!$AL:$AL,MATCH($A109,'Tournament Setup'!$A:$A,0))&lt;=MOD($Y109,18),1,0)))</f>
      </c>
      <c r="AI109" t="e">
        <f>IF(OR(OR($A109="",$D109=""),O109=""),"",O109-(INT($Y109/18)+IF(INDEX('Tournament Setup'!$AM:$AM,MATCH($A109,'Tournament Setup'!$A:$A,0))&lt;=MOD($Y109,18),1,0)))</f>
      </c>
      <c r="AJ109" t="e">
        <f>IF(OR(OR($A109="",$D109=""),P109=""),"",P109-(INT($Y109/18)+IF(INDEX('Tournament Setup'!$AN:$AN,MATCH($A109,'Tournament Setup'!$A:$A,0))&lt;=MOD($Y109,18),1,0)))</f>
      </c>
      <c r="AK109" t="e">
        <f>IF(OR(OR($A109="",$D109=""),Q109=""),"",Q109-(INT($Y109/18)+IF(INDEX('Tournament Setup'!$AO:$AO,MATCH($A109,'Tournament Setup'!$A:$A,0))&lt;=MOD($Y109,18),1,0)))</f>
      </c>
      <c r="AL109" t="e">
        <f>IF(OR(OR($A109="",$D109=""),R109=""),"",R109-(INT($Y109/18)+IF(INDEX('Tournament Setup'!$AP:$AP,MATCH($A109,'Tournament Setup'!$A:$A,0))&lt;=MOD($Y109,18),1,0)))</f>
      </c>
      <c r="AM109" t="e">
        <f>IF(OR(OR($A109="",$D109=""),S109=""),"",S109-(INT($Y109/18)+IF(INDEX('Tournament Setup'!$AQ:$AQ,MATCH($A109,'Tournament Setup'!$A:$A,0))&lt;=MOD($Y109,18),1,0)))</f>
      </c>
      <c r="AN109" t="e">
        <f>IF(OR(OR($A109="",$D109=""),T109=""),"",T109-(INT($Y109/18)+IF(INDEX('Tournament Setup'!$AR:$AR,MATCH($A109,'Tournament Setup'!$A:$A,0))&lt;=MOD($Y109,18),1,0)))</f>
      </c>
      <c r="AO109" t="e">
        <f>IF(OR(OR($A109="",$D109=""),U109=""),"",U109-(INT($Y109/18)+IF(INDEX('Tournament Setup'!$AS:$AS,MATCH($A109,'Tournament Setup'!$A:$A,0))&lt;=MOD($Y109,18),1,0)))</f>
      </c>
      <c r="AP109" t="e">
        <f>IF(OR(OR($A109="",$D109=""),V109=""),"",V109-(INT($Y109/18)+IF(INDEX('Tournament Setup'!$AT:$AT,MATCH($A109,'Tournament Setup'!$A:$A,0))&lt;=MOD($Y109,18),1,0)))</f>
      </c>
      <c r="AQ109" t="e">
        <f>IF(OR(OR($A109="",$D109=""),W109=""),"",W109-(INT($Y109/18)+IF(INDEX('Tournament Setup'!$AU:$AU,MATCH($A109,'Tournament Setup'!$A:$A,0))&lt;=MOD($Y109,18),1,0)))</f>
      </c>
    </row>
    <row r="110">
      <c r="X110" t="e">
        <f>IF(OR($A110="",$D110=""),"",SUM(F110:W110))</f>
      </c>
      <c r="Y110" t="e">
        <f>IF(OR($A110="",$D110=""),"",IF(INDEX('Tournament Setup'!$F:$F,MATCH($A110,'Tournament Setup'!$A:$A,0))="Net",ROUND(($E110-_xlfn.MINIFS($E$2:$E$401,$A$2:$A$401,$A110,$B$2:$B$401,$B110))*INDEX('Tournament Setup'!$G:$G,MATCH($A110,'Tournament Setup'!$A:$A,0))/100,0),0))</f>
      </c>
      <c r="Z110" t="e">
        <f>IF(OR(OR($A110="",$D110=""),F110=""),"",F110-(INT($Y110/18)+IF(INDEX('Tournament Setup'!$AD:$AD,MATCH($A110,'Tournament Setup'!$A:$A,0))&lt;=MOD($Y110,18),1,0)))</f>
      </c>
      <c r="AA110" t="e">
        <f>IF(OR(OR($A110="",$D110=""),G110=""),"",G110-(INT($Y110/18)+IF(INDEX('Tournament Setup'!$AE:$AE,MATCH($A110,'Tournament Setup'!$A:$A,0))&lt;=MOD($Y110,18),1,0)))</f>
      </c>
      <c r="AB110" t="e">
        <f>IF(OR(OR($A110="",$D110=""),H110=""),"",H110-(INT($Y110/18)+IF(INDEX('Tournament Setup'!$AF:$AF,MATCH($A110,'Tournament Setup'!$A:$A,0))&lt;=MOD($Y110,18),1,0)))</f>
      </c>
      <c r="AC110" t="e">
        <f>IF(OR(OR($A110="",$D110=""),I110=""),"",I110-(INT($Y110/18)+IF(INDEX('Tournament Setup'!$AG:$AG,MATCH($A110,'Tournament Setup'!$A:$A,0))&lt;=MOD($Y110,18),1,0)))</f>
      </c>
      <c r="AD110" t="e">
        <f>IF(OR(OR($A110="",$D110=""),J110=""),"",J110-(INT($Y110/18)+IF(INDEX('Tournament Setup'!$AH:$AH,MATCH($A110,'Tournament Setup'!$A:$A,0))&lt;=MOD($Y110,18),1,0)))</f>
      </c>
      <c r="AE110" t="e">
        <f>IF(OR(OR($A110="",$D110=""),K110=""),"",K110-(INT($Y110/18)+IF(INDEX('Tournament Setup'!$AI:$AI,MATCH($A110,'Tournament Setup'!$A:$A,0))&lt;=MOD($Y110,18),1,0)))</f>
      </c>
      <c r="AF110" t="e">
        <f>IF(OR(OR($A110="",$D110=""),L110=""),"",L110-(INT($Y110/18)+IF(INDEX('Tournament Setup'!$AJ:$AJ,MATCH($A110,'Tournament Setup'!$A:$A,0))&lt;=MOD($Y110,18),1,0)))</f>
      </c>
      <c r="AG110" t="e">
        <f>IF(OR(OR($A110="",$D110=""),M110=""),"",M110-(INT($Y110/18)+IF(INDEX('Tournament Setup'!$AK:$AK,MATCH($A110,'Tournament Setup'!$A:$A,0))&lt;=MOD($Y110,18),1,0)))</f>
      </c>
      <c r="AH110" t="e">
        <f>IF(OR(OR($A110="",$D110=""),N110=""),"",N110-(INT($Y110/18)+IF(INDEX('Tournament Setup'!$AL:$AL,MATCH($A110,'Tournament Setup'!$A:$A,0))&lt;=MOD($Y110,18),1,0)))</f>
      </c>
      <c r="AI110" t="e">
        <f>IF(OR(OR($A110="",$D110=""),O110=""),"",O110-(INT($Y110/18)+IF(INDEX('Tournament Setup'!$AM:$AM,MATCH($A110,'Tournament Setup'!$A:$A,0))&lt;=MOD($Y110,18),1,0)))</f>
      </c>
      <c r="AJ110" t="e">
        <f>IF(OR(OR($A110="",$D110=""),P110=""),"",P110-(INT($Y110/18)+IF(INDEX('Tournament Setup'!$AN:$AN,MATCH($A110,'Tournament Setup'!$A:$A,0))&lt;=MOD($Y110,18),1,0)))</f>
      </c>
      <c r="AK110" t="e">
        <f>IF(OR(OR($A110="",$D110=""),Q110=""),"",Q110-(INT($Y110/18)+IF(INDEX('Tournament Setup'!$AO:$AO,MATCH($A110,'Tournament Setup'!$A:$A,0))&lt;=MOD($Y110,18),1,0)))</f>
      </c>
      <c r="AL110" t="e">
        <f>IF(OR(OR($A110="",$D110=""),R110=""),"",R110-(INT($Y110/18)+IF(INDEX('Tournament Setup'!$AP:$AP,MATCH($A110,'Tournament Setup'!$A:$A,0))&lt;=MOD($Y110,18),1,0)))</f>
      </c>
      <c r="AM110" t="e">
        <f>IF(OR(OR($A110="",$D110=""),S110=""),"",S110-(INT($Y110/18)+IF(INDEX('Tournament Setup'!$AQ:$AQ,MATCH($A110,'Tournament Setup'!$A:$A,0))&lt;=MOD($Y110,18),1,0)))</f>
      </c>
      <c r="AN110" t="e">
        <f>IF(OR(OR($A110="",$D110=""),T110=""),"",T110-(INT($Y110/18)+IF(INDEX('Tournament Setup'!$AR:$AR,MATCH($A110,'Tournament Setup'!$A:$A,0))&lt;=MOD($Y110,18),1,0)))</f>
      </c>
      <c r="AO110" t="e">
        <f>IF(OR(OR($A110="",$D110=""),U110=""),"",U110-(INT($Y110/18)+IF(INDEX('Tournament Setup'!$AS:$AS,MATCH($A110,'Tournament Setup'!$A:$A,0))&lt;=MOD($Y110,18),1,0)))</f>
      </c>
      <c r="AP110" t="e">
        <f>IF(OR(OR($A110="",$D110=""),V110=""),"",V110-(INT($Y110/18)+IF(INDEX('Tournament Setup'!$AT:$AT,MATCH($A110,'Tournament Setup'!$A:$A,0))&lt;=MOD($Y110,18),1,0)))</f>
      </c>
      <c r="AQ110" t="e">
        <f>IF(OR(OR($A110="",$D110=""),W110=""),"",W110-(INT($Y110/18)+IF(INDEX('Tournament Setup'!$AU:$AU,MATCH($A110,'Tournament Setup'!$A:$A,0))&lt;=MOD($Y110,18),1,0)))</f>
      </c>
    </row>
    <row r="111">
      <c r="X111" t="e">
        <f>IF(OR($A111="",$D111=""),"",SUM(F111:W111))</f>
      </c>
      <c r="Y111" t="e">
        <f>IF(OR($A111="",$D111=""),"",IF(INDEX('Tournament Setup'!$F:$F,MATCH($A111,'Tournament Setup'!$A:$A,0))="Net",ROUND(($E111-_xlfn.MINIFS($E$2:$E$401,$A$2:$A$401,$A111,$B$2:$B$401,$B111))*INDEX('Tournament Setup'!$G:$G,MATCH($A111,'Tournament Setup'!$A:$A,0))/100,0),0))</f>
      </c>
      <c r="Z111" t="e">
        <f>IF(OR(OR($A111="",$D111=""),F111=""),"",F111-(INT($Y111/18)+IF(INDEX('Tournament Setup'!$AD:$AD,MATCH($A111,'Tournament Setup'!$A:$A,0))&lt;=MOD($Y111,18),1,0)))</f>
      </c>
      <c r="AA111" t="e">
        <f>IF(OR(OR($A111="",$D111=""),G111=""),"",G111-(INT($Y111/18)+IF(INDEX('Tournament Setup'!$AE:$AE,MATCH($A111,'Tournament Setup'!$A:$A,0))&lt;=MOD($Y111,18),1,0)))</f>
      </c>
      <c r="AB111" t="e">
        <f>IF(OR(OR($A111="",$D111=""),H111=""),"",H111-(INT($Y111/18)+IF(INDEX('Tournament Setup'!$AF:$AF,MATCH($A111,'Tournament Setup'!$A:$A,0))&lt;=MOD($Y111,18),1,0)))</f>
      </c>
      <c r="AC111" t="e">
        <f>IF(OR(OR($A111="",$D111=""),I111=""),"",I111-(INT($Y111/18)+IF(INDEX('Tournament Setup'!$AG:$AG,MATCH($A111,'Tournament Setup'!$A:$A,0))&lt;=MOD($Y111,18),1,0)))</f>
      </c>
      <c r="AD111" t="e">
        <f>IF(OR(OR($A111="",$D111=""),J111=""),"",J111-(INT($Y111/18)+IF(INDEX('Tournament Setup'!$AH:$AH,MATCH($A111,'Tournament Setup'!$A:$A,0))&lt;=MOD($Y111,18),1,0)))</f>
      </c>
      <c r="AE111" t="e">
        <f>IF(OR(OR($A111="",$D111=""),K111=""),"",K111-(INT($Y111/18)+IF(INDEX('Tournament Setup'!$AI:$AI,MATCH($A111,'Tournament Setup'!$A:$A,0))&lt;=MOD($Y111,18),1,0)))</f>
      </c>
      <c r="AF111" t="e">
        <f>IF(OR(OR($A111="",$D111=""),L111=""),"",L111-(INT($Y111/18)+IF(INDEX('Tournament Setup'!$AJ:$AJ,MATCH($A111,'Tournament Setup'!$A:$A,0))&lt;=MOD($Y111,18),1,0)))</f>
      </c>
      <c r="AG111" t="e">
        <f>IF(OR(OR($A111="",$D111=""),M111=""),"",M111-(INT($Y111/18)+IF(INDEX('Tournament Setup'!$AK:$AK,MATCH($A111,'Tournament Setup'!$A:$A,0))&lt;=MOD($Y111,18),1,0)))</f>
      </c>
      <c r="AH111" t="e">
        <f>IF(OR(OR($A111="",$D111=""),N111=""),"",N111-(INT($Y111/18)+IF(INDEX('Tournament Setup'!$AL:$AL,MATCH($A111,'Tournament Setup'!$A:$A,0))&lt;=MOD($Y111,18),1,0)))</f>
      </c>
      <c r="AI111" t="e">
        <f>IF(OR(OR($A111="",$D111=""),O111=""),"",O111-(INT($Y111/18)+IF(INDEX('Tournament Setup'!$AM:$AM,MATCH($A111,'Tournament Setup'!$A:$A,0))&lt;=MOD($Y111,18),1,0)))</f>
      </c>
      <c r="AJ111" t="e">
        <f>IF(OR(OR($A111="",$D111=""),P111=""),"",P111-(INT($Y111/18)+IF(INDEX('Tournament Setup'!$AN:$AN,MATCH($A111,'Tournament Setup'!$A:$A,0))&lt;=MOD($Y111,18),1,0)))</f>
      </c>
      <c r="AK111" t="e">
        <f>IF(OR(OR($A111="",$D111=""),Q111=""),"",Q111-(INT($Y111/18)+IF(INDEX('Tournament Setup'!$AO:$AO,MATCH($A111,'Tournament Setup'!$A:$A,0))&lt;=MOD($Y111,18),1,0)))</f>
      </c>
      <c r="AL111" t="e">
        <f>IF(OR(OR($A111="",$D111=""),R111=""),"",R111-(INT($Y111/18)+IF(INDEX('Tournament Setup'!$AP:$AP,MATCH($A111,'Tournament Setup'!$A:$A,0))&lt;=MOD($Y111,18),1,0)))</f>
      </c>
      <c r="AM111" t="e">
        <f>IF(OR(OR($A111="",$D111=""),S111=""),"",S111-(INT($Y111/18)+IF(INDEX('Tournament Setup'!$AQ:$AQ,MATCH($A111,'Tournament Setup'!$A:$A,0))&lt;=MOD($Y111,18),1,0)))</f>
      </c>
      <c r="AN111" t="e">
        <f>IF(OR(OR($A111="",$D111=""),T111=""),"",T111-(INT($Y111/18)+IF(INDEX('Tournament Setup'!$AR:$AR,MATCH($A111,'Tournament Setup'!$A:$A,0))&lt;=MOD($Y111,18),1,0)))</f>
      </c>
      <c r="AO111" t="e">
        <f>IF(OR(OR($A111="",$D111=""),U111=""),"",U111-(INT($Y111/18)+IF(INDEX('Tournament Setup'!$AS:$AS,MATCH($A111,'Tournament Setup'!$A:$A,0))&lt;=MOD($Y111,18),1,0)))</f>
      </c>
      <c r="AP111" t="e">
        <f>IF(OR(OR($A111="",$D111=""),V111=""),"",V111-(INT($Y111/18)+IF(INDEX('Tournament Setup'!$AT:$AT,MATCH($A111,'Tournament Setup'!$A:$A,0))&lt;=MOD($Y111,18),1,0)))</f>
      </c>
      <c r="AQ111" t="e">
        <f>IF(OR(OR($A111="",$D111=""),W111=""),"",W111-(INT($Y111/18)+IF(INDEX('Tournament Setup'!$AU:$AU,MATCH($A111,'Tournament Setup'!$A:$A,0))&lt;=MOD($Y111,18),1,0)))</f>
      </c>
    </row>
    <row r="112">
      <c r="X112" t="e">
        <f>IF(OR($A112="",$D112=""),"",SUM(F112:W112))</f>
      </c>
      <c r="Y112" t="e">
        <f>IF(OR($A112="",$D112=""),"",IF(INDEX('Tournament Setup'!$F:$F,MATCH($A112,'Tournament Setup'!$A:$A,0))="Net",ROUND(($E112-_xlfn.MINIFS($E$2:$E$401,$A$2:$A$401,$A112,$B$2:$B$401,$B112))*INDEX('Tournament Setup'!$G:$G,MATCH($A112,'Tournament Setup'!$A:$A,0))/100,0),0))</f>
      </c>
      <c r="Z112" t="e">
        <f>IF(OR(OR($A112="",$D112=""),F112=""),"",F112-(INT($Y112/18)+IF(INDEX('Tournament Setup'!$AD:$AD,MATCH($A112,'Tournament Setup'!$A:$A,0))&lt;=MOD($Y112,18),1,0)))</f>
      </c>
      <c r="AA112" t="e">
        <f>IF(OR(OR($A112="",$D112=""),G112=""),"",G112-(INT($Y112/18)+IF(INDEX('Tournament Setup'!$AE:$AE,MATCH($A112,'Tournament Setup'!$A:$A,0))&lt;=MOD($Y112,18),1,0)))</f>
      </c>
      <c r="AB112" t="e">
        <f>IF(OR(OR($A112="",$D112=""),H112=""),"",H112-(INT($Y112/18)+IF(INDEX('Tournament Setup'!$AF:$AF,MATCH($A112,'Tournament Setup'!$A:$A,0))&lt;=MOD($Y112,18),1,0)))</f>
      </c>
      <c r="AC112" t="e">
        <f>IF(OR(OR($A112="",$D112=""),I112=""),"",I112-(INT($Y112/18)+IF(INDEX('Tournament Setup'!$AG:$AG,MATCH($A112,'Tournament Setup'!$A:$A,0))&lt;=MOD($Y112,18),1,0)))</f>
      </c>
      <c r="AD112" t="e">
        <f>IF(OR(OR($A112="",$D112=""),J112=""),"",J112-(INT($Y112/18)+IF(INDEX('Tournament Setup'!$AH:$AH,MATCH($A112,'Tournament Setup'!$A:$A,0))&lt;=MOD($Y112,18),1,0)))</f>
      </c>
      <c r="AE112" t="e">
        <f>IF(OR(OR($A112="",$D112=""),K112=""),"",K112-(INT($Y112/18)+IF(INDEX('Tournament Setup'!$AI:$AI,MATCH($A112,'Tournament Setup'!$A:$A,0))&lt;=MOD($Y112,18),1,0)))</f>
      </c>
      <c r="AF112" t="e">
        <f>IF(OR(OR($A112="",$D112=""),L112=""),"",L112-(INT($Y112/18)+IF(INDEX('Tournament Setup'!$AJ:$AJ,MATCH($A112,'Tournament Setup'!$A:$A,0))&lt;=MOD($Y112,18),1,0)))</f>
      </c>
      <c r="AG112" t="e">
        <f>IF(OR(OR($A112="",$D112=""),M112=""),"",M112-(INT($Y112/18)+IF(INDEX('Tournament Setup'!$AK:$AK,MATCH($A112,'Tournament Setup'!$A:$A,0))&lt;=MOD($Y112,18),1,0)))</f>
      </c>
      <c r="AH112" t="e">
        <f>IF(OR(OR($A112="",$D112=""),N112=""),"",N112-(INT($Y112/18)+IF(INDEX('Tournament Setup'!$AL:$AL,MATCH($A112,'Tournament Setup'!$A:$A,0))&lt;=MOD($Y112,18),1,0)))</f>
      </c>
      <c r="AI112" t="e">
        <f>IF(OR(OR($A112="",$D112=""),O112=""),"",O112-(INT($Y112/18)+IF(INDEX('Tournament Setup'!$AM:$AM,MATCH($A112,'Tournament Setup'!$A:$A,0))&lt;=MOD($Y112,18),1,0)))</f>
      </c>
      <c r="AJ112" t="e">
        <f>IF(OR(OR($A112="",$D112=""),P112=""),"",P112-(INT($Y112/18)+IF(INDEX('Tournament Setup'!$AN:$AN,MATCH($A112,'Tournament Setup'!$A:$A,0))&lt;=MOD($Y112,18),1,0)))</f>
      </c>
      <c r="AK112" t="e">
        <f>IF(OR(OR($A112="",$D112=""),Q112=""),"",Q112-(INT($Y112/18)+IF(INDEX('Tournament Setup'!$AO:$AO,MATCH($A112,'Tournament Setup'!$A:$A,0))&lt;=MOD($Y112,18),1,0)))</f>
      </c>
      <c r="AL112" t="e">
        <f>IF(OR(OR($A112="",$D112=""),R112=""),"",R112-(INT($Y112/18)+IF(INDEX('Tournament Setup'!$AP:$AP,MATCH($A112,'Tournament Setup'!$A:$A,0))&lt;=MOD($Y112,18),1,0)))</f>
      </c>
      <c r="AM112" t="e">
        <f>IF(OR(OR($A112="",$D112=""),S112=""),"",S112-(INT($Y112/18)+IF(INDEX('Tournament Setup'!$AQ:$AQ,MATCH($A112,'Tournament Setup'!$A:$A,0))&lt;=MOD($Y112,18),1,0)))</f>
      </c>
      <c r="AN112" t="e">
        <f>IF(OR(OR($A112="",$D112=""),T112=""),"",T112-(INT($Y112/18)+IF(INDEX('Tournament Setup'!$AR:$AR,MATCH($A112,'Tournament Setup'!$A:$A,0))&lt;=MOD($Y112,18),1,0)))</f>
      </c>
      <c r="AO112" t="e">
        <f>IF(OR(OR($A112="",$D112=""),U112=""),"",U112-(INT($Y112/18)+IF(INDEX('Tournament Setup'!$AS:$AS,MATCH($A112,'Tournament Setup'!$A:$A,0))&lt;=MOD($Y112,18),1,0)))</f>
      </c>
      <c r="AP112" t="e">
        <f>IF(OR(OR($A112="",$D112=""),V112=""),"",V112-(INT($Y112/18)+IF(INDEX('Tournament Setup'!$AT:$AT,MATCH($A112,'Tournament Setup'!$A:$A,0))&lt;=MOD($Y112,18),1,0)))</f>
      </c>
      <c r="AQ112" t="e">
        <f>IF(OR(OR($A112="",$D112=""),W112=""),"",W112-(INT($Y112/18)+IF(INDEX('Tournament Setup'!$AU:$AU,MATCH($A112,'Tournament Setup'!$A:$A,0))&lt;=MOD($Y112,18),1,0)))</f>
      </c>
    </row>
    <row r="113">
      <c r="X113" t="e">
        <f>IF(OR($A113="",$D113=""),"",SUM(F113:W113))</f>
      </c>
      <c r="Y113" t="e">
        <f>IF(OR($A113="",$D113=""),"",IF(INDEX('Tournament Setup'!$F:$F,MATCH($A113,'Tournament Setup'!$A:$A,0))="Net",ROUND(($E113-_xlfn.MINIFS($E$2:$E$401,$A$2:$A$401,$A113,$B$2:$B$401,$B113))*INDEX('Tournament Setup'!$G:$G,MATCH($A113,'Tournament Setup'!$A:$A,0))/100,0),0))</f>
      </c>
      <c r="Z113" t="e">
        <f>IF(OR(OR($A113="",$D113=""),F113=""),"",F113-(INT($Y113/18)+IF(INDEX('Tournament Setup'!$AD:$AD,MATCH($A113,'Tournament Setup'!$A:$A,0))&lt;=MOD($Y113,18),1,0)))</f>
      </c>
      <c r="AA113" t="e">
        <f>IF(OR(OR($A113="",$D113=""),G113=""),"",G113-(INT($Y113/18)+IF(INDEX('Tournament Setup'!$AE:$AE,MATCH($A113,'Tournament Setup'!$A:$A,0))&lt;=MOD($Y113,18),1,0)))</f>
      </c>
      <c r="AB113" t="e">
        <f>IF(OR(OR($A113="",$D113=""),H113=""),"",H113-(INT($Y113/18)+IF(INDEX('Tournament Setup'!$AF:$AF,MATCH($A113,'Tournament Setup'!$A:$A,0))&lt;=MOD($Y113,18),1,0)))</f>
      </c>
      <c r="AC113" t="e">
        <f>IF(OR(OR($A113="",$D113=""),I113=""),"",I113-(INT($Y113/18)+IF(INDEX('Tournament Setup'!$AG:$AG,MATCH($A113,'Tournament Setup'!$A:$A,0))&lt;=MOD($Y113,18),1,0)))</f>
      </c>
      <c r="AD113" t="e">
        <f>IF(OR(OR($A113="",$D113=""),J113=""),"",J113-(INT($Y113/18)+IF(INDEX('Tournament Setup'!$AH:$AH,MATCH($A113,'Tournament Setup'!$A:$A,0))&lt;=MOD($Y113,18),1,0)))</f>
      </c>
      <c r="AE113" t="e">
        <f>IF(OR(OR($A113="",$D113=""),K113=""),"",K113-(INT($Y113/18)+IF(INDEX('Tournament Setup'!$AI:$AI,MATCH($A113,'Tournament Setup'!$A:$A,0))&lt;=MOD($Y113,18),1,0)))</f>
      </c>
      <c r="AF113" t="e">
        <f>IF(OR(OR($A113="",$D113=""),L113=""),"",L113-(INT($Y113/18)+IF(INDEX('Tournament Setup'!$AJ:$AJ,MATCH($A113,'Tournament Setup'!$A:$A,0))&lt;=MOD($Y113,18),1,0)))</f>
      </c>
      <c r="AG113" t="e">
        <f>IF(OR(OR($A113="",$D113=""),M113=""),"",M113-(INT($Y113/18)+IF(INDEX('Tournament Setup'!$AK:$AK,MATCH($A113,'Tournament Setup'!$A:$A,0))&lt;=MOD($Y113,18),1,0)))</f>
      </c>
      <c r="AH113" t="e">
        <f>IF(OR(OR($A113="",$D113=""),N113=""),"",N113-(INT($Y113/18)+IF(INDEX('Tournament Setup'!$AL:$AL,MATCH($A113,'Tournament Setup'!$A:$A,0))&lt;=MOD($Y113,18),1,0)))</f>
      </c>
      <c r="AI113" t="e">
        <f>IF(OR(OR($A113="",$D113=""),O113=""),"",O113-(INT($Y113/18)+IF(INDEX('Tournament Setup'!$AM:$AM,MATCH($A113,'Tournament Setup'!$A:$A,0))&lt;=MOD($Y113,18),1,0)))</f>
      </c>
      <c r="AJ113" t="e">
        <f>IF(OR(OR($A113="",$D113=""),P113=""),"",P113-(INT($Y113/18)+IF(INDEX('Tournament Setup'!$AN:$AN,MATCH($A113,'Tournament Setup'!$A:$A,0))&lt;=MOD($Y113,18),1,0)))</f>
      </c>
      <c r="AK113" t="e">
        <f>IF(OR(OR($A113="",$D113=""),Q113=""),"",Q113-(INT($Y113/18)+IF(INDEX('Tournament Setup'!$AO:$AO,MATCH($A113,'Tournament Setup'!$A:$A,0))&lt;=MOD($Y113,18),1,0)))</f>
      </c>
      <c r="AL113" t="e">
        <f>IF(OR(OR($A113="",$D113=""),R113=""),"",R113-(INT($Y113/18)+IF(INDEX('Tournament Setup'!$AP:$AP,MATCH($A113,'Tournament Setup'!$A:$A,0))&lt;=MOD($Y113,18),1,0)))</f>
      </c>
      <c r="AM113" t="e">
        <f>IF(OR(OR($A113="",$D113=""),S113=""),"",S113-(INT($Y113/18)+IF(INDEX('Tournament Setup'!$AQ:$AQ,MATCH($A113,'Tournament Setup'!$A:$A,0))&lt;=MOD($Y113,18),1,0)))</f>
      </c>
      <c r="AN113" t="e">
        <f>IF(OR(OR($A113="",$D113=""),T113=""),"",T113-(INT($Y113/18)+IF(INDEX('Tournament Setup'!$AR:$AR,MATCH($A113,'Tournament Setup'!$A:$A,0))&lt;=MOD($Y113,18),1,0)))</f>
      </c>
      <c r="AO113" t="e">
        <f>IF(OR(OR($A113="",$D113=""),U113=""),"",U113-(INT($Y113/18)+IF(INDEX('Tournament Setup'!$AS:$AS,MATCH($A113,'Tournament Setup'!$A:$A,0))&lt;=MOD($Y113,18),1,0)))</f>
      </c>
      <c r="AP113" t="e">
        <f>IF(OR(OR($A113="",$D113=""),V113=""),"",V113-(INT($Y113/18)+IF(INDEX('Tournament Setup'!$AT:$AT,MATCH($A113,'Tournament Setup'!$A:$A,0))&lt;=MOD($Y113,18),1,0)))</f>
      </c>
      <c r="AQ113" t="e">
        <f>IF(OR(OR($A113="",$D113=""),W113=""),"",W113-(INT($Y113/18)+IF(INDEX('Tournament Setup'!$AU:$AU,MATCH($A113,'Tournament Setup'!$A:$A,0))&lt;=MOD($Y113,18),1,0)))</f>
      </c>
    </row>
    <row r="114">
      <c r="X114" t="e">
        <f>IF(OR($A114="",$D114=""),"",SUM(F114:W114))</f>
      </c>
      <c r="Y114" t="e">
        <f>IF(OR($A114="",$D114=""),"",IF(INDEX('Tournament Setup'!$F:$F,MATCH($A114,'Tournament Setup'!$A:$A,0))="Net",ROUND(($E114-_xlfn.MINIFS($E$2:$E$401,$A$2:$A$401,$A114,$B$2:$B$401,$B114))*INDEX('Tournament Setup'!$G:$G,MATCH($A114,'Tournament Setup'!$A:$A,0))/100,0),0))</f>
      </c>
      <c r="Z114" t="e">
        <f>IF(OR(OR($A114="",$D114=""),F114=""),"",F114-(INT($Y114/18)+IF(INDEX('Tournament Setup'!$AD:$AD,MATCH($A114,'Tournament Setup'!$A:$A,0))&lt;=MOD($Y114,18),1,0)))</f>
      </c>
      <c r="AA114" t="e">
        <f>IF(OR(OR($A114="",$D114=""),G114=""),"",G114-(INT($Y114/18)+IF(INDEX('Tournament Setup'!$AE:$AE,MATCH($A114,'Tournament Setup'!$A:$A,0))&lt;=MOD($Y114,18),1,0)))</f>
      </c>
      <c r="AB114" t="e">
        <f>IF(OR(OR($A114="",$D114=""),H114=""),"",H114-(INT($Y114/18)+IF(INDEX('Tournament Setup'!$AF:$AF,MATCH($A114,'Tournament Setup'!$A:$A,0))&lt;=MOD($Y114,18),1,0)))</f>
      </c>
      <c r="AC114" t="e">
        <f>IF(OR(OR($A114="",$D114=""),I114=""),"",I114-(INT($Y114/18)+IF(INDEX('Tournament Setup'!$AG:$AG,MATCH($A114,'Tournament Setup'!$A:$A,0))&lt;=MOD($Y114,18),1,0)))</f>
      </c>
      <c r="AD114" t="e">
        <f>IF(OR(OR($A114="",$D114=""),J114=""),"",J114-(INT($Y114/18)+IF(INDEX('Tournament Setup'!$AH:$AH,MATCH($A114,'Tournament Setup'!$A:$A,0))&lt;=MOD($Y114,18),1,0)))</f>
      </c>
      <c r="AE114" t="e">
        <f>IF(OR(OR($A114="",$D114=""),K114=""),"",K114-(INT($Y114/18)+IF(INDEX('Tournament Setup'!$AI:$AI,MATCH($A114,'Tournament Setup'!$A:$A,0))&lt;=MOD($Y114,18),1,0)))</f>
      </c>
      <c r="AF114" t="e">
        <f>IF(OR(OR($A114="",$D114=""),L114=""),"",L114-(INT($Y114/18)+IF(INDEX('Tournament Setup'!$AJ:$AJ,MATCH($A114,'Tournament Setup'!$A:$A,0))&lt;=MOD($Y114,18),1,0)))</f>
      </c>
      <c r="AG114" t="e">
        <f>IF(OR(OR($A114="",$D114=""),M114=""),"",M114-(INT($Y114/18)+IF(INDEX('Tournament Setup'!$AK:$AK,MATCH($A114,'Tournament Setup'!$A:$A,0))&lt;=MOD($Y114,18),1,0)))</f>
      </c>
      <c r="AH114" t="e">
        <f>IF(OR(OR($A114="",$D114=""),N114=""),"",N114-(INT($Y114/18)+IF(INDEX('Tournament Setup'!$AL:$AL,MATCH($A114,'Tournament Setup'!$A:$A,0))&lt;=MOD($Y114,18),1,0)))</f>
      </c>
      <c r="AI114" t="e">
        <f>IF(OR(OR($A114="",$D114=""),O114=""),"",O114-(INT($Y114/18)+IF(INDEX('Tournament Setup'!$AM:$AM,MATCH($A114,'Tournament Setup'!$A:$A,0))&lt;=MOD($Y114,18),1,0)))</f>
      </c>
      <c r="AJ114" t="e">
        <f>IF(OR(OR($A114="",$D114=""),P114=""),"",P114-(INT($Y114/18)+IF(INDEX('Tournament Setup'!$AN:$AN,MATCH($A114,'Tournament Setup'!$A:$A,0))&lt;=MOD($Y114,18),1,0)))</f>
      </c>
      <c r="AK114" t="e">
        <f>IF(OR(OR($A114="",$D114=""),Q114=""),"",Q114-(INT($Y114/18)+IF(INDEX('Tournament Setup'!$AO:$AO,MATCH($A114,'Tournament Setup'!$A:$A,0))&lt;=MOD($Y114,18),1,0)))</f>
      </c>
      <c r="AL114" t="e">
        <f>IF(OR(OR($A114="",$D114=""),R114=""),"",R114-(INT($Y114/18)+IF(INDEX('Tournament Setup'!$AP:$AP,MATCH($A114,'Tournament Setup'!$A:$A,0))&lt;=MOD($Y114,18),1,0)))</f>
      </c>
      <c r="AM114" t="e">
        <f>IF(OR(OR($A114="",$D114=""),S114=""),"",S114-(INT($Y114/18)+IF(INDEX('Tournament Setup'!$AQ:$AQ,MATCH($A114,'Tournament Setup'!$A:$A,0))&lt;=MOD($Y114,18),1,0)))</f>
      </c>
      <c r="AN114" t="e">
        <f>IF(OR(OR($A114="",$D114=""),T114=""),"",T114-(INT($Y114/18)+IF(INDEX('Tournament Setup'!$AR:$AR,MATCH($A114,'Tournament Setup'!$A:$A,0))&lt;=MOD($Y114,18),1,0)))</f>
      </c>
      <c r="AO114" t="e">
        <f>IF(OR(OR($A114="",$D114=""),U114=""),"",U114-(INT($Y114/18)+IF(INDEX('Tournament Setup'!$AS:$AS,MATCH($A114,'Tournament Setup'!$A:$A,0))&lt;=MOD($Y114,18),1,0)))</f>
      </c>
      <c r="AP114" t="e">
        <f>IF(OR(OR($A114="",$D114=""),V114=""),"",V114-(INT($Y114/18)+IF(INDEX('Tournament Setup'!$AT:$AT,MATCH($A114,'Tournament Setup'!$A:$A,0))&lt;=MOD($Y114,18),1,0)))</f>
      </c>
      <c r="AQ114" t="e">
        <f>IF(OR(OR($A114="",$D114=""),W114=""),"",W114-(INT($Y114/18)+IF(INDEX('Tournament Setup'!$AU:$AU,MATCH($A114,'Tournament Setup'!$A:$A,0))&lt;=MOD($Y114,18),1,0)))</f>
      </c>
    </row>
    <row r="115">
      <c r="X115" t="e">
        <f>IF(OR($A115="",$D115=""),"",SUM(F115:W115))</f>
      </c>
      <c r="Y115" t="e">
        <f>IF(OR($A115="",$D115=""),"",IF(INDEX('Tournament Setup'!$F:$F,MATCH($A115,'Tournament Setup'!$A:$A,0))="Net",ROUND(($E115-_xlfn.MINIFS($E$2:$E$401,$A$2:$A$401,$A115,$B$2:$B$401,$B115))*INDEX('Tournament Setup'!$G:$G,MATCH($A115,'Tournament Setup'!$A:$A,0))/100,0),0))</f>
      </c>
      <c r="Z115" t="e">
        <f>IF(OR(OR($A115="",$D115=""),F115=""),"",F115-(INT($Y115/18)+IF(INDEX('Tournament Setup'!$AD:$AD,MATCH($A115,'Tournament Setup'!$A:$A,0))&lt;=MOD($Y115,18),1,0)))</f>
      </c>
      <c r="AA115" t="e">
        <f>IF(OR(OR($A115="",$D115=""),G115=""),"",G115-(INT($Y115/18)+IF(INDEX('Tournament Setup'!$AE:$AE,MATCH($A115,'Tournament Setup'!$A:$A,0))&lt;=MOD($Y115,18),1,0)))</f>
      </c>
      <c r="AB115" t="e">
        <f>IF(OR(OR($A115="",$D115=""),H115=""),"",H115-(INT($Y115/18)+IF(INDEX('Tournament Setup'!$AF:$AF,MATCH($A115,'Tournament Setup'!$A:$A,0))&lt;=MOD($Y115,18),1,0)))</f>
      </c>
      <c r="AC115" t="e">
        <f>IF(OR(OR($A115="",$D115=""),I115=""),"",I115-(INT($Y115/18)+IF(INDEX('Tournament Setup'!$AG:$AG,MATCH($A115,'Tournament Setup'!$A:$A,0))&lt;=MOD($Y115,18),1,0)))</f>
      </c>
      <c r="AD115" t="e">
        <f>IF(OR(OR($A115="",$D115=""),J115=""),"",J115-(INT($Y115/18)+IF(INDEX('Tournament Setup'!$AH:$AH,MATCH($A115,'Tournament Setup'!$A:$A,0))&lt;=MOD($Y115,18),1,0)))</f>
      </c>
      <c r="AE115" t="e">
        <f>IF(OR(OR($A115="",$D115=""),K115=""),"",K115-(INT($Y115/18)+IF(INDEX('Tournament Setup'!$AI:$AI,MATCH($A115,'Tournament Setup'!$A:$A,0))&lt;=MOD($Y115,18),1,0)))</f>
      </c>
      <c r="AF115" t="e">
        <f>IF(OR(OR($A115="",$D115=""),L115=""),"",L115-(INT($Y115/18)+IF(INDEX('Tournament Setup'!$AJ:$AJ,MATCH($A115,'Tournament Setup'!$A:$A,0))&lt;=MOD($Y115,18),1,0)))</f>
      </c>
      <c r="AG115" t="e">
        <f>IF(OR(OR($A115="",$D115=""),M115=""),"",M115-(INT($Y115/18)+IF(INDEX('Tournament Setup'!$AK:$AK,MATCH($A115,'Tournament Setup'!$A:$A,0))&lt;=MOD($Y115,18),1,0)))</f>
      </c>
      <c r="AH115" t="e">
        <f>IF(OR(OR($A115="",$D115=""),N115=""),"",N115-(INT($Y115/18)+IF(INDEX('Tournament Setup'!$AL:$AL,MATCH($A115,'Tournament Setup'!$A:$A,0))&lt;=MOD($Y115,18),1,0)))</f>
      </c>
      <c r="AI115" t="e">
        <f>IF(OR(OR($A115="",$D115=""),O115=""),"",O115-(INT($Y115/18)+IF(INDEX('Tournament Setup'!$AM:$AM,MATCH($A115,'Tournament Setup'!$A:$A,0))&lt;=MOD($Y115,18),1,0)))</f>
      </c>
      <c r="AJ115" t="e">
        <f>IF(OR(OR($A115="",$D115=""),P115=""),"",P115-(INT($Y115/18)+IF(INDEX('Tournament Setup'!$AN:$AN,MATCH($A115,'Tournament Setup'!$A:$A,0))&lt;=MOD($Y115,18),1,0)))</f>
      </c>
      <c r="AK115" t="e">
        <f>IF(OR(OR($A115="",$D115=""),Q115=""),"",Q115-(INT($Y115/18)+IF(INDEX('Tournament Setup'!$AO:$AO,MATCH($A115,'Tournament Setup'!$A:$A,0))&lt;=MOD($Y115,18),1,0)))</f>
      </c>
      <c r="AL115" t="e">
        <f>IF(OR(OR($A115="",$D115=""),R115=""),"",R115-(INT($Y115/18)+IF(INDEX('Tournament Setup'!$AP:$AP,MATCH($A115,'Tournament Setup'!$A:$A,0))&lt;=MOD($Y115,18),1,0)))</f>
      </c>
      <c r="AM115" t="e">
        <f>IF(OR(OR($A115="",$D115=""),S115=""),"",S115-(INT($Y115/18)+IF(INDEX('Tournament Setup'!$AQ:$AQ,MATCH($A115,'Tournament Setup'!$A:$A,0))&lt;=MOD($Y115,18),1,0)))</f>
      </c>
      <c r="AN115" t="e">
        <f>IF(OR(OR($A115="",$D115=""),T115=""),"",T115-(INT($Y115/18)+IF(INDEX('Tournament Setup'!$AR:$AR,MATCH($A115,'Tournament Setup'!$A:$A,0))&lt;=MOD($Y115,18),1,0)))</f>
      </c>
      <c r="AO115" t="e">
        <f>IF(OR(OR($A115="",$D115=""),U115=""),"",U115-(INT($Y115/18)+IF(INDEX('Tournament Setup'!$AS:$AS,MATCH($A115,'Tournament Setup'!$A:$A,0))&lt;=MOD($Y115,18),1,0)))</f>
      </c>
      <c r="AP115" t="e">
        <f>IF(OR(OR($A115="",$D115=""),V115=""),"",V115-(INT($Y115/18)+IF(INDEX('Tournament Setup'!$AT:$AT,MATCH($A115,'Tournament Setup'!$A:$A,0))&lt;=MOD($Y115,18),1,0)))</f>
      </c>
      <c r="AQ115" t="e">
        <f>IF(OR(OR($A115="",$D115=""),W115=""),"",W115-(INT($Y115/18)+IF(INDEX('Tournament Setup'!$AU:$AU,MATCH($A115,'Tournament Setup'!$A:$A,0))&lt;=MOD($Y115,18),1,0)))</f>
      </c>
    </row>
    <row r="116">
      <c r="X116" t="e">
        <f>IF(OR($A116="",$D116=""),"",SUM(F116:W116))</f>
      </c>
      <c r="Y116" t="e">
        <f>IF(OR($A116="",$D116=""),"",IF(INDEX('Tournament Setup'!$F:$F,MATCH($A116,'Tournament Setup'!$A:$A,0))="Net",ROUND(($E116-_xlfn.MINIFS($E$2:$E$401,$A$2:$A$401,$A116,$B$2:$B$401,$B116))*INDEX('Tournament Setup'!$G:$G,MATCH($A116,'Tournament Setup'!$A:$A,0))/100,0),0))</f>
      </c>
      <c r="Z116" t="e">
        <f>IF(OR(OR($A116="",$D116=""),F116=""),"",F116-(INT($Y116/18)+IF(INDEX('Tournament Setup'!$AD:$AD,MATCH($A116,'Tournament Setup'!$A:$A,0))&lt;=MOD($Y116,18),1,0)))</f>
      </c>
      <c r="AA116" t="e">
        <f>IF(OR(OR($A116="",$D116=""),G116=""),"",G116-(INT($Y116/18)+IF(INDEX('Tournament Setup'!$AE:$AE,MATCH($A116,'Tournament Setup'!$A:$A,0))&lt;=MOD($Y116,18),1,0)))</f>
      </c>
      <c r="AB116" t="e">
        <f>IF(OR(OR($A116="",$D116=""),H116=""),"",H116-(INT($Y116/18)+IF(INDEX('Tournament Setup'!$AF:$AF,MATCH($A116,'Tournament Setup'!$A:$A,0))&lt;=MOD($Y116,18),1,0)))</f>
      </c>
      <c r="AC116" t="e">
        <f>IF(OR(OR($A116="",$D116=""),I116=""),"",I116-(INT($Y116/18)+IF(INDEX('Tournament Setup'!$AG:$AG,MATCH($A116,'Tournament Setup'!$A:$A,0))&lt;=MOD($Y116,18),1,0)))</f>
      </c>
      <c r="AD116" t="e">
        <f>IF(OR(OR($A116="",$D116=""),J116=""),"",J116-(INT($Y116/18)+IF(INDEX('Tournament Setup'!$AH:$AH,MATCH($A116,'Tournament Setup'!$A:$A,0))&lt;=MOD($Y116,18),1,0)))</f>
      </c>
      <c r="AE116" t="e">
        <f>IF(OR(OR($A116="",$D116=""),K116=""),"",K116-(INT($Y116/18)+IF(INDEX('Tournament Setup'!$AI:$AI,MATCH($A116,'Tournament Setup'!$A:$A,0))&lt;=MOD($Y116,18),1,0)))</f>
      </c>
      <c r="AF116" t="e">
        <f>IF(OR(OR($A116="",$D116=""),L116=""),"",L116-(INT($Y116/18)+IF(INDEX('Tournament Setup'!$AJ:$AJ,MATCH($A116,'Tournament Setup'!$A:$A,0))&lt;=MOD($Y116,18),1,0)))</f>
      </c>
      <c r="AG116" t="e">
        <f>IF(OR(OR($A116="",$D116=""),M116=""),"",M116-(INT($Y116/18)+IF(INDEX('Tournament Setup'!$AK:$AK,MATCH($A116,'Tournament Setup'!$A:$A,0))&lt;=MOD($Y116,18),1,0)))</f>
      </c>
      <c r="AH116" t="e">
        <f>IF(OR(OR($A116="",$D116=""),N116=""),"",N116-(INT($Y116/18)+IF(INDEX('Tournament Setup'!$AL:$AL,MATCH($A116,'Tournament Setup'!$A:$A,0))&lt;=MOD($Y116,18),1,0)))</f>
      </c>
      <c r="AI116" t="e">
        <f>IF(OR(OR($A116="",$D116=""),O116=""),"",O116-(INT($Y116/18)+IF(INDEX('Tournament Setup'!$AM:$AM,MATCH($A116,'Tournament Setup'!$A:$A,0))&lt;=MOD($Y116,18),1,0)))</f>
      </c>
      <c r="AJ116" t="e">
        <f>IF(OR(OR($A116="",$D116=""),P116=""),"",P116-(INT($Y116/18)+IF(INDEX('Tournament Setup'!$AN:$AN,MATCH($A116,'Tournament Setup'!$A:$A,0))&lt;=MOD($Y116,18),1,0)))</f>
      </c>
      <c r="AK116" t="e">
        <f>IF(OR(OR($A116="",$D116=""),Q116=""),"",Q116-(INT($Y116/18)+IF(INDEX('Tournament Setup'!$AO:$AO,MATCH($A116,'Tournament Setup'!$A:$A,0))&lt;=MOD($Y116,18),1,0)))</f>
      </c>
      <c r="AL116" t="e">
        <f>IF(OR(OR($A116="",$D116=""),R116=""),"",R116-(INT($Y116/18)+IF(INDEX('Tournament Setup'!$AP:$AP,MATCH($A116,'Tournament Setup'!$A:$A,0))&lt;=MOD($Y116,18),1,0)))</f>
      </c>
      <c r="AM116" t="e">
        <f>IF(OR(OR($A116="",$D116=""),S116=""),"",S116-(INT($Y116/18)+IF(INDEX('Tournament Setup'!$AQ:$AQ,MATCH($A116,'Tournament Setup'!$A:$A,0))&lt;=MOD($Y116,18),1,0)))</f>
      </c>
      <c r="AN116" t="e">
        <f>IF(OR(OR($A116="",$D116=""),T116=""),"",T116-(INT($Y116/18)+IF(INDEX('Tournament Setup'!$AR:$AR,MATCH($A116,'Tournament Setup'!$A:$A,0))&lt;=MOD($Y116,18),1,0)))</f>
      </c>
      <c r="AO116" t="e">
        <f>IF(OR(OR($A116="",$D116=""),U116=""),"",U116-(INT($Y116/18)+IF(INDEX('Tournament Setup'!$AS:$AS,MATCH($A116,'Tournament Setup'!$A:$A,0))&lt;=MOD($Y116,18),1,0)))</f>
      </c>
      <c r="AP116" t="e">
        <f>IF(OR(OR($A116="",$D116=""),V116=""),"",V116-(INT($Y116/18)+IF(INDEX('Tournament Setup'!$AT:$AT,MATCH($A116,'Tournament Setup'!$A:$A,0))&lt;=MOD($Y116,18),1,0)))</f>
      </c>
      <c r="AQ116" t="e">
        <f>IF(OR(OR($A116="",$D116=""),W116=""),"",W116-(INT($Y116/18)+IF(INDEX('Tournament Setup'!$AU:$AU,MATCH($A116,'Tournament Setup'!$A:$A,0))&lt;=MOD($Y116,18),1,0)))</f>
      </c>
    </row>
    <row r="117">
      <c r="X117" t="e">
        <f>IF(OR($A117="",$D117=""),"",SUM(F117:W117))</f>
      </c>
      <c r="Y117" t="e">
        <f>IF(OR($A117="",$D117=""),"",IF(INDEX('Tournament Setup'!$F:$F,MATCH($A117,'Tournament Setup'!$A:$A,0))="Net",ROUND(($E117-_xlfn.MINIFS($E$2:$E$401,$A$2:$A$401,$A117,$B$2:$B$401,$B117))*INDEX('Tournament Setup'!$G:$G,MATCH($A117,'Tournament Setup'!$A:$A,0))/100,0),0))</f>
      </c>
      <c r="Z117" t="e">
        <f>IF(OR(OR($A117="",$D117=""),F117=""),"",F117-(INT($Y117/18)+IF(INDEX('Tournament Setup'!$AD:$AD,MATCH($A117,'Tournament Setup'!$A:$A,0))&lt;=MOD($Y117,18),1,0)))</f>
      </c>
      <c r="AA117" t="e">
        <f>IF(OR(OR($A117="",$D117=""),G117=""),"",G117-(INT($Y117/18)+IF(INDEX('Tournament Setup'!$AE:$AE,MATCH($A117,'Tournament Setup'!$A:$A,0))&lt;=MOD($Y117,18),1,0)))</f>
      </c>
      <c r="AB117" t="e">
        <f>IF(OR(OR($A117="",$D117=""),H117=""),"",H117-(INT($Y117/18)+IF(INDEX('Tournament Setup'!$AF:$AF,MATCH($A117,'Tournament Setup'!$A:$A,0))&lt;=MOD($Y117,18),1,0)))</f>
      </c>
      <c r="AC117" t="e">
        <f>IF(OR(OR($A117="",$D117=""),I117=""),"",I117-(INT($Y117/18)+IF(INDEX('Tournament Setup'!$AG:$AG,MATCH($A117,'Tournament Setup'!$A:$A,0))&lt;=MOD($Y117,18),1,0)))</f>
      </c>
      <c r="AD117" t="e">
        <f>IF(OR(OR($A117="",$D117=""),J117=""),"",J117-(INT($Y117/18)+IF(INDEX('Tournament Setup'!$AH:$AH,MATCH($A117,'Tournament Setup'!$A:$A,0))&lt;=MOD($Y117,18),1,0)))</f>
      </c>
      <c r="AE117" t="e">
        <f>IF(OR(OR($A117="",$D117=""),K117=""),"",K117-(INT($Y117/18)+IF(INDEX('Tournament Setup'!$AI:$AI,MATCH($A117,'Tournament Setup'!$A:$A,0))&lt;=MOD($Y117,18),1,0)))</f>
      </c>
      <c r="AF117" t="e">
        <f>IF(OR(OR($A117="",$D117=""),L117=""),"",L117-(INT($Y117/18)+IF(INDEX('Tournament Setup'!$AJ:$AJ,MATCH($A117,'Tournament Setup'!$A:$A,0))&lt;=MOD($Y117,18),1,0)))</f>
      </c>
      <c r="AG117" t="e">
        <f>IF(OR(OR($A117="",$D117=""),M117=""),"",M117-(INT($Y117/18)+IF(INDEX('Tournament Setup'!$AK:$AK,MATCH($A117,'Tournament Setup'!$A:$A,0))&lt;=MOD($Y117,18),1,0)))</f>
      </c>
      <c r="AH117" t="e">
        <f>IF(OR(OR($A117="",$D117=""),N117=""),"",N117-(INT($Y117/18)+IF(INDEX('Tournament Setup'!$AL:$AL,MATCH($A117,'Tournament Setup'!$A:$A,0))&lt;=MOD($Y117,18),1,0)))</f>
      </c>
      <c r="AI117" t="e">
        <f>IF(OR(OR($A117="",$D117=""),O117=""),"",O117-(INT($Y117/18)+IF(INDEX('Tournament Setup'!$AM:$AM,MATCH($A117,'Tournament Setup'!$A:$A,0))&lt;=MOD($Y117,18),1,0)))</f>
      </c>
      <c r="AJ117" t="e">
        <f>IF(OR(OR($A117="",$D117=""),P117=""),"",P117-(INT($Y117/18)+IF(INDEX('Tournament Setup'!$AN:$AN,MATCH($A117,'Tournament Setup'!$A:$A,0))&lt;=MOD($Y117,18),1,0)))</f>
      </c>
      <c r="AK117" t="e">
        <f>IF(OR(OR($A117="",$D117=""),Q117=""),"",Q117-(INT($Y117/18)+IF(INDEX('Tournament Setup'!$AO:$AO,MATCH($A117,'Tournament Setup'!$A:$A,0))&lt;=MOD($Y117,18),1,0)))</f>
      </c>
      <c r="AL117" t="e">
        <f>IF(OR(OR($A117="",$D117=""),R117=""),"",R117-(INT($Y117/18)+IF(INDEX('Tournament Setup'!$AP:$AP,MATCH($A117,'Tournament Setup'!$A:$A,0))&lt;=MOD($Y117,18),1,0)))</f>
      </c>
      <c r="AM117" t="e">
        <f>IF(OR(OR($A117="",$D117=""),S117=""),"",S117-(INT($Y117/18)+IF(INDEX('Tournament Setup'!$AQ:$AQ,MATCH($A117,'Tournament Setup'!$A:$A,0))&lt;=MOD($Y117,18),1,0)))</f>
      </c>
      <c r="AN117" t="e">
        <f>IF(OR(OR($A117="",$D117=""),T117=""),"",T117-(INT($Y117/18)+IF(INDEX('Tournament Setup'!$AR:$AR,MATCH($A117,'Tournament Setup'!$A:$A,0))&lt;=MOD($Y117,18),1,0)))</f>
      </c>
      <c r="AO117" t="e">
        <f>IF(OR(OR($A117="",$D117=""),U117=""),"",U117-(INT($Y117/18)+IF(INDEX('Tournament Setup'!$AS:$AS,MATCH($A117,'Tournament Setup'!$A:$A,0))&lt;=MOD($Y117,18),1,0)))</f>
      </c>
      <c r="AP117" t="e">
        <f>IF(OR(OR($A117="",$D117=""),V117=""),"",V117-(INT($Y117/18)+IF(INDEX('Tournament Setup'!$AT:$AT,MATCH($A117,'Tournament Setup'!$A:$A,0))&lt;=MOD($Y117,18),1,0)))</f>
      </c>
      <c r="AQ117" t="e">
        <f>IF(OR(OR($A117="",$D117=""),W117=""),"",W117-(INT($Y117/18)+IF(INDEX('Tournament Setup'!$AU:$AU,MATCH($A117,'Tournament Setup'!$A:$A,0))&lt;=MOD($Y117,18),1,0)))</f>
      </c>
    </row>
    <row r="118">
      <c r="X118" t="e">
        <f>IF(OR($A118="",$D118=""),"",SUM(F118:W118))</f>
      </c>
      <c r="Y118" t="e">
        <f>IF(OR($A118="",$D118=""),"",IF(INDEX('Tournament Setup'!$F:$F,MATCH($A118,'Tournament Setup'!$A:$A,0))="Net",ROUND(($E118-_xlfn.MINIFS($E$2:$E$401,$A$2:$A$401,$A118,$B$2:$B$401,$B118))*INDEX('Tournament Setup'!$G:$G,MATCH($A118,'Tournament Setup'!$A:$A,0))/100,0),0))</f>
      </c>
      <c r="Z118" t="e">
        <f>IF(OR(OR($A118="",$D118=""),F118=""),"",F118-(INT($Y118/18)+IF(INDEX('Tournament Setup'!$AD:$AD,MATCH($A118,'Tournament Setup'!$A:$A,0))&lt;=MOD($Y118,18),1,0)))</f>
      </c>
      <c r="AA118" t="e">
        <f>IF(OR(OR($A118="",$D118=""),G118=""),"",G118-(INT($Y118/18)+IF(INDEX('Tournament Setup'!$AE:$AE,MATCH($A118,'Tournament Setup'!$A:$A,0))&lt;=MOD($Y118,18),1,0)))</f>
      </c>
      <c r="AB118" t="e">
        <f>IF(OR(OR($A118="",$D118=""),H118=""),"",H118-(INT($Y118/18)+IF(INDEX('Tournament Setup'!$AF:$AF,MATCH($A118,'Tournament Setup'!$A:$A,0))&lt;=MOD($Y118,18),1,0)))</f>
      </c>
      <c r="AC118" t="e">
        <f>IF(OR(OR($A118="",$D118=""),I118=""),"",I118-(INT($Y118/18)+IF(INDEX('Tournament Setup'!$AG:$AG,MATCH($A118,'Tournament Setup'!$A:$A,0))&lt;=MOD($Y118,18),1,0)))</f>
      </c>
      <c r="AD118" t="e">
        <f>IF(OR(OR($A118="",$D118=""),J118=""),"",J118-(INT($Y118/18)+IF(INDEX('Tournament Setup'!$AH:$AH,MATCH($A118,'Tournament Setup'!$A:$A,0))&lt;=MOD($Y118,18),1,0)))</f>
      </c>
      <c r="AE118" t="e">
        <f>IF(OR(OR($A118="",$D118=""),K118=""),"",K118-(INT($Y118/18)+IF(INDEX('Tournament Setup'!$AI:$AI,MATCH($A118,'Tournament Setup'!$A:$A,0))&lt;=MOD($Y118,18),1,0)))</f>
      </c>
      <c r="AF118" t="e">
        <f>IF(OR(OR($A118="",$D118=""),L118=""),"",L118-(INT($Y118/18)+IF(INDEX('Tournament Setup'!$AJ:$AJ,MATCH($A118,'Tournament Setup'!$A:$A,0))&lt;=MOD($Y118,18),1,0)))</f>
      </c>
      <c r="AG118" t="e">
        <f>IF(OR(OR($A118="",$D118=""),M118=""),"",M118-(INT($Y118/18)+IF(INDEX('Tournament Setup'!$AK:$AK,MATCH($A118,'Tournament Setup'!$A:$A,0))&lt;=MOD($Y118,18),1,0)))</f>
      </c>
      <c r="AH118" t="e">
        <f>IF(OR(OR($A118="",$D118=""),N118=""),"",N118-(INT($Y118/18)+IF(INDEX('Tournament Setup'!$AL:$AL,MATCH($A118,'Tournament Setup'!$A:$A,0))&lt;=MOD($Y118,18),1,0)))</f>
      </c>
      <c r="AI118" t="e">
        <f>IF(OR(OR($A118="",$D118=""),O118=""),"",O118-(INT($Y118/18)+IF(INDEX('Tournament Setup'!$AM:$AM,MATCH($A118,'Tournament Setup'!$A:$A,0))&lt;=MOD($Y118,18),1,0)))</f>
      </c>
      <c r="AJ118" t="e">
        <f>IF(OR(OR($A118="",$D118=""),P118=""),"",P118-(INT($Y118/18)+IF(INDEX('Tournament Setup'!$AN:$AN,MATCH($A118,'Tournament Setup'!$A:$A,0))&lt;=MOD($Y118,18),1,0)))</f>
      </c>
      <c r="AK118" t="e">
        <f>IF(OR(OR($A118="",$D118=""),Q118=""),"",Q118-(INT($Y118/18)+IF(INDEX('Tournament Setup'!$AO:$AO,MATCH($A118,'Tournament Setup'!$A:$A,0))&lt;=MOD($Y118,18),1,0)))</f>
      </c>
      <c r="AL118" t="e">
        <f>IF(OR(OR($A118="",$D118=""),R118=""),"",R118-(INT($Y118/18)+IF(INDEX('Tournament Setup'!$AP:$AP,MATCH($A118,'Tournament Setup'!$A:$A,0))&lt;=MOD($Y118,18),1,0)))</f>
      </c>
      <c r="AM118" t="e">
        <f>IF(OR(OR($A118="",$D118=""),S118=""),"",S118-(INT($Y118/18)+IF(INDEX('Tournament Setup'!$AQ:$AQ,MATCH($A118,'Tournament Setup'!$A:$A,0))&lt;=MOD($Y118,18),1,0)))</f>
      </c>
      <c r="AN118" t="e">
        <f>IF(OR(OR($A118="",$D118=""),T118=""),"",T118-(INT($Y118/18)+IF(INDEX('Tournament Setup'!$AR:$AR,MATCH($A118,'Tournament Setup'!$A:$A,0))&lt;=MOD($Y118,18),1,0)))</f>
      </c>
      <c r="AO118" t="e">
        <f>IF(OR(OR($A118="",$D118=""),U118=""),"",U118-(INT($Y118/18)+IF(INDEX('Tournament Setup'!$AS:$AS,MATCH($A118,'Tournament Setup'!$A:$A,0))&lt;=MOD($Y118,18),1,0)))</f>
      </c>
      <c r="AP118" t="e">
        <f>IF(OR(OR($A118="",$D118=""),V118=""),"",V118-(INT($Y118/18)+IF(INDEX('Tournament Setup'!$AT:$AT,MATCH($A118,'Tournament Setup'!$A:$A,0))&lt;=MOD($Y118,18),1,0)))</f>
      </c>
      <c r="AQ118" t="e">
        <f>IF(OR(OR($A118="",$D118=""),W118=""),"",W118-(INT($Y118/18)+IF(INDEX('Tournament Setup'!$AU:$AU,MATCH($A118,'Tournament Setup'!$A:$A,0))&lt;=MOD($Y118,18),1,0)))</f>
      </c>
    </row>
    <row r="119">
      <c r="X119" t="e">
        <f>IF(OR($A119="",$D119=""),"",SUM(F119:W119))</f>
      </c>
      <c r="Y119" t="e">
        <f>IF(OR($A119="",$D119=""),"",IF(INDEX('Tournament Setup'!$F:$F,MATCH($A119,'Tournament Setup'!$A:$A,0))="Net",ROUND(($E119-_xlfn.MINIFS($E$2:$E$401,$A$2:$A$401,$A119,$B$2:$B$401,$B119))*INDEX('Tournament Setup'!$G:$G,MATCH($A119,'Tournament Setup'!$A:$A,0))/100,0),0))</f>
      </c>
      <c r="Z119" t="e">
        <f>IF(OR(OR($A119="",$D119=""),F119=""),"",F119-(INT($Y119/18)+IF(INDEX('Tournament Setup'!$AD:$AD,MATCH($A119,'Tournament Setup'!$A:$A,0))&lt;=MOD($Y119,18),1,0)))</f>
      </c>
      <c r="AA119" t="e">
        <f>IF(OR(OR($A119="",$D119=""),G119=""),"",G119-(INT($Y119/18)+IF(INDEX('Tournament Setup'!$AE:$AE,MATCH($A119,'Tournament Setup'!$A:$A,0))&lt;=MOD($Y119,18),1,0)))</f>
      </c>
      <c r="AB119" t="e">
        <f>IF(OR(OR($A119="",$D119=""),H119=""),"",H119-(INT($Y119/18)+IF(INDEX('Tournament Setup'!$AF:$AF,MATCH($A119,'Tournament Setup'!$A:$A,0))&lt;=MOD($Y119,18),1,0)))</f>
      </c>
      <c r="AC119" t="e">
        <f>IF(OR(OR($A119="",$D119=""),I119=""),"",I119-(INT($Y119/18)+IF(INDEX('Tournament Setup'!$AG:$AG,MATCH($A119,'Tournament Setup'!$A:$A,0))&lt;=MOD($Y119,18),1,0)))</f>
      </c>
      <c r="AD119" t="e">
        <f>IF(OR(OR($A119="",$D119=""),J119=""),"",J119-(INT($Y119/18)+IF(INDEX('Tournament Setup'!$AH:$AH,MATCH($A119,'Tournament Setup'!$A:$A,0))&lt;=MOD($Y119,18),1,0)))</f>
      </c>
      <c r="AE119" t="e">
        <f>IF(OR(OR($A119="",$D119=""),K119=""),"",K119-(INT($Y119/18)+IF(INDEX('Tournament Setup'!$AI:$AI,MATCH($A119,'Tournament Setup'!$A:$A,0))&lt;=MOD($Y119,18),1,0)))</f>
      </c>
      <c r="AF119" t="e">
        <f>IF(OR(OR($A119="",$D119=""),L119=""),"",L119-(INT($Y119/18)+IF(INDEX('Tournament Setup'!$AJ:$AJ,MATCH($A119,'Tournament Setup'!$A:$A,0))&lt;=MOD($Y119,18),1,0)))</f>
      </c>
      <c r="AG119" t="e">
        <f>IF(OR(OR($A119="",$D119=""),M119=""),"",M119-(INT($Y119/18)+IF(INDEX('Tournament Setup'!$AK:$AK,MATCH($A119,'Tournament Setup'!$A:$A,0))&lt;=MOD($Y119,18),1,0)))</f>
      </c>
      <c r="AH119" t="e">
        <f>IF(OR(OR($A119="",$D119=""),N119=""),"",N119-(INT($Y119/18)+IF(INDEX('Tournament Setup'!$AL:$AL,MATCH($A119,'Tournament Setup'!$A:$A,0))&lt;=MOD($Y119,18),1,0)))</f>
      </c>
      <c r="AI119" t="e">
        <f>IF(OR(OR($A119="",$D119=""),O119=""),"",O119-(INT($Y119/18)+IF(INDEX('Tournament Setup'!$AM:$AM,MATCH($A119,'Tournament Setup'!$A:$A,0))&lt;=MOD($Y119,18),1,0)))</f>
      </c>
      <c r="AJ119" t="e">
        <f>IF(OR(OR($A119="",$D119=""),P119=""),"",P119-(INT($Y119/18)+IF(INDEX('Tournament Setup'!$AN:$AN,MATCH($A119,'Tournament Setup'!$A:$A,0))&lt;=MOD($Y119,18),1,0)))</f>
      </c>
      <c r="AK119" t="e">
        <f>IF(OR(OR($A119="",$D119=""),Q119=""),"",Q119-(INT($Y119/18)+IF(INDEX('Tournament Setup'!$AO:$AO,MATCH($A119,'Tournament Setup'!$A:$A,0))&lt;=MOD($Y119,18),1,0)))</f>
      </c>
      <c r="AL119" t="e">
        <f>IF(OR(OR($A119="",$D119=""),R119=""),"",R119-(INT($Y119/18)+IF(INDEX('Tournament Setup'!$AP:$AP,MATCH($A119,'Tournament Setup'!$A:$A,0))&lt;=MOD($Y119,18),1,0)))</f>
      </c>
      <c r="AM119" t="e">
        <f>IF(OR(OR($A119="",$D119=""),S119=""),"",S119-(INT($Y119/18)+IF(INDEX('Tournament Setup'!$AQ:$AQ,MATCH($A119,'Tournament Setup'!$A:$A,0))&lt;=MOD($Y119,18),1,0)))</f>
      </c>
      <c r="AN119" t="e">
        <f>IF(OR(OR($A119="",$D119=""),T119=""),"",T119-(INT($Y119/18)+IF(INDEX('Tournament Setup'!$AR:$AR,MATCH($A119,'Tournament Setup'!$A:$A,0))&lt;=MOD($Y119,18),1,0)))</f>
      </c>
      <c r="AO119" t="e">
        <f>IF(OR(OR($A119="",$D119=""),U119=""),"",U119-(INT($Y119/18)+IF(INDEX('Tournament Setup'!$AS:$AS,MATCH($A119,'Tournament Setup'!$A:$A,0))&lt;=MOD($Y119,18),1,0)))</f>
      </c>
      <c r="AP119" t="e">
        <f>IF(OR(OR($A119="",$D119=""),V119=""),"",V119-(INT($Y119/18)+IF(INDEX('Tournament Setup'!$AT:$AT,MATCH($A119,'Tournament Setup'!$A:$A,0))&lt;=MOD($Y119,18),1,0)))</f>
      </c>
      <c r="AQ119" t="e">
        <f>IF(OR(OR($A119="",$D119=""),W119=""),"",W119-(INT($Y119/18)+IF(INDEX('Tournament Setup'!$AU:$AU,MATCH($A119,'Tournament Setup'!$A:$A,0))&lt;=MOD($Y119,18),1,0)))</f>
      </c>
    </row>
    <row r="120">
      <c r="X120" t="e">
        <f>IF(OR($A120="",$D120=""),"",SUM(F120:W120))</f>
      </c>
      <c r="Y120" t="e">
        <f>IF(OR($A120="",$D120=""),"",IF(INDEX('Tournament Setup'!$F:$F,MATCH($A120,'Tournament Setup'!$A:$A,0))="Net",ROUND(($E120-_xlfn.MINIFS($E$2:$E$401,$A$2:$A$401,$A120,$B$2:$B$401,$B120))*INDEX('Tournament Setup'!$G:$G,MATCH($A120,'Tournament Setup'!$A:$A,0))/100,0),0))</f>
      </c>
      <c r="Z120" t="e">
        <f>IF(OR(OR($A120="",$D120=""),F120=""),"",F120-(INT($Y120/18)+IF(INDEX('Tournament Setup'!$AD:$AD,MATCH($A120,'Tournament Setup'!$A:$A,0))&lt;=MOD($Y120,18),1,0)))</f>
      </c>
      <c r="AA120" t="e">
        <f>IF(OR(OR($A120="",$D120=""),G120=""),"",G120-(INT($Y120/18)+IF(INDEX('Tournament Setup'!$AE:$AE,MATCH($A120,'Tournament Setup'!$A:$A,0))&lt;=MOD($Y120,18),1,0)))</f>
      </c>
      <c r="AB120" t="e">
        <f>IF(OR(OR($A120="",$D120=""),H120=""),"",H120-(INT($Y120/18)+IF(INDEX('Tournament Setup'!$AF:$AF,MATCH($A120,'Tournament Setup'!$A:$A,0))&lt;=MOD($Y120,18),1,0)))</f>
      </c>
      <c r="AC120" t="e">
        <f>IF(OR(OR($A120="",$D120=""),I120=""),"",I120-(INT($Y120/18)+IF(INDEX('Tournament Setup'!$AG:$AG,MATCH($A120,'Tournament Setup'!$A:$A,0))&lt;=MOD($Y120,18),1,0)))</f>
      </c>
      <c r="AD120" t="e">
        <f>IF(OR(OR($A120="",$D120=""),J120=""),"",J120-(INT($Y120/18)+IF(INDEX('Tournament Setup'!$AH:$AH,MATCH($A120,'Tournament Setup'!$A:$A,0))&lt;=MOD($Y120,18),1,0)))</f>
      </c>
      <c r="AE120" t="e">
        <f>IF(OR(OR($A120="",$D120=""),K120=""),"",K120-(INT($Y120/18)+IF(INDEX('Tournament Setup'!$AI:$AI,MATCH($A120,'Tournament Setup'!$A:$A,0))&lt;=MOD($Y120,18),1,0)))</f>
      </c>
      <c r="AF120" t="e">
        <f>IF(OR(OR($A120="",$D120=""),L120=""),"",L120-(INT($Y120/18)+IF(INDEX('Tournament Setup'!$AJ:$AJ,MATCH($A120,'Tournament Setup'!$A:$A,0))&lt;=MOD($Y120,18),1,0)))</f>
      </c>
      <c r="AG120" t="e">
        <f>IF(OR(OR($A120="",$D120=""),M120=""),"",M120-(INT($Y120/18)+IF(INDEX('Tournament Setup'!$AK:$AK,MATCH($A120,'Tournament Setup'!$A:$A,0))&lt;=MOD($Y120,18),1,0)))</f>
      </c>
      <c r="AH120" t="e">
        <f>IF(OR(OR($A120="",$D120=""),N120=""),"",N120-(INT($Y120/18)+IF(INDEX('Tournament Setup'!$AL:$AL,MATCH($A120,'Tournament Setup'!$A:$A,0))&lt;=MOD($Y120,18),1,0)))</f>
      </c>
      <c r="AI120" t="e">
        <f>IF(OR(OR($A120="",$D120=""),O120=""),"",O120-(INT($Y120/18)+IF(INDEX('Tournament Setup'!$AM:$AM,MATCH($A120,'Tournament Setup'!$A:$A,0))&lt;=MOD($Y120,18),1,0)))</f>
      </c>
      <c r="AJ120" t="e">
        <f>IF(OR(OR($A120="",$D120=""),P120=""),"",P120-(INT($Y120/18)+IF(INDEX('Tournament Setup'!$AN:$AN,MATCH($A120,'Tournament Setup'!$A:$A,0))&lt;=MOD($Y120,18),1,0)))</f>
      </c>
      <c r="AK120" t="e">
        <f>IF(OR(OR($A120="",$D120=""),Q120=""),"",Q120-(INT($Y120/18)+IF(INDEX('Tournament Setup'!$AO:$AO,MATCH($A120,'Tournament Setup'!$A:$A,0))&lt;=MOD($Y120,18),1,0)))</f>
      </c>
      <c r="AL120" t="e">
        <f>IF(OR(OR($A120="",$D120=""),R120=""),"",R120-(INT($Y120/18)+IF(INDEX('Tournament Setup'!$AP:$AP,MATCH($A120,'Tournament Setup'!$A:$A,0))&lt;=MOD($Y120,18),1,0)))</f>
      </c>
      <c r="AM120" t="e">
        <f>IF(OR(OR($A120="",$D120=""),S120=""),"",S120-(INT($Y120/18)+IF(INDEX('Tournament Setup'!$AQ:$AQ,MATCH($A120,'Tournament Setup'!$A:$A,0))&lt;=MOD($Y120,18),1,0)))</f>
      </c>
      <c r="AN120" t="e">
        <f>IF(OR(OR($A120="",$D120=""),T120=""),"",T120-(INT($Y120/18)+IF(INDEX('Tournament Setup'!$AR:$AR,MATCH($A120,'Tournament Setup'!$A:$A,0))&lt;=MOD($Y120,18),1,0)))</f>
      </c>
      <c r="AO120" t="e">
        <f>IF(OR(OR($A120="",$D120=""),U120=""),"",U120-(INT($Y120/18)+IF(INDEX('Tournament Setup'!$AS:$AS,MATCH($A120,'Tournament Setup'!$A:$A,0))&lt;=MOD($Y120,18),1,0)))</f>
      </c>
      <c r="AP120" t="e">
        <f>IF(OR(OR($A120="",$D120=""),V120=""),"",V120-(INT($Y120/18)+IF(INDEX('Tournament Setup'!$AT:$AT,MATCH($A120,'Tournament Setup'!$A:$A,0))&lt;=MOD($Y120,18),1,0)))</f>
      </c>
      <c r="AQ120" t="e">
        <f>IF(OR(OR($A120="",$D120=""),W120=""),"",W120-(INT($Y120/18)+IF(INDEX('Tournament Setup'!$AU:$AU,MATCH($A120,'Tournament Setup'!$A:$A,0))&lt;=MOD($Y120,18),1,0)))</f>
      </c>
    </row>
    <row r="121">
      <c r="X121" t="e">
        <f>IF(OR($A121="",$D121=""),"",SUM(F121:W121))</f>
      </c>
      <c r="Y121" t="e">
        <f>IF(OR($A121="",$D121=""),"",IF(INDEX('Tournament Setup'!$F:$F,MATCH($A121,'Tournament Setup'!$A:$A,0))="Net",ROUND(($E121-_xlfn.MINIFS($E$2:$E$401,$A$2:$A$401,$A121,$B$2:$B$401,$B121))*INDEX('Tournament Setup'!$G:$G,MATCH($A121,'Tournament Setup'!$A:$A,0))/100,0),0))</f>
      </c>
      <c r="Z121" t="e">
        <f>IF(OR(OR($A121="",$D121=""),F121=""),"",F121-(INT($Y121/18)+IF(INDEX('Tournament Setup'!$AD:$AD,MATCH($A121,'Tournament Setup'!$A:$A,0))&lt;=MOD($Y121,18),1,0)))</f>
      </c>
      <c r="AA121" t="e">
        <f>IF(OR(OR($A121="",$D121=""),G121=""),"",G121-(INT($Y121/18)+IF(INDEX('Tournament Setup'!$AE:$AE,MATCH($A121,'Tournament Setup'!$A:$A,0))&lt;=MOD($Y121,18),1,0)))</f>
      </c>
      <c r="AB121" t="e">
        <f>IF(OR(OR($A121="",$D121=""),H121=""),"",H121-(INT($Y121/18)+IF(INDEX('Tournament Setup'!$AF:$AF,MATCH($A121,'Tournament Setup'!$A:$A,0))&lt;=MOD($Y121,18),1,0)))</f>
      </c>
      <c r="AC121" t="e">
        <f>IF(OR(OR($A121="",$D121=""),I121=""),"",I121-(INT($Y121/18)+IF(INDEX('Tournament Setup'!$AG:$AG,MATCH($A121,'Tournament Setup'!$A:$A,0))&lt;=MOD($Y121,18),1,0)))</f>
      </c>
      <c r="AD121" t="e">
        <f>IF(OR(OR($A121="",$D121=""),J121=""),"",J121-(INT($Y121/18)+IF(INDEX('Tournament Setup'!$AH:$AH,MATCH($A121,'Tournament Setup'!$A:$A,0))&lt;=MOD($Y121,18),1,0)))</f>
      </c>
      <c r="AE121" t="e">
        <f>IF(OR(OR($A121="",$D121=""),K121=""),"",K121-(INT($Y121/18)+IF(INDEX('Tournament Setup'!$AI:$AI,MATCH($A121,'Tournament Setup'!$A:$A,0))&lt;=MOD($Y121,18),1,0)))</f>
      </c>
      <c r="AF121" t="e">
        <f>IF(OR(OR($A121="",$D121=""),L121=""),"",L121-(INT($Y121/18)+IF(INDEX('Tournament Setup'!$AJ:$AJ,MATCH($A121,'Tournament Setup'!$A:$A,0))&lt;=MOD($Y121,18),1,0)))</f>
      </c>
      <c r="AG121" t="e">
        <f>IF(OR(OR($A121="",$D121=""),M121=""),"",M121-(INT($Y121/18)+IF(INDEX('Tournament Setup'!$AK:$AK,MATCH($A121,'Tournament Setup'!$A:$A,0))&lt;=MOD($Y121,18),1,0)))</f>
      </c>
      <c r="AH121" t="e">
        <f>IF(OR(OR($A121="",$D121=""),N121=""),"",N121-(INT($Y121/18)+IF(INDEX('Tournament Setup'!$AL:$AL,MATCH($A121,'Tournament Setup'!$A:$A,0))&lt;=MOD($Y121,18),1,0)))</f>
      </c>
      <c r="AI121" t="e">
        <f>IF(OR(OR($A121="",$D121=""),O121=""),"",O121-(INT($Y121/18)+IF(INDEX('Tournament Setup'!$AM:$AM,MATCH($A121,'Tournament Setup'!$A:$A,0))&lt;=MOD($Y121,18),1,0)))</f>
      </c>
      <c r="AJ121" t="e">
        <f>IF(OR(OR($A121="",$D121=""),P121=""),"",P121-(INT($Y121/18)+IF(INDEX('Tournament Setup'!$AN:$AN,MATCH($A121,'Tournament Setup'!$A:$A,0))&lt;=MOD($Y121,18),1,0)))</f>
      </c>
      <c r="AK121" t="e">
        <f>IF(OR(OR($A121="",$D121=""),Q121=""),"",Q121-(INT($Y121/18)+IF(INDEX('Tournament Setup'!$AO:$AO,MATCH($A121,'Tournament Setup'!$A:$A,0))&lt;=MOD($Y121,18),1,0)))</f>
      </c>
      <c r="AL121" t="e">
        <f>IF(OR(OR($A121="",$D121=""),R121=""),"",R121-(INT($Y121/18)+IF(INDEX('Tournament Setup'!$AP:$AP,MATCH($A121,'Tournament Setup'!$A:$A,0))&lt;=MOD($Y121,18),1,0)))</f>
      </c>
      <c r="AM121" t="e">
        <f>IF(OR(OR($A121="",$D121=""),S121=""),"",S121-(INT($Y121/18)+IF(INDEX('Tournament Setup'!$AQ:$AQ,MATCH($A121,'Tournament Setup'!$A:$A,0))&lt;=MOD($Y121,18),1,0)))</f>
      </c>
      <c r="AN121" t="e">
        <f>IF(OR(OR($A121="",$D121=""),T121=""),"",T121-(INT($Y121/18)+IF(INDEX('Tournament Setup'!$AR:$AR,MATCH($A121,'Tournament Setup'!$A:$A,0))&lt;=MOD($Y121,18),1,0)))</f>
      </c>
      <c r="AO121" t="e">
        <f>IF(OR(OR($A121="",$D121=""),U121=""),"",U121-(INT($Y121/18)+IF(INDEX('Tournament Setup'!$AS:$AS,MATCH($A121,'Tournament Setup'!$A:$A,0))&lt;=MOD($Y121,18),1,0)))</f>
      </c>
      <c r="AP121" t="e">
        <f>IF(OR(OR($A121="",$D121=""),V121=""),"",V121-(INT($Y121/18)+IF(INDEX('Tournament Setup'!$AT:$AT,MATCH($A121,'Tournament Setup'!$A:$A,0))&lt;=MOD($Y121,18),1,0)))</f>
      </c>
      <c r="AQ121" t="e">
        <f>IF(OR(OR($A121="",$D121=""),W121=""),"",W121-(INT($Y121/18)+IF(INDEX('Tournament Setup'!$AU:$AU,MATCH($A121,'Tournament Setup'!$A:$A,0))&lt;=MOD($Y121,18),1,0)))</f>
      </c>
    </row>
    <row r="122">
      <c r="X122" t="e">
        <f>IF(OR($A122="",$D122=""),"",SUM(F122:W122))</f>
      </c>
      <c r="Y122" t="e">
        <f>IF(OR($A122="",$D122=""),"",IF(INDEX('Tournament Setup'!$F:$F,MATCH($A122,'Tournament Setup'!$A:$A,0))="Net",ROUND(($E122-_xlfn.MINIFS($E$2:$E$401,$A$2:$A$401,$A122,$B$2:$B$401,$B122))*INDEX('Tournament Setup'!$G:$G,MATCH($A122,'Tournament Setup'!$A:$A,0))/100,0),0))</f>
      </c>
      <c r="Z122" t="e">
        <f>IF(OR(OR($A122="",$D122=""),F122=""),"",F122-(INT($Y122/18)+IF(INDEX('Tournament Setup'!$AD:$AD,MATCH($A122,'Tournament Setup'!$A:$A,0))&lt;=MOD($Y122,18),1,0)))</f>
      </c>
      <c r="AA122" t="e">
        <f>IF(OR(OR($A122="",$D122=""),G122=""),"",G122-(INT($Y122/18)+IF(INDEX('Tournament Setup'!$AE:$AE,MATCH($A122,'Tournament Setup'!$A:$A,0))&lt;=MOD($Y122,18),1,0)))</f>
      </c>
      <c r="AB122" t="e">
        <f>IF(OR(OR($A122="",$D122=""),H122=""),"",H122-(INT($Y122/18)+IF(INDEX('Tournament Setup'!$AF:$AF,MATCH($A122,'Tournament Setup'!$A:$A,0))&lt;=MOD($Y122,18),1,0)))</f>
      </c>
      <c r="AC122" t="e">
        <f>IF(OR(OR($A122="",$D122=""),I122=""),"",I122-(INT($Y122/18)+IF(INDEX('Tournament Setup'!$AG:$AG,MATCH($A122,'Tournament Setup'!$A:$A,0))&lt;=MOD($Y122,18),1,0)))</f>
      </c>
      <c r="AD122" t="e">
        <f>IF(OR(OR($A122="",$D122=""),J122=""),"",J122-(INT($Y122/18)+IF(INDEX('Tournament Setup'!$AH:$AH,MATCH($A122,'Tournament Setup'!$A:$A,0))&lt;=MOD($Y122,18),1,0)))</f>
      </c>
      <c r="AE122" t="e">
        <f>IF(OR(OR($A122="",$D122=""),K122=""),"",K122-(INT($Y122/18)+IF(INDEX('Tournament Setup'!$AI:$AI,MATCH($A122,'Tournament Setup'!$A:$A,0))&lt;=MOD($Y122,18),1,0)))</f>
      </c>
      <c r="AF122" t="e">
        <f>IF(OR(OR($A122="",$D122=""),L122=""),"",L122-(INT($Y122/18)+IF(INDEX('Tournament Setup'!$AJ:$AJ,MATCH($A122,'Tournament Setup'!$A:$A,0))&lt;=MOD($Y122,18),1,0)))</f>
      </c>
      <c r="AG122" t="e">
        <f>IF(OR(OR($A122="",$D122=""),M122=""),"",M122-(INT($Y122/18)+IF(INDEX('Tournament Setup'!$AK:$AK,MATCH($A122,'Tournament Setup'!$A:$A,0))&lt;=MOD($Y122,18),1,0)))</f>
      </c>
      <c r="AH122" t="e">
        <f>IF(OR(OR($A122="",$D122=""),N122=""),"",N122-(INT($Y122/18)+IF(INDEX('Tournament Setup'!$AL:$AL,MATCH($A122,'Tournament Setup'!$A:$A,0))&lt;=MOD($Y122,18),1,0)))</f>
      </c>
      <c r="AI122" t="e">
        <f>IF(OR(OR($A122="",$D122=""),O122=""),"",O122-(INT($Y122/18)+IF(INDEX('Tournament Setup'!$AM:$AM,MATCH($A122,'Tournament Setup'!$A:$A,0))&lt;=MOD($Y122,18),1,0)))</f>
      </c>
      <c r="AJ122" t="e">
        <f>IF(OR(OR($A122="",$D122=""),P122=""),"",P122-(INT($Y122/18)+IF(INDEX('Tournament Setup'!$AN:$AN,MATCH($A122,'Tournament Setup'!$A:$A,0))&lt;=MOD($Y122,18),1,0)))</f>
      </c>
      <c r="AK122" t="e">
        <f>IF(OR(OR($A122="",$D122=""),Q122=""),"",Q122-(INT($Y122/18)+IF(INDEX('Tournament Setup'!$AO:$AO,MATCH($A122,'Tournament Setup'!$A:$A,0))&lt;=MOD($Y122,18),1,0)))</f>
      </c>
      <c r="AL122" t="e">
        <f>IF(OR(OR($A122="",$D122=""),R122=""),"",R122-(INT($Y122/18)+IF(INDEX('Tournament Setup'!$AP:$AP,MATCH($A122,'Tournament Setup'!$A:$A,0))&lt;=MOD($Y122,18),1,0)))</f>
      </c>
      <c r="AM122" t="e">
        <f>IF(OR(OR($A122="",$D122=""),S122=""),"",S122-(INT($Y122/18)+IF(INDEX('Tournament Setup'!$AQ:$AQ,MATCH($A122,'Tournament Setup'!$A:$A,0))&lt;=MOD($Y122,18),1,0)))</f>
      </c>
      <c r="AN122" t="e">
        <f>IF(OR(OR($A122="",$D122=""),T122=""),"",T122-(INT($Y122/18)+IF(INDEX('Tournament Setup'!$AR:$AR,MATCH($A122,'Tournament Setup'!$A:$A,0))&lt;=MOD($Y122,18),1,0)))</f>
      </c>
      <c r="AO122" t="e">
        <f>IF(OR(OR($A122="",$D122=""),U122=""),"",U122-(INT($Y122/18)+IF(INDEX('Tournament Setup'!$AS:$AS,MATCH($A122,'Tournament Setup'!$A:$A,0))&lt;=MOD($Y122,18),1,0)))</f>
      </c>
      <c r="AP122" t="e">
        <f>IF(OR(OR($A122="",$D122=""),V122=""),"",V122-(INT($Y122/18)+IF(INDEX('Tournament Setup'!$AT:$AT,MATCH($A122,'Tournament Setup'!$A:$A,0))&lt;=MOD($Y122,18),1,0)))</f>
      </c>
      <c r="AQ122" t="e">
        <f>IF(OR(OR($A122="",$D122=""),W122=""),"",W122-(INT($Y122/18)+IF(INDEX('Tournament Setup'!$AU:$AU,MATCH($A122,'Tournament Setup'!$A:$A,0))&lt;=MOD($Y122,18),1,0)))</f>
      </c>
    </row>
    <row r="123">
      <c r="X123" t="e">
        <f>IF(OR($A123="",$D123=""),"",SUM(F123:W123))</f>
      </c>
      <c r="Y123" t="e">
        <f>IF(OR($A123="",$D123=""),"",IF(INDEX('Tournament Setup'!$F:$F,MATCH($A123,'Tournament Setup'!$A:$A,0))="Net",ROUND(($E123-_xlfn.MINIFS($E$2:$E$401,$A$2:$A$401,$A123,$B$2:$B$401,$B123))*INDEX('Tournament Setup'!$G:$G,MATCH($A123,'Tournament Setup'!$A:$A,0))/100,0),0))</f>
      </c>
      <c r="Z123" t="e">
        <f>IF(OR(OR($A123="",$D123=""),F123=""),"",F123-(INT($Y123/18)+IF(INDEX('Tournament Setup'!$AD:$AD,MATCH($A123,'Tournament Setup'!$A:$A,0))&lt;=MOD($Y123,18),1,0)))</f>
      </c>
      <c r="AA123" t="e">
        <f>IF(OR(OR($A123="",$D123=""),G123=""),"",G123-(INT($Y123/18)+IF(INDEX('Tournament Setup'!$AE:$AE,MATCH($A123,'Tournament Setup'!$A:$A,0))&lt;=MOD($Y123,18),1,0)))</f>
      </c>
      <c r="AB123" t="e">
        <f>IF(OR(OR($A123="",$D123=""),H123=""),"",H123-(INT($Y123/18)+IF(INDEX('Tournament Setup'!$AF:$AF,MATCH($A123,'Tournament Setup'!$A:$A,0))&lt;=MOD($Y123,18),1,0)))</f>
      </c>
      <c r="AC123" t="e">
        <f>IF(OR(OR($A123="",$D123=""),I123=""),"",I123-(INT($Y123/18)+IF(INDEX('Tournament Setup'!$AG:$AG,MATCH($A123,'Tournament Setup'!$A:$A,0))&lt;=MOD($Y123,18),1,0)))</f>
      </c>
      <c r="AD123" t="e">
        <f>IF(OR(OR($A123="",$D123=""),J123=""),"",J123-(INT($Y123/18)+IF(INDEX('Tournament Setup'!$AH:$AH,MATCH($A123,'Tournament Setup'!$A:$A,0))&lt;=MOD($Y123,18),1,0)))</f>
      </c>
      <c r="AE123" t="e">
        <f>IF(OR(OR($A123="",$D123=""),K123=""),"",K123-(INT($Y123/18)+IF(INDEX('Tournament Setup'!$AI:$AI,MATCH($A123,'Tournament Setup'!$A:$A,0))&lt;=MOD($Y123,18),1,0)))</f>
      </c>
      <c r="AF123" t="e">
        <f>IF(OR(OR($A123="",$D123=""),L123=""),"",L123-(INT($Y123/18)+IF(INDEX('Tournament Setup'!$AJ:$AJ,MATCH($A123,'Tournament Setup'!$A:$A,0))&lt;=MOD($Y123,18),1,0)))</f>
      </c>
      <c r="AG123" t="e">
        <f>IF(OR(OR($A123="",$D123=""),M123=""),"",M123-(INT($Y123/18)+IF(INDEX('Tournament Setup'!$AK:$AK,MATCH($A123,'Tournament Setup'!$A:$A,0))&lt;=MOD($Y123,18),1,0)))</f>
      </c>
      <c r="AH123" t="e">
        <f>IF(OR(OR($A123="",$D123=""),N123=""),"",N123-(INT($Y123/18)+IF(INDEX('Tournament Setup'!$AL:$AL,MATCH($A123,'Tournament Setup'!$A:$A,0))&lt;=MOD($Y123,18),1,0)))</f>
      </c>
      <c r="AI123" t="e">
        <f>IF(OR(OR($A123="",$D123=""),O123=""),"",O123-(INT($Y123/18)+IF(INDEX('Tournament Setup'!$AM:$AM,MATCH($A123,'Tournament Setup'!$A:$A,0))&lt;=MOD($Y123,18),1,0)))</f>
      </c>
      <c r="AJ123" t="e">
        <f>IF(OR(OR($A123="",$D123=""),P123=""),"",P123-(INT($Y123/18)+IF(INDEX('Tournament Setup'!$AN:$AN,MATCH($A123,'Tournament Setup'!$A:$A,0))&lt;=MOD($Y123,18),1,0)))</f>
      </c>
      <c r="AK123" t="e">
        <f>IF(OR(OR($A123="",$D123=""),Q123=""),"",Q123-(INT($Y123/18)+IF(INDEX('Tournament Setup'!$AO:$AO,MATCH($A123,'Tournament Setup'!$A:$A,0))&lt;=MOD($Y123,18),1,0)))</f>
      </c>
      <c r="AL123" t="e">
        <f>IF(OR(OR($A123="",$D123=""),R123=""),"",R123-(INT($Y123/18)+IF(INDEX('Tournament Setup'!$AP:$AP,MATCH($A123,'Tournament Setup'!$A:$A,0))&lt;=MOD($Y123,18),1,0)))</f>
      </c>
      <c r="AM123" t="e">
        <f>IF(OR(OR($A123="",$D123=""),S123=""),"",S123-(INT($Y123/18)+IF(INDEX('Tournament Setup'!$AQ:$AQ,MATCH($A123,'Tournament Setup'!$A:$A,0))&lt;=MOD($Y123,18),1,0)))</f>
      </c>
      <c r="AN123" t="e">
        <f>IF(OR(OR($A123="",$D123=""),T123=""),"",T123-(INT($Y123/18)+IF(INDEX('Tournament Setup'!$AR:$AR,MATCH($A123,'Tournament Setup'!$A:$A,0))&lt;=MOD($Y123,18),1,0)))</f>
      </c>
      <c r="AO123" t="e">
        <f>IF(OR(OR($A123="",$D123=""),U123=""),"",U123-(INT($Y123/18)+IF(INDEX('Tournament Setup'!$AS:$AS,MATCH($A123,'Tournament Setup'!$A:$A,0))&lt;=MOD($Y123,18),1,0)))</f>
      </c>
      <c r="AP123" t="e">
        <f>IF(OR(OR($A123="",$D123=""),V123=""),"",V123-(INT($Y123/18)+IF(INDEX('Tournament Setup'!$AT:$AT,MATCH($A123,'Tournament Setup'!$A:$A,0))&lt;=MOD($Y123,18),1,0)))</f>
      </c>
      <c r="AQ123" t="e">
        <f>IF(OR(OR($A123="",$D123=""),W123=""),"",W123-(INT($Y123/18)+IF(INDEX('Tournament Setup'!$AU:$AU,MATCH($A123,'Tournament Setup'!$A:$A,0))&lt;=MOD($Y123,18),1,0)))</f>
      </c>
    </row>
    <row r="124">
      <c r="X124" t="e">
        <f>IF(OR($A124="",$D124=""),"",SUM(F124:W124))</f>
      </c>
      <c r="Y124" t="e">
        <f>IF(OR($A124="",$D124=""),"",IF(INDEX('Tournament Setup'!$F:$F,MATCH($A124,'Tournament Setup'!$A:$A,0))="Net",ROUND(($E124-_xlfn.MINIFS($E$2:$E$401,$A$2:$A$401,$A124,$B$2:$B$401,$B124))*INDEX('Tournament Setup'!$G:$G,MATCH($A124,'Tournament Setup'!$A:$A,0))/100,0),0))</f>
      </c>
      <c r="Z124" t="e">
        <f>IF(OR(OR($A124="",$D124=""),F124=""),"",F124-(INT($Y124/18)+IF(INDEX('Tournament Setup'!$AD:$AD,MATCH($A124,'Tournament Setup'!$A:$A,0))&lt;=MOD($Y124,18),1,0)))</f>
      </c>
      <c r="AA124" t="e">
        <f>IF(OR(OR($A124="",$D124=""),G124=""),"",G124-(INT($Y124/18)+IF(INDEX('Tournament Setup'!$AE:$AE,MATCH($A124,'Tournament Setup'!$A:$A,0))&lt;=MOD($Y124,18),1,0)))</f>
      </c>
      <c r="AB124" t="e">
        <f>IF(OR(OR($A124="",$D124=""),H124=""),"",H124-(INT($Y124/18)+IF(INDEX('Tournament Setup'!$AF:$AF,MATCH($A124,'Tournament Setup'!$A:$A,0))&lt;=MOD($Y124,18),1,0)))</f>
      </c>
      <c r="AC124" t="e">
        <f>IF(OR(OR($A124="",$D124=""),I124=""),"",I124-(INT($Y124/18)+IF(INDEX('Tournament Setup'!$AG:$AG,MATCH($A124,'Tournament Setup'!$A:$A,0))&lt;=MOD($Y124,18),1,0)))</f>
      </c>
      <c r="AD124" t="e">
        <f>IF(OR(OR($A124="",$D124=""),J124=""),"",J124-(INT($Y124/18)+IF(INDEX('Tournament Setup'!$AH:$AH,MATCH($A124,'Tournament Setup'!$A:$A,0))&lt;=MOD($Y124,18),1,0)))</f>
      </c>
      <c r="AE124" t="e">
        <f>IF(OR(OR($A124="",$D124=""),K124=""),"",K124-(INT($Y124/18)+IF(INDEX('Tournament Setup'!$AI:$AI,MATCH($A124,'Tournament Setup'!$A:$A,0))&lt;=MOD($Y124,18),1,0)))</f>
      </c>
      <c r="AF124" t="e">
        <f>IF(OR(OR($A124="",$D124=""),L124=""),"",L124-(INT($Y124/18)+IF(INDEX('Tournament Setup'!$AJ:$AJ,MATCH($A124,'Tournament Setup'!$A:$A,0))&lt;=MOD($Y124,18),1,0)))</f>
      </c>
      <c r="AG124" t="e">
        <f>IF(OR(OR($A124="",$D124=""),M124=""),"",M124-(INT($Y124/18)+IF(INDEX('Tournament Setup'!$AK:$AK,MATCH($A124,'Tournament Setup'!$A:$A,0))&lt;=MOD($Y124,18),1,0)))</f>
      </c>
      <c r="AH124" t="e">
        <f>IF(OR(OR($A124="",$D124=""),N124=""),"",N124-(INT($Y124/18)+IF(INDEX('Tournament Setup'!$AL:$AL,MATCH($A124,'Tournament Setup'!$A:$A,0))&lt;=MOD($Y124,18),1,0)))</f>
      </c>
      <c r="AI124" t="e">
        <f>IF(OR(OR($A124="",$D124=""),O124=""),"",O124-(INT($Y124/18)+IF(INDEX('Tournament Setup'!$AM:$AM,MATCH($A124,'Tournament Setup'!$A:$A,0))&lt;=MOD($Y124,18),1,0)))</f>
      </c>
      <c r="AJ124" t="e">
        <f>IF(OR(OR($A124="",$D124=""),P124=""),"",P124-(INT($Y124/18)+IF(INDEX('Tournament Setup'!$AN:$AN,MATCH($A124,'Tournament Setup'!$A:$A,0))&lt;=MOD($Y124,18),1,0)))</f>
      </c>
      <c r="AK124" t="e">
        <f>IF(OR(OR($A124="",$D124=""),Q124=""),"",Q124-(INT($Y124/18)+IF(INDEX('Tournament Setup'!$AO:$AO,MATCH($A124,'Tournament Setup'!$A:$A,0))&lt;=MOD($Y124,18),1,0)))</f>
      </c>
      <c r="AL124" t="e">
        <f>IF(OR(OR($A124="",$D124=""),R124=""),"",R124-(INT($Y124/18)+IF(INDEX('Tournament Setup'!$AP:$AP,MATCH($A124,'Tournament Setup'!$A:$A,0))&lt;=MOD($Y124,18),1,0)))</f>
      </c>
      <c r="AM124" t="e">
        <f>IF(OR(OR($A124="",$D124=""),S124=""),"",S124-(INT($Y124/18)+IF(INDEX('Tournament Setup'!$AQ:$AQ,MATCH($A124,'Tournament Setup'!$A:$A,0))&lt;=MOD($Y124,18),1,0)))</f>
      </c>
      <c r="AN124" t="e">
        <f>IF(OR(OR($A124="",$D124=""),T124=""),"",T124-(INT($Y124/18)+IF(INDEX('Tournament Setup'!$AR:$AR,MATCH($A124,'Tournament Setup'!$A:$A,0))&lt;=MOD($Y124,18),1,0)))</f>
      </c>
      <c r="AO124" t="e">
        <f>IF(OR(OR($A124="",$D124=""),U124=""),"",U124-(INT($Y124/18)+IF(INDEX('Tournament Setup'!$AS:$AS,MATCH($A124,'Tournament Setup'!$A:$A,0))&lt;=MOD($Y124,18),1,0)))</f>
      </c>
      <c r="AP124" t="e">
        <f>IF(OR(OR($A124="",$D124=""),V124=""),"",V124-(INT($Y124/18)+IF(INDEX('Tournament Setup'!$AT:$AT,MATCH($A124,'Tournament Setup'!$A:$A,0))&lt;=MOD($Y124,18),1,0)))</f>
      </c>
      <c r="AQ124" t="e">
        <f>IF(OR(OR($A124="",$D124=""),W124=""),"",W124-(INT($Y124/18)+IF(INDEX('Tournament Setup'!$AU:$AU,MATCH($A124,'Tournament Setup'!$A:$A,0))&lt;=MOD($Y124,18),1,0)))</f>
      </c>
    </row>
    <row r="125">
      <c r="X125" t="e">
        <f>IF(OR($A125="",$D125=""),"",SUM(F125:W125))</f>
      </c>
      <c r="Y125" t="e">
        <f>IF(OR($A125="",$D125=""),"",IF(INDEX('Tournament Setup'!$F:$F,MATCH($A125,'Tournament Setup'!$A:$A,0))="Net",ROUND(($E125-_xlfn.MINIFS($E$2:$E$401,$A$2:$A$401,$A125,$B$2:$B$401,$B125))*INDEX('Tournament Setup'!$G:$G,MATCH($A125,'Tournament Setup'!$A:$A,0))/100,0),0))</f>
      </c>
      <c r="Z125" t="e">
        <f>IF(OR(OR($A125="",$D125=""),F125=""),"",F125-(INT($Y125/18)+IF(INDEX('Tournament Setup'!$AD:$AD,MATCH($A125,'Tournament Setup'!$A:$A,0))&lt;=MOD($Y125,18),1,0)))</f>
      </c>
      <c r="AA125" t="e">
        <f>IF(OR(OR($A125="",$D125=""),G125=""),"",G125-(INT($Y125/18)+IF(INDEX('Tournament Setup'!$AE:$AE,MATCH($A125,'Tournament Setup'!$A:$A,0))&lt;=MOD($Y125,18),1,0)))</f>
      </c>
      <c r="AB125" t="e">
        <f>IF(OR(OR($A125="",$D125=""),H125=""),"",H125-(INT($Y125/18)+IF(INDEX('Tournament Setup'!$AF:$AF,MATCH($A125,'Tournament Setup'!$A:$A,0))&lt;=MOD($Y125,18),1,0)))</f>
      </c>
      <c r="AC125" t="e">
        <f>IF(OR(OR($A125="",$D125=""),I125=""),"",I125-(INT($Y125/18)+IF(INDEX('Tournament Setup'!$AG:$AG,MATCH($A125,'Tournament Setup'!$A:$A,0))&lt;=MOD($Y125,18),1,0)))</f>
      </c>
      <c r="AD125" t="e">
        <f>IF(OR(OR($A125="",$D125=""),J125=""),"",J125-(INT($Y125/18)+IF(INDEX('Tournament Setup'!$AH:$AH,MATCH($A125,'Tournament Setup'!$A:$A,0))&lt;=MOD($Y125,18),1,0)))</f>
      </c>
      <c r="AE125" t="e">
        <f>IF(OR(OR($A125="",$D125=""),K125=""),"",K125-(INT($Y125/18)+IF(INDEX('Tournament Setup'!$AI:$AI,MATCH($A125,'Tournament Setup'!$A:$A,0))&lt;=MOD($Y125,18),1,0)))</f>
      </c>
      <c r="AF125" t="e">
        <f>IF(OR(OR($A125="",$D125=""),L125=""),"",L125-(INT($Y125/18)+IF(INDEX('Tournament Setup'!$AJ:$AJ,MATCH($A125,'Tournament Setup'!$A:$A,0))&lt;=MOD($Y125,18),1,0)))</f>
      </c>
      <c r="AG125" t="e">
        <f>IF(OR(OR($A125="",$D125=""),M125=""),"",M125-(INT($Y125/18)+IF(INDEX('Tournament Setup'!$AK:$AK,MATCH($A125,'Tournament Setup'!$A:$A,0))&lt;=MOD($Y125,18),1,0)))</f>
      </c>
      <c r="AH125" t="e">
        <f>IF(OR(OR($A125="",$D125=""),N125=""),"",N125-(INT($Y125/18)+IF(INDEX('Tournament Setup'!$AL:$AL,MATCH($A125,'Tournament Setup'!$A:$A,0))&lt;=MOD($Y125,18),1,0)))</f>
      </c>
      <c r="AI125" t="e">
        <f>IF(OR(OR($A125="",$D125=""),O125=""),"",O125-(INT($Y125/18)+IF(INDEX('Tournament Setup'!$AM:$AM,MATCH($A125,'Tournament Setup'!$A:$A,0))&lt;=MOD($Y125,18),1,0)))</f>
      </c>
      <c r="AJ125" t="e">
        <f>IF(OR(OR($A125="",$D125=""),P125=""),"",P125-(INT($Y125/18)+IF(INDEX('Tournament Setup'!$AN:$AN,MATCH($A125,'Tournament Setup'!$A:$A,0))&lt;=MOD($Y125,18),1,0)))</f>
      </c>
      <c r="AK125" t="e">
        <f>IF(OR(OR($A125="",$D125=""),Q125=""),"",Q125-(INT($Y125/18)+IF(INDEX('Tournament Setup'!$AO:$AO,MATCH($A125,'Tournament Setup'!$A:$A,0))&lt;=MOD($Y125,18),1,0)))</f>
      </c>
      <c r="AL125" t="e">
        <f>IF(OR(OR($A125="",$D125=""),R125=""),"",R125-(INT($Y125/18)+IF(INDEX('Tournament Setup'!$AP:$AP,MATCH($A125,'Tournament Setup'!$A:$A,0))&lt;=MOD($Y125,18),1,0)))</f>
      </c>
      <c r="AM125" t="e">
        <f>IF(OR(OR($A125="",$D125=""),S125=""),"",S125-(INT($Y125/18)+IF(INDEX('Tournament Setup'!$AQ:$AQ,MATCH($A125,'Tournament Setup'!$A:$A,0))&lt;=MOD($Y125,18),1,0)))</f>
      </c>
      <c r="AN125" t="e">
        <f>IF(OR(OR($A125="",$D125=""),T125=""),"",T125-(INT($Y125/18)+IF(INDEX('Tournament Setup'!$AR:$AR,MATCH($A125,'Tournament Setup'!$A:$A,0))&lt;=MOD($Y125,18),1,0)))</f>
      </c>
      <c r="AO125" t="e">
        <f>IF(OR(OR($A125="",$D125=""),U125=""),"",U125-(INT($Y125/18)+IF(INDEX('Tournament Setup'!$AS:$AS,MATCH($A125,'Tournament Setup'!$A:$A,0))&lt;=MOD($Y125,18),1,0)))</f>
      </c>
      <c r="AP125" t="e">
        <f>IF(OR(OR($A125="",$D125=""),V125=""),"",V125-(INT($Y125/18)+IF(INDEX('Tournament Setup'!$AT:$AT,MATCH($A125,'Tournament Setup'!$A:$A,0))&lt;=MOD($Y125,18),1,0)))</f>
      </c>
      <c r="AQ125" t="e">
        <f>IF(OR(OR($A125="",$D125=""),W125=""),"",W125-(INT($Y125/18)+IF(INDEX('Tournament Setup'!$AU:$AU,MATCH($A125,'Tournament Setup'!$A:$A,0))&lt;=MOD($Y125,18),1,0)))</f>
      </c>
    </row>
    <row r="126">
      <c r="X126" t="e">
        <f>IF(OR($A126="",$D126=""),"",SUM(F126:W126))</f>
      </c>
      <c r="Y126" t="e">
        <f>IF(OR($A126="",$D126=""),"",IF(INDEX('Tournament Setup'!$F:$F,MATCH($A126,'Tournament Setup'!$A:$A,0))="Net",ROUND(($E126-_xlfn.MINIFS($E$2:$E$401,$A$2:$A$401,$A126,$B$2:$B$401,$B126))*INDEX('Tournament Setup'!$G:$G,MATCH($A126,'Tournament Setup'!$A:$A,0))/100,0),0))</f>
      </c>
      <c r="Z126" t="e">
        <f>IF(OR(OR($A126="",$D126=""),F126=""),"",F126-(INT($Y126/18)+IF(INDEX('Tournament Setup'!$AD:$AD,MATCH($A126,'Tournament Setup'!$A:$A,0))&lt;=MOD($Y126,18),1,0)))</f>
      </c>
      <c r="AA126" t="e">
        <f>IF(OR(OR($A126="",$D126=""),G126=""),"",G126-(INT($Y126/18)+IF(INDEX('Tournament Setup'!$AE:$AE,MATCH($A126,'Tournament Setup'!$A:$A,0))&lt;=MOD($Y126,18),1,0)))</f>
      </c>
      <c r="AB126" t="e">
        <f>IF(OR(OR($A126="",$D126=""),H126=""),"",H126-(INT($Y126/18)+IF(INDEX('Tournament Setup'!$AF:$AF,MATCH($A126,'Tournament Setup'!$A:$A,0))&lt;=MOD($Y126,18),1,0)))</f>
      </c>
      <c r="AC126" t="e">
        <f>IF(OR(OR($A126="",$D126=""),I126=""),"",I126-(INT($Y126/18)+IF(INDEX('Tournament Setup'!$AG:$AG,MATCH($A126,'Tournament Setup'!$A:$A,0))&lt;=MOD($Y126,18),1,0)))</f>
      </c>
      <c r="AD126" t="e">
        <f>IF(OR(OR($A126="",$D126=""),J126=""),"",J126-(INT($Y126/18)+IF(INDEX('Tournament Setup'!$AH:$AH,MATCH($A126,'Tournament Setup'!$A:$A,0))&lt;=MOD($Y126,18),1,0)))</f>
      </c>
      <c r="AE126" t="e">
        <f>IF(OR(OR($A126="",$D126=""),K126=""),"",K126-(INT($Y126/18)+IF(INDEX('Tournament Setup'!$AI:$AI,MATCH($A126,'Tournament Setup'!$A:$A,0))&lt;=MOD($Y126,18),1,0)))</f>
      </c>
      <c r="AF126" t="e">
        <f>IF(OR(OR($A126="",$D126=""),L126=""),"",L126-(INT($Y126/18)+IF(INDEX('Tournament Setup'!$AJ:$AJ,MATCH($A126,'Tournament Setup'!$A:$A,0))&lt;=MOD($Y126,18),1,0)))</f>
      </c>
      <c r="AG126" t="e">
        <f>IF(OR(OR($A126="",$D126=""),M126=""),"",M126-(INT($Y126/18)+IF(INDEX('Tournament Setup'!$AK:$AK,MATCH($A126,'Tournament Setup'!$A:$A,0))&lt;=MOD($Y126,18),1,0)))</f>
      </c>
      <c r="AH126" t="e">
        <f>IF(OR(OR($A126="",$D126=""),N126=""),"",N126-(INT($Y126/18)+IF(INDEX('Tournament Setup'!$AL:$AL,MATCH($A126,'Tournament Setup'!$A:$A,0))&lt;=MOD($Y126,18),1,0)))</f>
      </c>
      <c r="AI126" t="e">
        <f>IF(OR(OR($A126="",$D126=""),O126=""),"",O126-(INT($Y126/18)+IF(INDEX('Tournament Setup'!$AM:$AM,MATCH($A126,'Tournament Setup'!$A:$A,0))&lt;=MOD($Y126,18),1,0)))</f>
      </c>
      <c r="AJ126" t="e">
        <f>IF(OR(OR($A126="",$D126=""),P126=""),"",P126-(INT($Y126/18)+IF(INDEX('Tournament Setup'!$AN:$AN,MATCH($A126,'Tournament Setup'!$A:$A,0))&lt;=MOD($Y126,18),1,0)))</f>
      </c>
      <c r="AK126" t="e">
        <f>IF(OR(OR($A126="",$D126=""),Q126=""),"",Q126-(INT($Y126/18)+IF(INDEX('Tournament Setup'!$AO:$AO,MATCH($A126,'Tournament Setup'!$A:$A,0))&lt;=MOD($Y126,18),1,0)))</f>
      </c>
      <c r="AL126" t="e">
        <f>IF(OR(OR($A126="",$D126=""),R126=""),"",R126-(INT($Y126/18)+IF(INDEX('Tournament Setup'!$AP:$AP,MATCH($A126,'Tournament Setup'!$A:$A,0))&lt;=MOD($Y126,18),1,0)))</f>
      </c>
      <c r="AM126" t="e">
        <f>IF(OR(OR($A126="",$D126=""),S126=""),"",S126-(INT($Y126/18)+IF(INDEX('Tournament Setup'!$AQ:$AQ,MATCH($A126,'Tournament Setup'!$A:$A,0))&lt;=MOD($Y126,18),1,0)))</f>
      </c>
      <c r="AN126" t="e">
        <f>IF(OR(OR($A126="",$D126=""),T126=""),"",T126-(INT($Y126/18)+IF(INDEX('Tournament Setup'!$AR:$AR,MATCH($A126,'Tournament Setup'!$A:$A,0))&lt;=MOD($Y126,18),1,0)))</f>
      </c>
      <c r="AO126" t="e">
        <f>IF(OR(OR($A126="",$D126=""),U126=""),"",U126-(INT($Y126/18)+IF(INDEX('Tournament Setup'!$AS:$AS,MATCH($A126,'Tournament Setup'!$A:$A,0))&lt;=MOD($Y126,18),1,0)))</f>
      </c>
      <c r="AP126" t="e">
        <f>IF(OR(OR($A126="",$D126=""),V126=""),"",V126-(INT($Y126/18)+IF(INDEX('Tournament Setup'!$AT:$AT,MATCH($A126,'Tournament Setup'!$A:$A,0))&lt;=MOD($Y126,18),1,0)))</f>
      </c>
      <c r="AQ126" t="e">
        <f>IF(OR(OR($A126="",$D126=""),W126=""),"",W126-(INT($Y126/18)+IF(INDEX('Tournament Setup'!$AU:$AU,MATCH($A126,'Tournament Setup'!$A:$A,0))&lt;=MOD($Y126,18),1,0)))</f>
      </c>
    </row>
    <row r="127">
      <c r="X127" t="e">
        <f>IF(OR($A127="",$D127=""),"",SUM(F127:W127))</f>
      </c>
      <c r="Y127" t="e">
        <f>IF(OR($A127="",$D127=""),"",IF(INDEX('Tournament Setup'!$F:$F,MATCH($A127,'Tournament Setup'!$A:$A,0))="Net",ROUND(($E127-_xlfn.MINIFS($E$2:$E$401,$A$2:$A$401,$A127,$B$2:$B$401,$B127))*INDEX('Tournament Setup'!$G:$G,MATCH($A127,'Tournament Setup'!$A:$A,0))/100,0),0))</f>
      </c>
      <c r="Z127" t="e">
        <f>IF(OR(OR($A127="",$D127=""),F127=""),"",F127-(INT($Y127/18)+IF(INDEX('Tournament Setup'!$AD:$AD,MATCH($A127,'Tournament Setup'!$A:$A,0))&lt;=MOD($Y127,18),1,0)))</f>
      </c>
      <c r="AA127" t="e">
        <f>IF(OR(OR($A127="",$D127=""),G127=""),"",G127-(INT($Y127/18)+IF(INDEX('Tournament Setup'!$AE:$AE,MATCH($A127,'Tournament Setup'!$A:$A,0))&lt;=MOD($Y127,18),1,0)))</f>
      </c>
      <c r="AB127" t="e">
        <f>IF(OR(OR($A127="",$D127=""),H127=""),"",H127-(INT($Y127/18)+IF(INDEX('Tournament Setup'!$AF:$AF,MATCH($A127,'Tournament Setup'!$A:$A,0))&lt;=MOD($Y127,18),1,0)))</f>
      </c>
      <c r="AC127" t="e">
        <f>IF(OR(OR($A127="",$D127=""),I127=""),"",I127-(INT($Y127/18)+IF(INDEX('Tournament Setup'!$AG:$AG,MATCH($A127,'Tournament Setup'!$A:$A,0))&lt;=MOD($Y127,18),1,0)))</f>
      </c>
      <c r="AD127" t="e">
        <f>IF(OR(OR($A127="",$D127=""),J127=""),"",J127-(INT($Y127/18)+IF(INDEX('Tournament Setup'!$AH:$AH,MATCH($A127,'Tournament Setup'!$A:$A,0))&lt;=MOD($Y127,18),1,0)))</f>
      </c>
      <c r="AE127" t="e">
        <f>IF(OR(OR($A127="",$D127=""),K127=""),"",K127-(INT($Y127/18)+IF(INDEX('Tournament Setup'!$AI:$AI,MATCH($A127,'Tournament Setup'!$A:$A,0))&lt;=MOD($Y127,18),1,0)))</f>
      </c>
      <c r="AF127" t="e">
        <f>IF(OR(OR($A127="",$D127=""),L127=""),"",L127-(INT($Y127/18)+IF(INDEX('Tournament Setup'!$AJ:$AJ,MATCH($A127,'Tournament Setup'!$A:$A,0))&lt;=MOD($Y127,18),1,0)))</f>
      </c>
      <c r="AG127" t="e">
        <f>IF(OR(OR($A127="",$D127=""),M127=""),"",M127-(INT($Y127/18)+IF(INDEX('Tournament Setup'!$AK:$AK,MATCH($A127,'Tournament Setup'!$A:$A,0))&lt;=MOD($Y127,18),1,0)))</f>
      </c>
      <c r="AH127" t="e">
        <f>IF(OR(OR($A127="",$D127=""),N127=""),"",N127-(INT($Y127/18)+IF(INDEX('Tournament Setup'!$AL:$AL,MATCH($A127,'Tournament Setup'!$A:$A,0))&lt;=MOD($Y127,18),1,0)))</f>
      </c>
      <c r="AI127" t="e">
        <f>IF(OR(OR($A127="",$D127=""),O127=""),"",O127-(INT($Y127/18)+IF(INDEX('Tournament Setup'!$AM:$AM,MATCH($A127,'Tournament Setup'!$A:$A,0))&lt;=MOD($Y127,18),1,0)))</f>
      </c>
      <c r="AJ127" t="e">
        <f>IF(OR(OR($A127="",$D127=""),P127=""),"",P127-(INT($Y127/18)+IF(INDEX('Tournament Setup'!$AN:$AN,MATCH($A127,'Tournament Setup'!$A:$A,0))&lt;=MOD($Y127,18),1,0)))</f>
      </c>
      <c r="AK127" t="e">
        <f>IF(OR(OR($A127="",$D127=""),Q127=""),"",Q127-(INT($Y127/18)+IF(INDEX('Tournament Setup'!$AO:$AO,MATCH($A127,'Tournament Setup'!$A:$A,0))&lt;=MOD($Y127,18),1,0)))</f>
      </c>
      <c r="AL127" t="e">
        <f>IF(OR(OR($A127="",$D127=""),R127=""),"",R127-(INT($Y127/18)+IF(INDEX('Tournament Setup'!$AP:$AP,MATCH($A127,'Tournament Setup'!$A:$A,0))&lt;=MOD($Y127,18),1,0)))</f>
      </c>
      <c r="AM127" t="e">
        <f>IF(OR(OR($A127="",$D127=""),S127=""),"",S127-(INT($Y127/18)+IF(INDEX('Tournament Setup'!$AQ:$AQ,MATCH($A127,'Tournament Setup'!$A:$A,0))&lt;=MOD($Y127,18),1,0)))</f>
      </c>
      <c r="AN127" t="e">
        <f>IF(OR(OR($A127="",$D127=""),T127=""),"",T127-(INT($Y127/18)+IF(INDEX('Tournament Setup'!$AR:$AR,MATCH($A127,'Tournament Setup'!$A:$A,0))&lt;=MOD($Y127,18),1,0)))</f>
      </c>
      <c r="AO127" t="e">
        <f>IF(OR(OR($A127="",$D127=""),U127=""),"",U127-(INT($Y127/18)+IF(INDEX('Tournament Setup'!$AS:$AS,MATCH($A127,'Tournament Setup'!$A:$A,0))&lt;=MOD($Y127,18),1,0)))</f>
      </c>
      <c r="AP127" t="e">
        <f>IF(OR(OR($A127="",$D127=""),V127=""),"",V127-(INT($Y127/18)+IF(INDEX('Tournament Setup'!$AT:$AT,MATCH($A127,'Tournament Setup'!$A:$A,0))&lt;=MOD($Y127,18),1,0)))</f>
      </c>
      <c r="AQ127" t="e">
        <f>IF(OR(OR($A127="",$D127=""),W127=""),"",W127-(INT($Y127/18)+IF(INDEX('Tournament Setup'!$AU:$AU,MATCH($A127,'Tournament Setup'!$A:$A,0))&lt;=MOD($Y127,18),1,0)))</f>
      </c>
    </row>
    <row r="128">
      <c r="X128" t="e">
        <f>IF(OR($A128="",$D128=""),"",SUM(F128:W128))</f>
      </c>
      <c r="Y128" t="e">
        <f>IF(OR($A128="",$D128=""),"",IF(INDEX('Tournament Setup'!$F:$F,MATCH($A128,'Tournament Setup'!$A:$A,0))="Net",ROUND(($E128-_xlfn.MINIFS($E$2:$E$401,$A$2:$A$401,$A128,$B$2:$B$401,$B128))*INDEX('Tournament Setup'!$G:$G,MATCH($A128,'Tournament Setup'!$A:$A,0))/100,0),0))</f>
      </c>
      <c r="Z128" t="e">
        <f>IF(OR(OR($A128="",$D128=""),F128=""),"",F128-(INT($Y128/18)+IF(INDEX('Tournament Setup'!$AD:$AD,MATCH($A128,'Tournament Setup'!$A:$A,0))&lt;=MOD($Y128,18),1,0)))</f>
      </c>
      <c r="AA128" t="e">
        <f>IF(OR(OR($A128="",$D128=""),G128=""),"",G128-(INT($Y128/18)+IF(INDEX('Tournament Setup'!$AE:$AE,MATCH($A128,'Tournament Setup'!$A:$A,0))&lt;=MOD($Y128,18),1,0)))</f>
      </c>
      <c r="AB128" t="e">
        <f>IF(OR(OR($A128="",$D128=""),H128=""),"",H128-(INT($Y128/18)+IF(INDEX('Tournament Setup'!$AF:$AF,MATCH($A128,'Tournament Setup'!$A:$A,0))&lt;=MOD($Y128,18),1,0)))</f>
      </c>
      <c r="AC128" t="e">
        <f>IF(OR(OR($A128="",$D128=""),I128=""),"",I128-(INT($Y128/18)+IF(INDEX('Tournament Setup'!$AG:$AG,MATCH($A128,'Tournament Setup'!$A:$A,0))&lt;=MOD($Y128,18),1,0)))</f>
      </c>
      <c r="AD128" t="e">
        <f>IF(OR(OR($A128="",$D128=""),J128=""),"",J128-(INT($Y128/18)+IF(INDEX('Tournament Setup'!$AH:$AH,MATCH($A128,'Tournament Setup'!$A:$A,0))&lt;=MOD($Y128,18),1,0)))</f>
      </c>
      <c r="AE128" t="e">
        <f>IF(OR(OR($A128="",$D128=""),K128=""),"",K128-(INT($Y128/18)+IF(INDEX('Tournament Setup'!$AI:$AI,MATCH($A128,'Tournament Setup'!$A:$A,0))&lt;=MOD($Y128,18),1,0)))</f>
      </c>
      <c r="AF128" t="e">
        <f>IF(OR(OR($A128="",$D128=""),L128=""),"",L128-(INT($Y128/18)+IF(INDEX('Tournament Setup'!$AJ:$AJ,MATCH($A128,'Tournament Setup'!$A:$A,0))&lt;=MOD($Y128,18),1,0)))</f>
      </c>
      <c r="AG128" t="e">
        <f>IF(OR(OR($A128="",$D128=""),M128=""),"",M128-(INT($Y128/18)+IF(INDEX('Tournament Setup'!$AK:$AK,MATCH($A128,'Tournament Setup'!$A:$A,0))&lt;=MOD($Y128,18),1,0)))</f>
      </c>
      <c r="AH128" t="e">
        <f>IF(OR(OR($A128="",$D128=""),N128=""),"",N128-(INT($Y128/18)+IF(INDEX('Tournament Setup'!$AL:$AL,MATCH($A128,'Tournament Setup'!$A:$A,0))&lt;=MOD($Y128,18),1,0)))</f>
      </c>
      <c r="AI128" t="e">
        <f>IF(OR(OR($A128="",$D128=""),O128=""),"",O128-(INT($Y128/18)+IF(INDEX('Tournament Setup'!$AM:$AM,MATCH($A128,'Tournament Setup'!$A:$A,0))&lt;=MOD($Y128,18),1,0)))</f>
      </c>
      <c r="AJ128" t="e">
        <f>IF(OR(OR($A128="",$D128=""),P128=""),"",P128-(INT($Y128/18)+IF(INDEX('Tournament Setup'!$AN:$AN,MATCH($A128,'Tournament Setup'!$A:$A,0))&lt;=MOD($Y128,18),1,0)))</f>
      </c>
      <c r="AK128" t="e">
        <f>IF(OR(OR($A128="",$D128=""),Q128=""),"",Q128-(INT($Y128/18)+IF(INDEX('Tournament Setup'!$AO:$AO,MATCH($A128,'Tournament Setup'!$A:$A,0))&lt;=MOD($Y128,18),1,0)))</f>
      </c>
      <c r="AL128" t="e">
        <f>IF(OR(OR($A128="",$D128=""),R128=""),"",R128-(INT($Y128/18)+IF(INDEX('Tournament Setup'!$AP:$AP,MATCH($A128,'Tournament Setup'!$A:$A,0))&lt;=MOD($Y128,18),1,0)))</f>
      </c>
      <c r="AM128" t="e">
        <f>IF(OR(OR($A128="",$D128=""),S128=""),"",S128-(INT($Y128/18)+IF(INDEX('Tournament Setup'!$AQ:$AQ,MATCH($A128,'Tournament Setup'!$A:$A,0))&lt;=MOD($Y128,18),1,0)))</f>
      </c>
      <c r="AN128" t="e">
        <f>IF(OR(OR($A128="",$D128=""),T128=""),"",T128-(INT($Y128/18)+IF(INDEX('Tournament Setup'!$AR:$AR,MATCH($A128,'Tournament Setup'!$A:$A,0))&lt;=MOD($Y128,18),1,0)))</f>
      </c>
      <c r="AO128" t="e">
        <f>IF(OR(OR($A128="",$D128=""),U128=""),"",U128-(INT($Y128/18)+IF(INDEX('Tournament Setup'!$AS:$AS,MATCH($A128,'Tournament Setup'!$A:$A,0))&lt;=MOD($Y128,18),1,0)))</f>
      </c>
      <c r="AP128" t="e">
        <f>IF(OR(OR($A128="",$D128=""),V128=""),"",V128-(INT($Y128/18)+IF(INDEX('Tournament Setup'!$AT:$AT,MATCH($A128,'Tournament Setup'!$A:$A,0))&lt;=MOD($Y128,18),1,0)))</f>
      </c>
      <c r="AQ128" t="e">
        <f>IF(OR(OR($A128="",$D128=""),W128=""),"",W128-(INT($Y128/18)+IF(INDEX('Tournament Setup'!$AU:$AU,MATCH($A128,'Tournament Setup'!$A:$A,0))&lt;=MOD($Y128,18),1,0)))</f>
      </c>
    </row>
    <row r="129">
      <c r="X129" t="e">
        <f>IF(OR($A129="",$D129=""),"",SUM(F129:W129))</f>
      </c>
      <c r="Y129" t="e">
        <f>IF(OR($A129="",$D129=""),"",IF(INDEX('Tournament Setup'!$F:$F,MATCH($A129,'Tournament Setup'!$A:$A,0))="Net",ROUND(($E129-_xlfn.MINIFS($E$2:$E$401,$A$2:$A$401,$A129,$B$2:$B$401,$B129))*INDEX('Tournament Setup'!$G:$G,MATCH($A129,'Tournament Setup'!$A:$A,0))/100,0),0))</f>
      </c>
      <c r="Z129" t="e">
        <f>IF(OR(OR($A129="",$D129=""),F129=""),"",F129-(INT($Y129/18)+IF(INDEX('Tournament Setup'!$AD:$AD,MATCH($A129,'Tournament Setup'!$A:$A,0))&lt;=MOD($Y129,18),1,0)))</f>
      </c>
      <c r="AA129" t="e">
        <f>IF(OR(OR($A129="",$D129=""),G129=""),"",G129-(INT($Y129/18)+IF(INDEX('Tournament Setup'!$AE:$AE,MATCH($A129,'Tournament Setup'!$A:$A,0))&lt;=MOD($Y129,18),1,0)))</f>
      </c>
      <c r="AB129" t="e">
        <f>IF(OR(OR($A129="",$D129=""),H129=""),"",H129-(INT($Y129/18)+IF(INDEX('Tournament Setup'!$AF:$AF,MATCH($A129,'Tournament Setup'!$A:$A,0))&lt;=MOD($Y129,18),1,0)))</f>
      </c>
      <c r="AC129" t="e">
        <f>IF(OR(OR($A129="",$D129=""),I129=""),"",I129-(INT($Y129/18)+IF(INDEX('Tournament Setup'!$AG:$AG,MATCH($A129,'Tournament Setup'!$A:$A,0))&lt;=MOD($Y129,18),1,0)))</f>
      </c>
      <c r="AD129" t="e">
        <f>IF(OR(OR($A129="",$D129=""),J129=""),"",J129-(INT($Y129/18)+IF(INDEX('Tournament Setup'!$AH:$AH,MATCH($A129,'Tournament Setup'!$A:$A,0))&lt;=MOD($Y129,18),1,0)))</f>
      </c>
      <c r="AE129" t="e">
        <f>IF(OR(OR($A129="",$D129=""),K129=""),"",K129-(INT($Y129/18)+IF(INDEX('Tournament Setup'!$AI:$AI,MATCH($A129,'Tournament Setup'!$A:$A,0))&lt;=MOD($Y129,18),1,0)))</f>
      </c>
      <c r="AF129" t="e">
        <f>IF(OR(OR($A129="",$D129=""),L129=""),"",L129-(INT($Y129/18)+IF(INDEX('Tournament Setup'!$AJ:$AJ,MATCH($A129,'Tournament Setup'!$A:$A,0))&lt;=MOD($Y129,18),1,0)))</f>
      </c>
      <c r="AG129" t="e">
        <f>IF(OR(OR($A129="",$D129=""),M129=""),"",M129-(INT($Y129/18)+IF(INDEX('Tournament Setup'!$AK:$AK,MATCH($A129,'Tournament Setup'!$A:$A,0))&lt;=MOD($Y129,18),1,0)))</f>
      </c>
      <c r="AH129" t="e">
        <f>IF(OR(OR($A129="",$D129=""),N129=""),"",N129-(INT($Y129/18)+IF(INDEX('Tournament Setup'!$AL:$AL,MATCH($A129,'Tournament Setup'!$A:$A,0))&lt;=MOD($Y129,18),1,0)))</f>
      </c>
      <c r="AI129" t="e">
        <f>IF(OR(OR($A129="",$D129=""),O129=""),"",O129-(INT($Y129/18)+IF(INDEX('Tournament Setup'!$AM:$AM,MATCH($A129,'Tournament Setup'!$A:$A,0))&lt;=MOD($Y129,18),1,0)))</f>
      </c>
      <c r="AJ129" t="e">
        <f>IF(OR(OR($A129="",$D129=""),P129=""),"",P129-(INT($Y129/18)+IF(INDEX('Tournament Setup'!$AN:$AN,MATCH($A129,'Tournament Setup'!$A:$A,0))&lt;=MOD($Y129,18),1,0)))</f>
      </c>
      <c r="AK129" t="e">
        <f>IF(OR(OR($A129="",$D129=""),Q129=""),"",Q129-(INT($Y129/18)+IF(INDEX('Tournament Setup'!$AO:$AO,MATCH($A129,'Tournament Setup'!$A:$A,0))&lt;=MOD($Y129,18),1,0)))</f>
      </c>
      <c r="AL129" t="e">
        <f>IF(OR(OR($A129="",$D129=""),R129=""),"",R129-(INT($Y129/18)+IF(INDEX('Tournament Setup'!$AP:$AP,MATCH($A129,'Tournament Setup'!$A:$A,0))&lt;=MOD($Y129,18),1,0)))</f>
      </c>
      <c r="AM129" t="e">
        <f>IF(OR(OR($A129="",$D129=""),S129=""),"",S129-(INT($Y129/18)+IF(INDEX('Tournament Setup'!$AQ:$AQ,MATCH($A129,'Tournament Setup'!$A:$A,0))&lt;=MOD($Y129,18),1,0)))</f>
      </c>
      <c r="AN129" t="e">
        <f>IF(OR(OR($A129="",$D129=""),T129=""),"",T129-(INT($Y129/18)+IF(INDEX('Tournament Setup'!$AR:$AR,MATCH($A129,'Tournament Setup'!$A:$A,0))&lt;=MOD($Y129,18),1,0)))</f>
      </c>
      <c r="AO129" t="e">
        <f>IF(OR(OR($A129="",$D129=""),U129=""),"",U129-(INT($Y129/18)+IF(INDEX('Tournament Setup'!$AS:$AS,MATCH($A129,'Tournament Setup'!$A:$A,0))&lt;=MOD($Y129,18),1,0)))</f>
      </c>
      <c r="AP129" t="e">
        <f>IF(OR(OR($A129="",$D129=""),V129=""),"",V129-(INT($Y129/18)+IF(INDEX('Tournament Setup'!$AT:$AT,MATCH($A129,'Tournament Setup'!$A:$A,0))&lt;=MOD($Y129,18),1,0)))</f>
      </c>
      <c r="AQ129" t="e">
        <f>IF(OR(OR($A129="",$D129=""),W129=""),"",W129-(INT($Y129/18)+IF(INDEX('Tournament Setup'!$AU:$AU,MATCH($A129,'Tournament Setup'!$A:$A,0))&lt;=MOD($Y129,18),1,0)))</f>
      </c>
    </row>
    <row r="130">
      <c r="X130" t="e">
        <f>IF(OR($A130="",$D130=""),"",SUM(F130:W130))</f>
      </c>
      <c r="Y130" t="e">
        <f>IF(OR($A130="",$D130=""),"",IF(INDEX('Tournament Setup'!$F:$F,MATCH($A130,'Tournament Setup'!$A:$A,0))="Net",ROUND(($E130-_xlfn.MINIFS($E$2:$E$401,$A$2:$A$401,$A130,$B$2:$B$401,$B130))*INDEX('Tournament Setup'!$G:$G,MATCH($A130,'Tournament Setup'!$A:$A,0))/100,0),0))</f>
      </c>
      <c r="Z130" t="e">
        <f>IF(OR(OR($A130="",$D130=""),F130=""),"",F130-(INT($Y130/18)+IF(INDEX('Tournament Setup'!$AD:$AD,MATCH($A130,'Tournament Setup'!$A:$A,0))&lt;=MOD($Y130,18),1,0)))</f>
      </c>
      <c r="AA130" t="e">
        <f>IF(OR(OR($A130="",$D130=""),G130=""),"",G130-(INT($Y130/18)+IF(INDEX('Tournament Setup'!$AE:$AE,MATCH($A130,'Tournament Setup'!$A:$A,0))&lt;=MOD($Y130,18),1,0)))</f>
      </c>
      <c r="AB130" t="e">
        <f>IF(OR(OR($A130="",$D130=""),H130=""),"",H130-(INT($Y130/18)+IF(INDEX('Tournament Setup'!$AF:$AF,MATCH($A130,'Tournament Setup'!$A:$A,0))&lt;=MOD($Y130,18),1,0)))</f>
      </c>
      <c r="AC130" t="e">
        <f>IF(OR(OR($A130="",$D130=""),I130=""),"",I130-(INT($Y130/18)+IF(INDEX('Tournament Setup'!$AG:$AG,MATCH($A130,'Tournament Setup'!$A:$A,0))&lt;=MOD($Y130,18),1,0)))</f>
      </c>
      <c r="AD130" t="e">
        <f>IF(OR(OR($A130="",$D130=""),J130=""),"",J130-(INT($Y130/18)+IF(INDEX('Tournament Setup'!$AH:$AH,MATCH($A130,'Tournament Setup'!$A:$A,0))&lt;=MOD($Y130,18),1,0)))</f>
      </c>
      <c r="AE130" t="e">
        <f>IF(OR(OR($A130="",$D130=""),K130=""),"",K130-(INT($Y130/18)+IF(INDEX('Tournament Setup'!$AI:$AI,MATCH($A130,'Tournament Setup'!$A:$A,0))&lt;=MOD($Y130,18),1,0)))</f>
      </c>
      <c r="AF130" t="e">
        <f>IF(OR(OR($A130="",$D130=""),L130=""),"",L130-(INT($Y130/18)+IF(INDEX('Tournament Setup'!$AJ:$AJ,MATCH($A130,'Tournament Setup'!$A:$A,0))&lt;=MOD($Y130,18),1,0)))</f>
      </c>
      <c r="AG130" t="e">
        <f>IF(OR(OR($A130="",$D130=""),M130=""),"",M130-(INT($Y130/18)+IF(INDEX('Tournament Setup'!$AK:$AK,MATCH($A130,'Tournament Setup'!$A:$A,0))&lt;=MOD($Y130,18),1,0)))</f>
      </c>
      <c r="AH130" t="e">
        <f>IF(OR(OR($A130="",$D130=""),N130=""),"",N130-(INT($Y130/18)+IF(INDEX('Tournament Setup'!$AL:$AL,MATCH($A130,'Tournament Setup'!$A:$A,0))&lt;=MOD($Y130,18),1,0)))</f>
      </c>
      <c r="AI130" t="e">
        <f>IF(OR(OR($A130="",$D130=""),O130=""),"",O130-(INT($Y130/18)+IF(INDEX('Tournament Setup'!$AM:$AM,MATCH($A130,'Tournament Setup'!$A:$A,0))&lt;=MOD($Y130,18),1,0)))</f>
      </c>
      <c r="AJ130" t="e">
        <f>IF(OR(OR($A130="",$D130=""),P130=""),"",P130-(INT($Y130/18)+IF(INDEX('Tournament Setup'!$AN:$AN,MATCH($A130,'Tournament Setup'!$A:$A,0))&lt;=MOD($Y130,18),1,0)))</f>
      </c>
      <c r="AK130" t="e">
        <f>IF(OR(OR($A130="",$D130=""),Q130=""),"",Q130-(INT($Y130/18)+IF(INDEX('Tournament Setup'!$AO:$AO,MATCH($A130,'Tournament Setup'!$A:$A,0))&lt;=MOD($Y130,18),1,0)))</f>
      </c>
      <c r="AL130" t="e">
        <f>IF(OR(OR($A130="",$D130=""),R130=""),"",R130-(INT($Y130/18)+IF(INDEX('Tournament Setup'!$AP:$AP,MATCH($A130,'Tournament Setup'!$A:$A,0))&lt;=MOD($Y130,18),1,0)))</f>
      </c>
      <c r="AM130" t="e">
        <f>IF(OR(OR($A130="",$D130=""),S130=""),"",S130-(INT($Y130/18)+IF(INDEX('Tournament Setup'!$AQ:$AQ,MATCH($A130,'Tournament Setup'!$A:$A,0))&lt;=MOD($Y130,18),1,0)))</f>
      </c>
      <c r="AN130" t="e">
        <f>IF(OR(OR($A130="",$D130=""),T130=""),"",T130-(INT($Y130/18)+IF(INDEX('Tournament Setup'!$AR:$AR,MATCH($A130,'Tournament Setup'!$A:$A,0))&lt;=MOD($Y130,18),1,0)))</f>
      </c>
      <c r="AO130" t="e">
        <f>IF(OR(OR($A130="",$D130=""),U130=""),"",U130-(INT($Y130/18)+IF(INDEX('Tournament Setup'!$AS:$AS,MATCH($A130,'Tournament Setup'!$A:$A,0))&lt;=MOD($Y130,18),1,0)))</f>
      </c>
      <c r="AP130" t="e">
        <f>IF(OR(OR($A130="",$D130=""),V130=""),"",V130-(INT($Y130/18)+IF(INDEX('Tournament Setup'!$AT:$AT,MATCH($A130,'Tournament Setup'!$A:$A,0))&lt;=MOD($Y130,18),1,0)))</f>
      </c>
      <c r="AQ130" t="e">
        <f>IF(OR(OR($A130="",$D130=""),W130=""),"",W130-(INT($Y130/18)+IF(INDEX('Tournament Setup'!$AU:$AU,MATCH($A130,'Tournament Setup'!$A:$A,0))&lt;=MOD($Y130,18),1,0)))</f>
      </c>
    </row>
    <row r="131">
      <c r="X131" t="e">
        <f>IF(OR($A131="",$D131=""),"",SUM(F131:W131))</f>
      </c>
      <c r="Y131" t="e">
        <f>IF(OR($A131="",$D131=""),"",IF(INDEX('Tournament Setup'!$F:$F,MATCH($A131,'Tournament Setup'!$A:$A,0))="Net",ROUND(($E131-_xlfn.MINIFS($E$2:$E$401,$A$2:$A$401,$A131,$B$2:$B$401,$B131))*INDEX('Tournament Setup'!$G:$G,MATCH($A131,'Tournament Setup'!$A:$A,0))/100,0),0))</f>
      </c>
      <c r="Z131" t="e">
        <f>IF(OR(OR($A131="",$D131=""),F131=""),"",F131-(INT($Y131/18)+IF(INDEX('Tournament Setup'!$AD:$AD,MATCH($A131,'Tournament Setup'!$A:$A,0))&lt;=MOD($Y131,18),1,0)))</f>
      </c>
      <c r="AA131" t="e">
        <f>IF(OR(OR($A131="",$D131=""),G131=""),"",G131-(INT($Y131/18)+IF(INDEX('Tournament Setup'!$AE:$AE,MATCH($A131,'Tournament Setup'!$A:$A,0))&lt;=MOD($Y131,18),1,0)))</f>
      </c>
      <c r="AB131" t="e">
        <f>IF(OR(OR($A131="",$D131=""),H131=""),"",H131-(INT($Y131/18)+IF(INDEX('Tournament Setup'!$AF:$AF,MATCH($A131,'Tournament Setup'!$A:$A,0))&lt;=MOD($Y131,18),1,0)))</f>
      </c>
      <c r="AC131" t="e">
        <f>IF(OR(OR($A131="",$D131=""),I131=""),"",I131-(INT($Y131/18)+IF(INDEX('Tournament Setup'!$AG:$AG,MATCH($A131,'Tournament Setup'!$A:$A,0))&lt;=MOD($Y131,18),1,0)))</f>
      </c>
      <c r="AD131" t="e">
        <f>IF(OR(OR($A131="",$D131=""),J131=""),"",J131-(INT($Y131/18)+IF(INDEX('Tournament Setup'!$AH:$AH,MATCH($A131,'Tournament Setup'!$A:$A,0))&lt;=MOD($Y131,18),1,0)))</f>
      </c>
      <c r="AE131" t="e">
        <f>IF(OR(OR($A131="",$D131=""),K131=""),"",K131-(INT($Y131/18)+IF(INDEX('Tournament Setup'!$AI:$AI,MATCH($A131,'Tournament Setup'!$A:$A,0))&lt;=MOD($Y131,18),1,0)))</f>
      </c>
      <c r="AF131" t="e">
        <f>IF(OR(OR($A131="",$D131=""),L131=""),"",L131-(INT($Y131/18)+IF(INDEX('Tournament Setup'!$AJ:$AJ,MATCH($A131,'Tournament Setup'!$A:$A,0))&lt;=MOD($Y131,18),1,0)))</f>
      </c>
      <c r="AG131" t="e">
        <f>IF(OR(OR($A131="",$D131=""),M131=""),"",M131-(INT($Y131/18)+IF(INDEX('Tournament Setup'!$AK:$AK,MATCH($A131,'Tournament Setup'!$A:$A,0))&lt;=MOD($Y131,18),1,0)))</f>
      </c>
      <c r="AH131" t="e">
        <f>IF(OR(OR($A131="",$D131=""),N131=""),"",N131-(INT($Y131/18)+IF(INDEX('Tournament Setup'!$AL:$AL,MATCH($A131,'Tournament Setup'!$A:$A,0))&lt;=MOD($Y131,18),1,0)))</f>
      </c>
      <c r="AI131" t="e">
        <f>IF(OR(OR($A131="",$D131=""),O131=""),"",O131-(INT($Y131/18)+IF(INDEX('Tournament Setup'!$AM:$AM,MATCH($A131,'Tournament Setup'!$A:$A,0))&lt;=MOD($Y131,18),1,0)))</f>
      </c>
      <c r="AJ131" t="e">
        <f>IF(OR(OR($A131="",$D131=""),P131=""),"",P131-(INT($Y131/18)+IF(INDEX('Tournament Setup'!$AN:$AN,MATCH($A131,'Tournament Setup'!$A:$A,0))&lt;=MOD($Y131,18),1,0)))</f>
      </c>
      <c r="AK131" t="e">
        <f>IF(OR(OR($A131="",$D131=""),Q131=""),"",Q131-(INT($Y131/18)+IF(INDEX('Tournament Setup'!$AO:$AO,MATCH($A131,'Tournament Setup'!$A:$A,0))&lt;=MOD($Y131,18),1,0)))</f>
      </c>
      <c r="AL131" t="e">
        <f>IF(OR(OR($A131="",$D131=""),R131=""),"",R131-(INT($Y131/18)+IF(INDEX('Tournament Setup'!$AP:$AP,MATCH($A131,'Tournament Setup'!$A:$A,0))&lt;=MOD($Y131,18),1,0)))</f>
      </c>
      <c r="AM131" t="e">
        <f>IF(OR(OR($A131="",$D131=""),S131=""),"",S131-(INT($Y131/18)+IF(INDEX('Tournament Setup'!$AQ:$AQ,MATCH($A131,'Tournament Setup'!$A:$A,0))&lt;=MOD($Y131,18),1,0)))</f>
      </c>
      <c r="AN131" t="e">
        <f>IF(OR(OR($A131="",$D131=""),T131=""),"",T131-(INT($Y131/18)+IF(INDEX('Tournament Setup'!$AR:$AR,MATCH($A131,'Tournament Setup'!$A:$A,0))&lt;=MOD($Y131,18),1,0)))</f>
      </c>
      <c r="AO131" t="e">
        <f>IF(OR(OR($A131="",$D131=""),U131=""),"",U131-(INT($Y131/18)+IF(INDEX('Tournament Setup'!$AS:$AS,MATCH($A131,'Tournament Setup'!$A:$A,0))&lt;=MOD($Y131,18),1,0)))</f>
      </c>
      <c r="AP131" t="e">
        <f>IF(OR(OR($A131="",$D131=""),V131=""),"",V131-(INT($Y131/18)+IF(INDEX('Tournament Setup'!$AT:$AT,MATCH($A131,'Tournament Setup'!$A:$A,0))&lt;=MOD($Y131,18),1,0)))</f>
      </c>
      <c r="AQ131" t="e">
        <f>IF(OR(OR($A131="",$D131=""),W131=""),"",W131-(INT($Y131/18)+IF(INDEX('Tournament Setup'!$AU:$AU,MATCH($A131,'Tournament Setup'!$A:$A,0))&lt;=MOD($Y131,18),1,0)))</f>
      </c>
    </row>
    <row r="132">
      <c r="X132" t="e">
        <f>IF(OR($A132="",$D132=""),"",SUM(F132:W132))</f>
      </c>
      <c r="Y132" t="e">
        <f>IF(OR($A132="",$D132=""),"",IF(INDEX('Tournament Setup'!$F:$F,MATCH($A132,'Tournament Setup'!$A:$A,0))="Net",ROUND(($E132-_xlfn.MINIFS($E$2:$E$401,$A$2:$A$401,$A132,$B$2:$B$401,$B132))*INDEX('Tournament Setup'!$G:$G,MATCH($A132,'Tournament Setup'!$A:$A,0))/100,0),0))</f>
      </c>
      <c r="Z132" t="e">
        <f>IF(OR(OR($A132="",$D132=""),F132=""),"",F132-(INT($Y132/18)+IF(INDEX('Tournament Setup'!$AD:$AD,MATCH($A132,'Tournament Setup'!$A:$A,0))&lt;=MOD($Y132,18),1,0)))</f>
      </c>
      <c r="AA132" t="e">
        <f>IF(OR(OR($A132="",$D132=""),G132=""),"",G132-(INT($Y132/18)+IF(INDEX('Tournament Setup'!$AE:$AE,MATCH($A132,'Tournament Setup'!$A:$A,0))&lt;=MOD($Y132,18),1,0)))</f>
      </c>
      <c r="AB132" t="e">
        <f>IF(OR(OR($A132="",$D132=""),H132=""),"",H132-(INT($Y132/18)+IF(INDEX('Tournament Setup'!$AF:$AF,MATCH($A132,'Tournament Setup'!$A:$A,0))&lt;=MOD($Y132,18),1,0)))</f>
      </c>
      <c r="AC132" t="e">
        <f>IF(OR(OR($A132="",$D132=""),I132=""),"",I132-(INT($Y132/18)+IF(INDEX('Tournament Setup'!$AG:$AG,MATCH($A132,'Tournament Setup'!$A:$A,0))&lt;=MOD($Y132,18),1,0)))</f>
      </c>
      <c r="AD132" t="e">
        <f>IF(OR(OR($A132="",$D132=""),J132=""),"",J132-(INT($Y132/18)+IF(INDEX('Tournament Setup'!$AH:$AH,MATCH($A132,'Tournament Setup'!$A:$A,0))&lt;=MOD($Y132,18),1,0)))</f>
      </c>
      <c r="AE132" t="e">
        <f>IF(OR(OR($A132="",$D132=""),K132=""),"",K132-(INT($Y132/18)+IF(INDEX('Tournament Setup'!$AI:$AI,MATCH($A132,'Tournament Setup'!$A:$A,0))&lt;=MOD($Y132,18),1,0)))</f>
      </c>
      <c r="AF132" t="e">
        <f>IF(OR(OR($A132="",$D132=""),L132=""),"",L132-(INT($Y132/18)+IF(INDEX('Tournament Setup'!$AJ:$AJ,MATCH($A132,'Tournament Setup'!$A:$A,0))&lt;=MOD($Y132,18),1,0)))</f>
      </c>
      <c r="AG132" t="e">
        <f>IF(OR(OR($A132="",$D132=""),M132=""),"",M132-(INT($Y132/18)+IF(INDEX('Tournament Setup'!$AK:$AK,MATCH($A132,'Tournament Setup'!$A:$A,0))&lt;=MOD($Y132,18),1,0)))</f>
      </c>
      <c r="AH132" t="e">
        <f>IF(OR(OR($A132="",$D132=""),N132=""),"",N132-(INT($Y132/18)+IF(INDEX('Tournament Setup'!$AL:$AL,MATCH($A132,'Tournament Setup'!$A:$A,0))&lt;=MOD($Y132,18),1,0)))</f>
      </c>
      <c r="AI132" t="e">
        <f>IF(OR(OR($A132="",$D132=""),O132=""),"",O132-(INT($Y132/18)+IF(INDEX('Tournament Setup'!$AM:$AM,MATCH($A132,'Tournament Setup'!$A:$A,0))&lt;=MOD($Y132,18),1,0)))</f>
      </c>
      <c r="AJ132" t="e">
        <f>IF(OR(OR($A132="",$D132=""),P132=""),"",P132-(INT($Y132/18)+IF(INDEX('Tournament Setup'!$AN:$AN,MATCH($A132,'Tournament Setup'!$A:$A,0))&lt;=MOD($Y132,18),1,0)))</f>
      </c>
      <c r="AK132" t="e">
        <f>IF(OR(OR($A132="",$D132=""),Q132=""),"",Q132-(INT($Y132/18)+IF(INDEX('Tournament Setup'!$AO:$AO,MATCH($A132,'Tournament Setup'!$A:$A,0))&lt;=MOD($Y132,18),1,0)))</f>
      </c>
      <c r="AL132" t="e">
        <f>IF(OR(OR($A132="",$D132=""),R132=""),"",R132-(INT($Y132/18)+IF(INDEX('Tournament Setup'!$AP:$AP,MATCH($A132,'Tournament Setup'!$A:$A,0))&lt;=MOD($Y132,18),1,0)))</f>
      </c>
      <c r="AM132" t="e">
        <f>IF(OR(OR($A132="",$D132=""),S132=""),"",S132-(INT($Y132/18)+IF(INDEX('Tournament Setup'!$AQ:$AQ,MATCH($A132,'Tournament Setup'!$A:$A,0))&lt;=MOD($Y132,18),1,0)))</f>
      </c>
      <c r="AN132" t="e">
        <f>IF(OR(OR($A132="",$D132=""),T132=""),"",T132-(INT($Y132/18)+IF(INDEX('Tournament Setup'!$AR:$AR,MATCH($A132,'Tournament Setup'!$A:$A,0))&lt;=MOD($Y132,18),1,0)))</f>
      </c>
      <c r="AO132" t="e">
        <f>IF(OR(OR($A132="",$D132=""),U132=""),"",U132-(INT($Y132/18)+IF(INDEX('Tournament Setup'!$AS:$AS,MATCH($A132,'Tournament Setup'!$A:$A,0))&lt;=MOD($Y132,18),1,0)))</f>
      </c>
      <c r="AP132" t="e">
        <f>IF(OR(OR($A132="",$D132=""),V132=""),"",V132-(INT($Y132/18)+IF(INDEX('Tournament Setup'!$AT:$AT,MATCH($A132,'Tournament Setup'!$A:$A,0))&lt;=MOD($Y132,18),1,0)))</f>
      </c>
      <c r="AQ132" t="e">
        <f>IF(OR(OR($A132="",$D132=""),W132=""),"",W132-(INT($Y132/18)+IF(INDEX('Tournament Setup'!$AU:$AU,MATCH($A132,'Tournament Setup'!$A:$A,0))&lt;=MOD($Y132,18),1,0)))</f>
      </c>
    </row>
    <row r="133">
      <c r="X133" t="e">
        <f>IF(OR($A133="",$D133=""),"",SUM(F133:W133))</f>
      </c>
      <c r="Y133" t="e">
        <f>IF(OR($A133="",$D133=""),"",IF(INDEX('Tournament Setup'!$F:$F,MATCH($A133,'Tournament Setup'!$A:$A,0))="Net",ROUND(($E133-_xlfn.MINIFS($E$2:$E$401,$A$2:$A$401,$A133,$B$2:$B$401,$B133))*INDEX('Tournament Setup'!$G:$G,MATCH($A133,'Tournament Setup'!$A:$A,0))/100,0),0))</f>
      </c>
      <c r="Z133" t="e">
        <f>IF(OR(OR($A133="",$D133=""),F133=""),"",F133-(INT($Y133/18)+IF(INDEX('Tournament Setup'!$AD:$AD,MATCH($A133,'Tournament Setup'!$A:$A,0))&lt;=MOD($Y133,18),1,0)))</f>
      </c>
      <c r="AA133" t="e">
        <f>IF(OR(OR($A133="",$D133=""),G133=""),"",G133-(INT($Y133/18)+IF(INDEX('Tournament Setup'!$AE:$AE,MATCH($A133,'Tournament Setup'!$A:$A,0))&lt;=MOD($Y133,18),1,0)))</f>
      </c>
      <c r="AB133" t="e">
        <f>IF(OR(OR($A133="",$D133=""),H133=""),"",H133-(INT($Y133/18)+IF(INDEX('Tournament Setup'!$AF:$AF,MATCH($A133,'Tournament Setup'!$A:$A,0))&lt;=MOD($Y133,18),1,0)))</f>
      </c>
      <c r="AC133" t="e">
        <f>IF(OR(OR($A133="",$D133=""),I133=""),"",I133-(INT($Y133/18)+IF(INDEX('Tournament Setup'!$AG:$AG,MATCH($A133,'Tournament Setup'!$A:$A,0))&lt;=MOD($Y133,18),1,0)))</f>
      </c>
      <c r="AD133" t="e">
        <f>IF(OR(OR($A133="",$D133=""),J133=""),"",J133-(INT($Y133/18)+IF(INDEX('Tournament Setup'!$AH:$AH,MATCH($A133,'Tournament Setup'!$A:$A,0))&lt;=MOD($Y133,18),1,0)))</f>
      </c>
      <c r="AE133" t="e">
        <f>IF(OR(OR($A133="",$D133=""),K133=""),"",K133-(INT($Y133/18)+IF(INDEX('Tournament Setup'!$AI:$AI,MATCH($A133,'Tournament Setup'!$A:$A,0))&lt;=MOD($Y133,18),1,0)))</f>
      </c>
      <c r="AF133" t="e">
        <f>IF(OR(OR($A133="",$D133=""),L133=""),"",L133-(INT($Y133/18)+IF(INDEX('Tournament Setup'!$AJ:$AJ,MATCH($A133,'Tournament Setup'!$A:$A,0))&lt;=MOD($Y133,18),1,0)))</f>
      </c>
      <c r="AG133" t="e">
        <f>IF(OR(OR($A133="",$D133=""),M133=""),"",M133-(INT($Y133/18)+IF(INDEX('Tournament Setup'!$AK:$AK,MATCH($A133,'Tournament Setup'!$A:$A,0))&lt;=MOD($Y133,18),1,0)))</f>
      </c>
      <c r="AH133" t="e">
        <f>IF(OR(OR($A133="",$D133=""),N133=""),"",N133-(INT($Y133/18)+IF(INDEX('Tournament Setup'!$AL:$AL,MATCH($A133,'Tournament Setup'!$A:$A,0))&lt;=MOD($Y133,18),1,0)))</f>
      </c>
      <c r="AI133" t="e">
        <f>IF(OR(OR($A133="",$D133=""),O133=""),"",O133-(INT($Y133/18)+IF(INDEX('Tournament Setup'!$AM:$AM,MATCH($A133,'Tournament Setup'!$A:$A,0))&lt;=MOD($Y133,18),1,0)))</f>
      </c>
      <c r="AJ133" t="e">
        <f>IF(OR(OR($A133="",$D133=""),P133=""),"",P133-(INT($Y133/18)+IF(INDEX('Tournament Setup'!$AN:$AN,MATCH($A133,'Tournament Setup'!$A:$A,0))&lt;=MOD($Y133,18),1,0)))</f>
      </c>
      <c r="AK133" t="e">
        <f>IF(OR(OR($A133="",$D133=""),Q133=""),"",Q133-(INT($Y133/18)+IF(INDEX('Tournament Setup'!$AO:$AO,MATCH($A133,'Tournament Setup'!$A:$A,0))&lt;=MOD($Y133,18),1,0)))</f>
      </c>
      <c r="AL133" t="e">
        <f>IF(OR(OR($A133="",$D133=""),R133=""),"",R133-(INT($Y133/18)+IF(INDEX('Tournament Setup'!$AP:$AP,MATCH($A133,'Tournament Setup'!$A:$A,0))&lt;=MOD($Y133,18),1,0)))</f>
      </c>
      <c r="AM133" t="e">
        <f>IF(OR(OR($A133="",$D133=""),S133=""),"",S133-(INT($Y133/18)+IF(INDEX('Tournament Setup'!$AQ:$AQ,MATCH($A133,'Tournament Setup'!$A:$A,0))&lt;=MOD($Y133,18),1,0)))</f>
      </c>
      <c r="AN133" t="e">
        <f>IF(OR(OR($A133="",$D133=""),T133=""),"",T133-(INT($Y133/18)+IF(INDEX('Tournament Setup'!$AR:$AR,MATCH($A133,'Tournament Setup'!$A:$A,0))&lt;=MOD($Y133,18),1,0)))</f>
      </c>
      <c r="AO133" t="e">
        <f>IF(OR(OR($A133="",$D133=""),U133=""),"",U133-(INT($Y133/18)+IF(INDEX('Tournament Setup'!$AS:$AS,MATCH($A133,'Tournament Setup'!$A:$A,0))&lt;=MOD($Y133,18),1,0)))</f>
      </c>
      <c r="AP133" t="e">
        <f>IF(OR(OR($A133="",$D133=""),V133=""),"",V133-(INT($Y133/18)+IF(INDEX('Tournament Setup'!$AT:$AT,MATCH($A133,'Tournament Setup'!$A:$A,0))&lt;=MOD($Y133,18),1,0)))</f>
      </c>
      <c r="AQ133" t="e">
        <f>IF(OR(OR($A133="",$D133=""),W133=""),"",W133-(INT($Y133/18)+IF(INDEX('Tournament Setup'!$AU:$AU,MATCH($A133,'Tournament Setup'!$A:$A,0))&lt;=MOD($Y133,18),1,0)))</f>
      </c>
    </row>
    <row r="134">
      <c r="X134" t="e">
        <f>IF(OR($A134="",$D134=""),"",SUM(F134:W134))</f>
      </c>
      <c r="Y134" t="e">
        <f>IF(OR($A134="",$D134=""),"",IF(INDEX('Tournament Setup'!$F:$F,MATCH($A134,'Tournament Setup'!$A:$A,0))="Net",ROUND(($E134-_xlfn.MINIFS($E$2:$E$401,$A$2:$A$401,$A134,$B$2:$B$401,$B134))*INDEX('Tournament Setup'!$G:$G,MATCH($A134,'Tournament Setup'!$A:$A,0))/100,0),0))</f>
      </c>
      <c r="Z134" t="e">
        <f>IF(OR(OR($A134="",$D134=""),F134=""),"",F134-(INT($Y134/18)+IF(INDEX('Tournament Setup'!$AD:$AD,MATCH($A134,'Tournament Setup'!$A:$A,0))&lt;=MOD($Y134,18),1,0)))</f>
      </c>
      <c r="AA134" t="e">
        <f>IF(OR(OR($A134="",$D134=""),G134=""),"",G134-(INT($Y134/18)+IF(INDEX('Tournament Setup'!$AE:$AE,MATCH($A134,'Tournament Setup'!$A:$A,0))&lt;=MOD($Y134,18),1,0)))</f>
      </c>
      <c r="AB134" t="e">
        <f>IF(OR(OR($A134="",$D134=""),H134=""),"",H134-(INT($Y134/18)+IF(INDEX('Tournament Setup'!$AF:$AF,MATCH($A134,'Tournament Setup'!$A:$A,0))&lt;=MOD($Y134,18),1,0)))</f>
      </c>
      <c r="AC134" t="e">
        <f>IF(OR(OR($A134="",$D134=""),I134=""),"",I134-(INT($Y134/18)+IF(INDEX('Tournament Setup'!$AG:$AG,MATCH($A134,'Tournament Setup'!$A:$A,0))&lt;=MOD($Y134,18),1,0)))</f>
      </c>
      <c r="AD134" t="e">
        <f>IF(OR(OR($A134="",$D134=""),J134=""),"",J134-(INT($Y134/18)+IF(INDEX('Tournament Setup'!$AH:$AH,MATCH($A134,'Tournament Setup'!$A:$A,0))&lt;=MOD($Y134,18),1,0)))</f>
      </c>
      <c r="AE134" t="e">
        <f>IF(OR(OR($A134="",$D134=""),K134=""),"",K134-(INT($Y134/18)+IF(INDEX('Tournament Setup'!$AI:$AI,MATCH($A134,'Tournament Setup'!$A:$A,0))&lt;=MOD($Y134,18),1,0)))</f>
      </c>
      <c r="AF134" t="e">
        <f>IF(OR(OR($A134="",$D134=""),L134=""),"",L134-(INT($Y134/18)+IF(INDEX('Tournament Setup'!$AJ:$AJ,MATCH($A134,'Tournament Setup'!$A:$A,0))&lt;=MOD($Y134,18),1,0)))</f>
      </c>
      <c r="AG134" t="e">
        <f>IF(OR(OR($A134="",$D134=""),M134=""),"",M134-(INT($Y134/18)+IF(INDEX('Tournament Setup'!$AK:$AK,MATCH($A134,'Tournament Setup'!$A:$A,0))&lt;=MOD($Y134,18),1,0)))</f>
      </c>
      <c r="AH134" t="e">
        <f>IF(OR(OR($A134="",$D134=""),N134=""),"",N134-(INT($Y134/18)+IF(INDEX('Tournament Setup'!$AL:$AL,MATCH($A134,'Tournament Setup'!$A:$A,0))&lt;=MOD($Y134,18),1,0)))</f>
      </c>
      <c r="AI134" t="e">
        <f>IF(OR(OR($A134="",$D134=""),O134=""),"",O134-(INT($Y134/18)+IF(INDEX('Tournament Setup'!$AM:$AM,MATCH($A134,'Tournament Setup'!$A:$A,0))&lt;=MOD($Y134,18),1,0)))</f>
      </c>
      <c r="AJ134" t="e">
        <f>IF(OR(OR($A134="",$D134=""),P134=""),"",P134-(INT($Y134/18)+IF(INDEX('Tournament Setup'!$AN:$AN,MATCH($A134,'Tournament Setup'!$A:$A,0))&lt;=MOD($Y134,18),1,0)))</f>
      </c>
      <c r="AK134" t="e">
        <f>IF(OR(OR($A134="",$D134=""),Q134=""),"",Q134-(INT($Y134/18)+IF(INDEX('Tournament Setup'!$AO:$AO,MATCH($A134,'Tournament Setup'!$A:$A,0))&lt;=MOD($Y134,18),1,0)))</f>
      </c>
      <c r="AL134" t="e">
        <f>IF(OR(OR($A134="",$D134=""),R134=""),"",R134-(INT($Y134/18)+IF(INDEX('Tournament Setup'!$AP:$AP,MATCH($A134,'Tournament Setup'!$A:$A,0))&lt;=MOD($Y134,18),1,0)))</f>
      </c>
      <c r="AM134" t="e">
        <f>IF(OR(OR($A134="",$D134=""),S134=""),"",S134-(INT($Y134/18)+IF(INDEX('Tournament Setup'!$AQ:$AQ,MATCH($A134,'Tournament Setup'!$A:$A,0))&lt;=MOD($Y134,18),1,0)))</f>
      </c>
      <c r="AN134" t="e">
        <f>IF(OR(OR($A134="",$D134=""),T134=""),"",T134-(INT($Y134/18)+IF(INDEX('Tournament Setup'!$AR:$AR,MATCH($A134,'Tournament Setup'!$A:$A,0))&lt;=MOD($Y134,18),1,0)))</f>
      </c>
      <c r="AO134" t="e">
        <f>IF(OR(OR($A134="",$D134=""),U134=""),"",U134-(INT($Y134/18)+IF(INDEX('Tournament Setup'!$AS:$AS,MATCH($A134,'Tournament Setup'!$A:$A,0))&lt;=MOD($Y134,18),1,0)))</f>
      </c>
      <c r="AP134" t="e">
        <f>IF(OR(OR($A134="",$D134=""),V134=""),"",V134-(INT($Y134/18)+IF(INDEX('Tournament Setup'!$AT:$AT,MATCH($A134,'Tournament Setup'!$A:$A,0))&lt;=MOD($Y134,18),1,0)))</f>
      </c>
      <c r="AQ134" t="e">
        <f>IF(OR(OR($A134="",$D134=""),W134=""),"",W134-(INT($Y134/18)+IF(INDEX('Tournament Setup'!$AU:$AU,MATCH($A134,'Tournament Setup'!$A:$A,0))&lt;=MOD($Y134,18),1,0)))</f>
      </c>
    </row>
    <row r="135">
      <c r="X135" t="e">
        <f>IF(OR($A135="",$D135=""),"",SUM(F135:W135))</f>
      </c>
      <c r="Y135" t="e">
        <f>IF(OR($A135="",$D135=""),"",IF(INDEX('Tournament Setup'!$F:$F,MATCH($A135,'Tournament Setup'!$A:$A,0))="Net",ROUND(($E135-_xlfn.MINIFS($E$2:$E$401,$A$2:$A$401,$A135,$B$2:$B$401,$B135))*INDEX('Tournament Setup'!$G:$G,MATCH($A135,'Tournament Setup'!$A:$A,0))/100,0),0))</f>
      </c>
      <c r="Z135" t="e">
        <f>IF(OR(OR($A135="",$D135=""),F135=""),"",F135-(INT($Y135/18)+IF(INDEX('Tournament Setup'!$AD:$AD,MATCH($A135,'Tournament Setup'!$A:$A,0))&lt;=MOD($Y135,18),1,0)))</f>
      </c>
      <c r="AA135" t="e">
        <f>IF(OR(OR($A135="",$D135=""),G135=""),"",G135-(INT($Y135/18)+IF(INDEX('Tournament Setup'!$AE:$AE,MATCH($A135,'Tournament Setup'!$A:$A,0))&lt;=MOD($Y135,18),1,0)))</f>
      </c>
      <c r="AB135" t="e">
        <f>IF(OR(OR($A135="",$D135=""),H135=""),"",H135-(INT($Y135/18)+IF(INDEX('Tournament Setup'!$AF:$AF,MATCH($A135,'Tournament Setup'!$A:$A,0))&lt;=MOD($Y135,18),1,0)))</f>
      </c>
      <c r="AC135" t="e">
        <f>IF(OR(OR($A135="",$D135=""),I135=""),"",I135-(INT($Y135/18)+IF(INDEX('Tournament Setup'!$AG:$AG,MATCH($A135,'Tournament Setup'!$A:$A,0))&lt;=MOD($Y135,18),1,0)))</f>
      </c>
      <c r="AD135" t="e">
        <f>IF(OR(OR($A135="",$D135=""),J135=""),"",J135-(INT($Y135/18)+IF(INDEX('Tournament Setup'!$AH:$AH,MATCH($A135,'Tournament Setup'!$A:$A,0))&lt;=MOD($Y135,18),1,0)))</f>
      </c>
      <c r="AE135" t="e">
        <f>IF(OR(OR($A135="",$D135=""),K135=""),"",K135-(INT($Y135/18)+IF(INDEX('Tournament Setup'!$AI:$AI,MATCH($A135,'Tournament Setup'!$A:$A,0))&lt;=MOD($Y135,18),1,0)))</f>
      </c>
      <c r="AF135" t="e">
        <f>IF(OR(OR($A135="",$D135=""),L135=""),"",L135-(INT($Y135/18)+IF(INDEX('Tournament Setup'!$AJ:$AJ,MATCH($A135,'Tournament Setup'!$A:$A,0))&lt;=MOD($Y135,18),1,0)))</f>
      </c>
      <c r="AG135" t="e">
        <f>IF(OR(OR($A135="",$D135=""),M135=""),"",M135-(INT($Y135/18)+IF(INDEX('Tournament Setup'!$AK:$AK,MATCH($A135,'Tournament Setup'!$A:$A,0))&lt;=MOD($Y135,18),1,0)))</f>
      </c>
      <c r="AH135" t="e">
        <f>IF(OR(OR($A135="",$D135=""),N135=""),"",N135-(INT($Y135/18)+IF(INDEX('Tournament Setup'!$AL:$AL,MATCH($A135,'Tournament Setup'!$A:$A,0))&lt;=MOD($Y135,18),1,0)))</f>
      </c>
      <c r="AI135" t="e">
        <f>IF(OR(OR($A135="",$D135=""),O135=""),"",O135-(INT($Y135/18)+IF(INDEX('Tournament Setup'!$AM:$AM,MATCH($A135,'Tournament Setup'!$A:$A,0))&lt;=MOD($Y135,18),1,0)))</f>
      </c>
      <c r="AJ135" t="e">
        <f>IF(OR(OR($A135="",$D135=""),P135=""),"",P135-(INT($Y135/18)+IF(INDEX('Tournament Setup'!$AN:$AN,MATCH($A135,'Tournament Setup'!$A:$A,0))&lt;=MOD($Y135,18),1,0)))</f>
      </c>
      <c r="AK135" t="e">
        <f>IF(OR(OR($A135="",$D135=""),Q135=""),"",Q135-(INT($Y135/18)+IF(INDEX('Tournament Setup'!$AO:$AO,MATCH($A135,'Tournament Setup'!$A:$A,0))&lt;=MOD($Y135,18),1,0)))</f>
      </c>
      <c r="AL135" t="e">
        <f>IF(OR(OR($A135="",$D135=""),R135=""),"",R135-(INT($Y135/18)+IF(INDEX('Tournament Setup'!$AP:$AP,MATCH($A135,'Tournament Setup'!$A:$A,0))&lt;=MOD($Y135,18),1,0)))</f>
      </c>
      <c r="AM135" t="e">
        <f>IF(OR(OR($A135="",$D135=""),S135=""),"",S135-(INT($Y135/18)+IF(INDEX('Tournament Setup'!$AQ:$AQ,MATCH($A135,'Tournament Setup'!$A:$A,0))&lt;=MOD($Y135,18),1,0)))</f>
      </c>
      <c r="AN135" t="e">
        <f>IF(OR(OR($A135="",$D135=""),T135=""),"",T135-(INT($Y135/18)+IF(INDEX('Tournament Setup'!$AR:$AR,MATCH($A135,'Tournament Setup'!$A:$A,0))&lt;=MOD($Y135,18),1,0)))</f>
      </c>
      <c r="AO135" t="e">
        <f>IF(OR(OR($A135="",$D135=""),U135=""),"",U135-(INT($Y135/18)+IF(INDEX('Tournament Setup'!$AS:$AS,MATCH($A135,'Tournament Setup'!$A:$A,0))&lt;=MOD($Y135,18),1,0)))</f>
      </c>
      <c r="AP135" t="e">
        <f>IF(OR(OR($A135="",$D135=""),V135=""),"",V135-(INT($Y135/18)+IF(INDEX('Tournament Setup'!$AT:$AT,MATCH($A135,'Tournament Setup'!$A:$A,0))&lt;=MOD($Y135,18),1,0)))</f>
      </c>
      <c r="AQ135" t="e">
        <f>IF(OR(OR($A135="",$D135=""),W135=""),"",W135-(INT($Y135/18)+IF(INDEX('Tournament Setup'!$AU:$AU,MATCH($A135,'Tournament Setup'!$A:$A,0))&lt;=MOD($Y135,18),1,0)))</f>
      </c>
    </row>
    <row r="136">
      <c r="X136" t="e">
        <f>IF(OR($A136="",$D136=""),"",SUM(F136:W136))</f>
      </c>
      <c r="Y136" t="e">
        <f>IF(OR($A136="",$D136=""),"",IF(INDEX('Tournament Setup'!$F:$F,MATCH($A136,'Tournament Setup'!$A:$A,0))="Net",ROUND(($E136-_xlfn.MINIFS($E$2:$E$401,$A$2:$A$401,$A136,$B$2:$B$401,$B136))*INDEX('Tournament Setup'!$G:$G,MATCH($A136,'Tournament Setup'!$A:$A,0))/100,0),0))</f>
      </c>
      <c r="Z136" t="e">
        <f>IF(OR(OR($A136="",$D136=""),F136=""),"",F136-(INT($Y136/18)+IF(INDEX('Tournament Setup'!$AD:$AD,MATCH($A136,'Tournament Setup'!$A:$A,0))&lt;=MOD($Y136,18),1,0)))</f>
      </c>
      <c r="AA136" t="e">
        <f>IF(OR(OR($A136="",$D136=""),G136=""),"",G136-(INT($Y136/18)+IF(INDEX('Tournament Setup'!$AE:$AE,MATCH($A136,'Tournament Setup'!$A:$A,0))&lt;=MOD($Y136,18),1,0)))</f>
      </c>
      <c r="AB136" t="e">
        <f>IF(OR(OR($A136="",$D136=""),H136=""),"",H136-(INT($Y136/18)+IF(INDEX('Tournament Setup'!$AF:$AF,MATCH($A136,'Tournament Setup'!$A:$A,0))&lt;=MOD($Y136,18),1,0)))</f>
      </c>
      <c r="AC136" t="e">
        <f>IF(OR(OR($A136="",$D136=""),I136=""),"",I136-(INT($Y136/18)+IF(INDEX('Tournament Setup'!$AG:$AG,MATCH($A136,'Tournament Setup'!$A:$A,0))&lt;=MOD($Y136,18),1,0)))</f>
      </c>
      <c r="AD136" t="e">
        <f>IF(OR(OR($A136="",$D136=""),J136=""),"",J136-(INT($Y136/18)+IF(INDEX('Tournament Setup'!$AH:$AH,MATCH($A136,'Tournament Setup'!$A:$A,0))&lt;=MOD($Y136,18),1,0)))</f>
      </c>
      <c r="AE136" t="e">
        <f>IF(OR(OR($A136="",$D136=""),K136=""),"",K136-(INT($Y136/18)+IF(INDEX('Tournament Setup'!$AI:$AI,MATCH($A136,'Tournament Setup'!$A:$A,0))&lt;=MOD($Y136,18),1,0)))</f>
      </c>
      <c r="AF136" t="e">
        <f>IF(OR(OR($A136="",$D136=""),L136=""),"",L136-(INT($Y136/18)+IF(INDEX('Tournament Setup'!$AJ:$AJ,MATCH($A136,'Tournament Setup'!$A:$A,0))&lt;=MOD($Y136,18),1,0)))</f>
      </c>
      <c r="AG136" t="e">
        <f>IF(OR(OR($A136="",$D136=""),M136=""),"",M136-(INT($Y136/18)+IF(INDEX('Tournament Setup'!$AK:$AK,MATCH($A136,'Tournament Setup'!$A:$A,0))&lt;=MOD($Y136,18),1,0)))</f>
      </c>
      <c r="AH136" t="e">
        <f>IF(OR(OR($A136="",$D136=""),N136=""),"",N136-(INT($Y136/18)+IF(INDEX('Tournament Setup'!$AL:$AL,MATCH($A136,'Tournament Setup'!$A:$A,0))&lt;=MOD($Y136,18),1,0)))</f>
      </c>
      <c r="AI136" t="e">
        <f>IF(OR(OR($A136="",$D136=""),O136=""),"",O136-(INT($Y136/18)+IF(INDEX('Tournament Setup'!$AM:$AM,MATCH($A136,'Tournament Setup'!$A:$A,0))&lt;=MOD($Y136,18),1,0)))</f>
      </c>
      <c r="AJ136" t="e">
        <f>IF(OR(OR($A136="",$D136=""),P136=""),"",P136-(INT($Y136/18)+IF(INDEX('Tournament Setup'!$AN:$AN,MATCH($A136,'Tournament Setup'!$A:$A,0))&lt;=MOD($Y136,18),1,0)))</f>
      </c>
      <c r="AK136" t="e">
        <f>IF(OR(OR($A136="",$D136=""),Q136=""),"",Q136-(INT($Y136/18)+IF(INDEX('Tournament Setup'!$AO:$AO,MATCH($A136,'Tournament Setup'!$A:$A,0))&lt;=MOD($Y136,18),1,0)))</f>
      </c>
      <c r="AL136" t="e">
        <f>IF(OR(OR($A136="",$D136=""),R136=""),"",R136-(INT($Y136/18)+IF(INDEX('Tournament Setup'!$AP:$AP,MATCH($A136,'Tournament Setup'!$A:$A,0))&lt;=MOD($Y136,18),1,0)))</f>
      </c>
      <c r="AM136" t="e">
        <f>IF(OR(OR($A136="",$D136=""),S136=""),"",S136-(INT($Y136/18)+IF(INDEX('Tournament Setup'!$AQ:$AQ,MATCH($A136,'Tournament Setup'!$A:$A,0))&lt;=MOD($Y136,18),1,0)))</f>
      </c>
      <c r="AN136" t="e">
        <f>IF(OR(OR($A136="",$D136=""),T136=""),"",T136-(INT($Y136/18)+IF(INDEX('Tournament Setup'!$AR:$AR,MATCH($A136,'Tournament Setup'!$A:$A,0))&lt;=MOD($Y136,18),1,0)))</f>
      </c>
      <c r="AO136" t="e">
        <f>IF(OR(OR($A136="",$D136=""),U136=""),"",U136-(INT($Y136/18)+IF(INDEX('Tournament Setup'!$AS:$AS,MATCH($A136,'Tournament Setup'!$A:$A,0))&lt;=MOD($Y136,18),1,0)))</f>
      </c>
      <c r="AP136" t="e">
        <f>IF(OR(OR($A136="",$D136=""),V136=""),"",V136-(INT($Y136/18)+IF(INDEX('Tournament Setup'!$AT:$AT,MATCH($A136,'Tournament Setup'!$A:$A,0))&lt;=MOD($Y136,18),1,0)))</f>
      </c>
      <c r="AQ136" t="e">
        <f>IF(OR(OR($A136="",$D136=""),W136=""),"",W136-(INT($Y136/18)+IF(INDEX('Tournament Setup'!$AU:$AU,MATCH($A136,'Tournament Setup'!$A:$A,0))&lt;=MOD($Y136,18),1,0)))</f>
      </c>
    </row>
    <row r="137">
      <c r="X137" t="e">
        <f>IF(OR($A137="",$D137=""),"",SUM(F137:W137))</f>
      </c>
      <c r="Y137" t="e">
        <f>IF(OR($A137="",$D137=""),"",IF(INDEX('Tournament Setup'!$F:$F,MATCH($A137,'Tournament Setup'!$A:$A,0))="Net",ROUND(($E137-_xlfn.MINIFS($E$2:$E$401,$A$2:$A$401,$A137,$B$2:$B$401,$B137))*INDEX('Tournament Setup'!$G:$G,MATCH($A137,'Tournament Setup'!$A:$A,0))/100,0),0))</f>
      </c>
      <c r="Z137" t="e">
        <f>IF(OR(OR($A137="",$D137=""),F137=""),"",F137-(INT($Y137/18)+IF(INDEX('Tournament Setup'!$AD:$AD,MATCH($A137,'Tournament Setup'!$A:$A,0))&lt;=MOD($Y137,18),1,0)))</f>
      </c>
      <c r="AA137" t="e">
        <f>IF(OR(OR($A137="",$D137=""),G137=""),"",G137-(INT($Y137/18)+IF(INDEX('Tournament Setup'!$AE:$AE,MATCH($A137,'Tournament Setup'!$A:$A,0))&lt;=MOD($Y137,18),1,0)))</f>
      </c>
      <c r="AB137" t="e">
        <f>IF(OR(OR($A137="",$D137=""),H137=""),"",H137-(INT($Y137/18)+IF(INDEX('Tournament Setup'!$AF:$AF,MATCH($A137,'Tournament Setup'!$A:$A,0))&lt;=MOD($Y137,18),1,0)))</f>
      </c>
      <c r="AC137" t="e">
        <f>IF(OR(OR($A137="",$D137=""),I137=""),"",I137-(INT($Y137/18)+IF(INDEX('Tournament Setup'!$AG:$AG,MATCH($A137,'Tournament Setup'!$A:$A,0))&lt;=MOD($Y137,18),1,0)))</f>
      </c>
      <c r="AD137" t="e">
        <f>IF(OR(OR($A137="",$D137=""),J137=""),"",J137-(INT($Y137/18)+IF(INDEX('Tournament Setup'!$AH:$AH,MATCH($A137,'Tournament Setup'!$A:$A,0))&lt;=MOD($Y137,18),1,0)))</f>
      </c>
      <c r="AE137" t="e">
        <f>IF(OR(OR($A137="",$D137=""),K137=""),"",K137-(INT($Y137/18)+IF(INDEX('Tournament Setup'!$AI:$AI,MATCH($A137,'Tournament Setup'!$A:$A,0))&lt;=MOD($Y137,18),1,0)))</f>
      </c>
      <c r="AF137" t="e">
        <f>IF(OR(OR($A137="",$D137=""),L137=""),"",L137-(INT($Y137/18)+IF(INDEX('Tournament Setup'!$AJ:$AJ,MATCH($A137,'Tournament Setup'!$A:$A,0))&lt;=MOD($Y137,18),1,0)))</f>
      </c>
      <c r="AG137" t="e">
        <f>IF(OR(OR($A137="",$D137=""),M137=""),"",M137-(INT($Y137/18)+IF(INDEX('Tournament Setup'!$AK:$AK,MATCH($A137,'Tournament Setup'!$A:$A,0))&lt;=MOD($Y137,18),1,0)))</f>
      </c>
      <c r="AH137" t="e">
        <f>IF(OR(OR($A137="",$D137=""),N137=""),"",N137-(INT($Y137/18)+IF(INDEX('Tournament Setup'!$AL:$AL,MATCH($A137,'Tournament Setup'!$A:$A,0))&lt;=MOD($Y137,18),1,0)))</f>
      </c>
      <c r="AI137" t="e">
        <f>IF(OR(OR($A137="",$D137=""),O137=""),"",O137-(INT($Y137/18)+IF(INDEX('Tournament Setup'!$AM:$AM,MATCH($A137,'Tournament Setup'!$A:$A,0))&lt;=MOD($Y137,18),1,0)))</f>
      </c>
      <c r="AJ137" t="e">
        <f>IF(OR(OR($A137="",$D137=""),P137=""),"",P137-(INT($Y137/18)+IF(INDEX('Tournament Setup'!$AN:$AN,MATCH($A137,'Tournament Setup'!$A:$A,0))&lt;=MOD($Y137,18),1,0)))</f>
      </c>
      <c r="AK137" t="e">
        <f>IF(OR(OR($A137="",$D137=""),Q137=""),"",Q137-(INT($Y137/18)+IF(INDEX('Tournament Setup'!$AO:$AO,MATCH($A137,'Tournament Setup'!$A:$A,0))&lt;=MOD($Y137,18),1,0)))</f>
      </c>
      <c r="AL137" t="e">
        <f>IF(OR(OR($A137="",$D137=""),R137=""),"",R137-(INT($Y137/18)+IF(INDEX('Tournament Setup'!$AP:$AP,MATCH($A137,'Tournament Setup'!$A:$A,0))&lt;=MOD($Y137,18),1,0)))</f>
      </c>
      <c r="AM137" t="e">
        <f>IF(OR(OR($A137="",$D137=""),S137=""),"",S137-(INT($Y137/18)+IF(INDEX('Tournament Setup'!$AQ:$AQ,MATCH($A137,'Tournament Setup'!$A:$A,0))&lt;=MOD($Y137,18),1,0)))</f>
      </c>
      <c r="AN137" t="e">
        <f>IF(OR(OR($A137="",$D137=""),T137=""),"",T137-(INT($Y137/18)+IF(INDEX('Tournament Setup'!$AR:$AR,MATCH($A137,'Tournament Setup'!$A:$A,0))&lt;=MOD($Y137,18),1,0)))</f>
      </c>
      <c r="AO137" t="e">
        <f>IF(OR(OR($A137="",$D137=""),U137=""),"",U137-(INT($Y137/18)+IF(INDEX('Tournament Setup'!$AS:$AS,MATCH($A137,'Tournament Setup'!$A:$A,0))&lt;=MOD($Y137,18),1,0)))</f>
      </c>
      <c r="AP137" t="e">
        <f>IF(OR(OR($A137="",$D137=""),V137=""),"",V137-(INT($Y137/18)+IF(INDEX('Tournament Setup'!$AT:$AT,MATCH($A137,'Tournament Setup'!$A:$A,0))&lt;=MOD($Y137,18),1,0)))</f>
      </c>
      <c r="AQ137" t="e">
        <f>IF(OR(OR($A137="",$D137=""),W137=""),"",W137-(INT($Y137/18)+IF(INDEX('Tournament Setup'!$AU:$AU,MATCH($A137,'Tournament Setup'!$A:$A,0))&lt;=MOD($Y137,18),1,0)))</f>
      </c>
    </row>
    <row r="138">
      <c r="X138" t="e">
        <f>IF(OR($A138="",$D138=""),"",SUM(F138:W138))</f>
      </c>
      <c r="Y138" t="e">
        <f>IF(OR($A138="",$D138=""),"",IF(INDEX('Tournament Setup'!$F:$F,MATCH($A138,'Tournament Setup'!$A:$A,0))="Net",ROUND(($E138-_xlfn.MINIFS($E$2:$E$401,$A$2:$A$401,$A138,$B$2:$B$401,$B138))*INDEX('Tournament Setup'!$G:$G,MATCH($A138,'Tournament Setup'!$A:$A,0))/100,0),0))</f>
      </c>
      <c r="Z138" t="e">
        <f>IF(OR(OR($A138="",$D138=""),F138=""),"",F138-(INT($Y138/18)+IF(INDEX('Tournament Setup'!$AD:$AD,MATCH($A138,'Tournament Setup'!$A:$A,0))&lt;=MOD($Y138,18),1,0)))</f>
      </c>
      <c r="AA138" t="e">
        <f>IF(OR(OR($A138="",$D138=""),G138=""),"",G138-(INT($Y138/18)+IF(INDEX('Tournament Setup'!$AE:$AE,MATCH($A138,'Tournament Setup'!$A:$A,0))&lt;=MOD($Y138,18),1,0)))</f>
      </c>
      <c r="AB138" t="e">
        <f>IF(OR(OR($A138="",$D138=""),H138=""),"",H138-(INT($Y138/18)+IF(INDEX('Tournament Setup'!$AF:$AF,MATCH($A138,'Tournament Setup'!$A:$A,0))&lt;=MOD($Y138,18),1,0)))</f>
      </c>
      <c r="AC138" t="e">
        <f>IF(OR(OR($A138="",$D138=""),I138=""),"",I138-(INT($Y138/18)+IF(INDEX('Tournament Setup'!$AG:$AG,MATCH($A138,'Tournament Setup'!$A:$A,0))&lt;=MOD($Y138,18),1,0)))</f>
      </c>
      <c r="AD138" t="e">
        <f>IF(OR(OR($A138="",$D138=""),J138=""),"",J138-(INT($Y138/18)+IF(INDEX('Tournament Setup'!$AH:$AH,MATCH($A138,'Tournament Setup'!$A:$A,0))&lt;=MOD($Y138,18),1,0)))</f>
      </c>
      <c r="AE138" t="e">
        <f>IF(OR(OR($A138="",$D138=""),K138=""),"",K138-(INT($Y138/18)+IF(INDEX('Tournament Setup'!$AI:$AI,MATCH($A138,'Tournament Setup'!$A:$A,0))&lt;=MOD($Y138,18),1,0)))</f>
      </c>
      <c r="AF138" t="e">
        <f>IF(OR(OR($A138="",$D138=""),L138=""),"",L138-(INT($Y138/18)+IF(INDEX('Tournament Setup'!$AJ:$AJ,MATCH($A138,'Tournament Setup'!$A:$A,0))&lt;=MOD($Y138,18),1,0)))</f>
      </c>
      <c r="AG138" t="e">
        <f>IF(OR(OR($A138="",$D138=""),M138=""),"",M138-(INT($Y138/18)+IF(INDEX('Tournament Setup'!$AK:$AK,MATCH($A138,'Tournament Setup'!$A:$A,0))&lt;=MOD($Y138,18),1,0)))</f>
      </c>
      <c r="AH138" t="e">
        <f>IF(OR(OR($A138="",$D138=""),N138=""),"",N138-(INT($Y138/18)+IF(INDEX('Tournament Setup'!$AL:$AL,MATCH($A138,'Tournament Setup'!$A:$A,0))&lt;=MOD($Y138,18),1,0)))</f>
      </c>
      <c r="AI138" t="e">
        <f>IF(OR(OR($A138="",$D138=""),O138=""),"",O138-(INT($Y138/18)+IF(INDEX('Tournament Setup'!$AM:$AM,MATCH($A138,'Tournament Setup'!$A:$A,0))&lt;=MOD($Y138,18),1,0)))</f>
      </c>
      <c r="AJ138" t="e">
        <f>IF(OR(OR($A138="",$D138=""),P138=""),"",P138-(INT($Y138/18)+IF(INDEX('Tournament Setup'!$AN:$AN,MATCH($A138,'Tournament Setup'!$A:$A,0))&lt;=MOD($Y138,18),1,0)))</f>
      </c>
      <c r="AK138" t="e">
        <f>IF(OR(OR($A138="",$D138=""),Q138=""),"",Q138-(INT($Y138/18)+IF(INDEX('Tournament Setup'!$AO:$AO,MATCH($A138,'Tournament Setup'!$A:$A,0))&lt;=MOD($Y138,18),1,0)))</f>
      </c>
      <c r="AL138" t="e">
        <f>IF(OR(OR($A138="",$D138=""),R138=""),"",R138-(INT($Y138/18)+IF(INDEX('Tournament Setup'!$AP:$AP,MATCH($A138,'Tournament Setup'!$A:$A,0))&lt;=MOD($Y138,18),1,0)))</f>
      </c>
      <c r="AM138" t="e">
        <f>IF(OR(OR($A138="",$D138=""),S138=""),"",S138-(INT($Y138/18)+IF(INDEX('Tournament Setup'!$AQ:$AQ,MATCH($A138,'Tournament Setup'!$A:$A,0))&lt;=MOD($Y138,18),1,0)))</f>
      </c>
      <c r="AN138" t="e">
        <f>IF(OR(OR($A138="",$D138=""),T138=""),"",T138-(INT($Y138/18)+IF(INDEX('Tournament Setup'!$AR:$AR,MATCH($A138,'Tournament Setup'!$A:$A,0))&lt;=MOD($Y138,18),1,0)))</f>
      </c>
      <c r="AO138" t="e">
        <f>IF(OR(OR($A138="",$D138=""),U138=""),"",U138-(INT($Y138/18)+IF(INDEX('Tournament Setup'!$AS:$AS,MATCH($A138,'Tournament Setup'!$A:$A,0))&lt;=MOD($Y138,18),1,0)))</f>
      </c>
      <c r="AP138" t="e">
        <f>IF(OR(OR($A138="",$D138=""),V138=""),"",V138-(INT($Y138/18)+IF(INDEX('Tournament Setup'!$AT:$AT,MATCH($A138,'Tournament Setup'!$A:$A,0))&lt;=MOD($Y138,18),1,0)))</f>
      </c>
      <c r="AQ138" t="e">
        <f>IF(OR(OR($A138="",$D138=""),W138=""),"",W138-(INT($Y138/18)+IF(INDEX('Tournament Setup'!$AU:$AU,MATCH($A138,'Tournament Setup'!$A:$A,0))&lt;=MOD($Y138,18),1,0)))</f>
      </c>
    </row>
    <row r="139">
      <c r="X139" t="e">
        <f>IF(OR($A139="",$D139=""),"",SUM(F139:W139))</f>
      </c>
      <c r="Y139" t="e">
        <f>IF(OR($A139="",$D139=""),"",IF(INDEX('Tournament Setup'!$F:$F,MATCH($A139,'Tournament Setup'!$A:$A,0))="Net",ROUND(($E139-_xlfn.MINIFS($E$2:$E$401,$A$2:$A$401,$A139,$B$2:$B$401,$B139))*INDEX('Tournament Setup'!$G:$G,MATCH($A139,'Tournament Setup'!$A:$A,0))/100,0),0))</f>
      </c>
      <c r="Z139" t="e">
        <f>IF(OR(OR($A139="",$D139=""),F139=""),"",F139-(INT($Y139/18)+IF(INDEX('Tournament Setup'!$AD:$AD,MATCH($A139,'Tournament Setup'!$A:$A,0))&lt;=MOD($Y139,18),1,0)))</f>
      </c>
      <c r="AA139" t="e">
        <f>IF(OR(OR($A139="",$D139=""),G139=""),"",G139-(INT($Y139/18)+IF(INDEX('Tournament Setup'!$AE:$AE,MATCH($A139,'Tournament Setup'!$A:$A,0))&lt;=MOD($Y139,18),1,0)))</f>
      </c>
      <c r="AB139" t="e">
        <f>IF(OR(OR($A139="",$D139=""),H139=""),"",H139-(INT($Y139/18)+IF(INDEX('Tournament Setup'!$AF:$AF,MATCH($A139,'Tournament Setup'!$A:$A,0))&lt;=MOD($Y139,18),1,0)))</f>
      </c>
      <c r="AC139" t="e">
        <f>IF(OR(OR($A139="",$D139=""),I139=""),"",I139-(INT($Y139/18)+IF(INDEX('Tournament Setup'!$AG:$AG,MATCH($A139,'Tournament Setup'!$A:$A,0))&lt;=MOD($Y139,18),1,0)))</f>
      </c>
      <c r="AD139" t="e">
        <f>IF(OR(OR($A139="",$D139=""),J139=""),"",J139-(INT($Y139/18)+IF(INDEX('Tournament Setup'!$AH:$AH,MATCH($A139,'Tournament Setup'!$A:$A,0))&lt;=MOD($Y139,18),1,0)))</f>
      </c>
      <c r="AE139" t="e">
        <f>IF(OR(OR($A139="",$D139=""),K139=""),"",K139-(INT($Y139/18)+IF(INDEX('Tournament Setup'!$AI:$AI,MATCH($A139,'Tournament Setup'!$A:$A,0))&lt;=MOD($Y139,18),1,0)))</f>
      </c>
      <c r="AF139" t="e">
        <f>IF(OR(OR($A139="",$D139=""),L139=""),"",L139-(INT($Y139/18)+IF(INDEX('Tournament Setup'!$AJ:$AJ,MATCH($A139,'Tournament Setup'!$A:$A,0))&lt;=MOD($Y139,18),1,0)))</f>
      </c>
      <c r="AG139" t="e">
        <f>IF(OR(OR($A139="",$D139=""),M139=""),"",M139-(INT($Y139/18)+IF(INDEX('Tournament Setup'!$AK:$AK,MATCH($A139,'Tournament Setup'!$A:$A,0))&lt;=MOD($Y139,18),1,0)))</f>
      </c>
      <c r="AH139" t="e">
        <f>IF(OR(OR($A139="",$D139=""),N139=""),"",N139-(INT($Y139/18)+IF(INDEX('Tournament Setup'!$AL:$AL,MATCH($A139,'Tournament Setup'!$A:$A,0))&lt;=MOD($Y139,18),1,0)))</f>
      </c>
      <c r="AI139" t="e">
        <f>IF(OR(OR($A139="",$D139=""),O139=""),"",O139-(INT($Y139/18)+IF(INDEX('Tournament Setup'!$AM:$AM,MATCH($A139,'Tournament Setup'!$A:$A,0))&lt;=MOD($Y139,18),1,0)))</f>
      </c>
      <c r="AJ139" t="e">
        <f>IF(OR(OR($A139="",$D139=""),P139=""),"",P139-(INT($Y139/18)+IF(INDEX('Tournament Setup'!$AN:$AN,MATCH($A139,'Tournament Setup'!$A:$A,0))&lt;=MOD($Y139,18),1,0)))</f>
      </c>
      <c r="AK139" t="e">
        <f>IF(OR(OR($A139="",$D139=""),Q139=""),"",Q139-(INT($Y139/18)+IF(INDEX('Tournament Setup'!$AO:$AO,MATCH($A139,'Tournament Setup'!$A:$A,0))&lt;=MOD($Y139,18),1,0)))</f>
      </c>
      <c r="AL139" t="e">
        <f>IF(OR(OR($A139="",$D139=""),R139=""),"",R139-(INT($Y139/18)+IF(INDEX('Tournament Setup'!$AP:$AP,MATCH($A139,'Tournament Setup'!$A:$A,0))&lt;=MOD($Y139,18),1,0)))</f>
      </c>
      <c r="AM139" t="e">
        <f>IF(OR(OR($A139="",$D139=""),S139=""),"",S139-(INT($Y139/18)+IF(INDEX('Tournament Setup'!$AQ:$AQ,MATCH($A139,'Tournament Setup'!$A:$A,0))&lt;=MOD($Y139,18),1,0)))</f>
      </c>
      <c r="AN139" t="e">
        <f>IF(OR(OR($A139="",$D139=""),T139=""),"",T139-(INT($Y139/18)+IF(INDEX('Tournament Setup'!$AR:$AR,MATCH($A139,'Tournament Setup'!$A:$A,0))&lt;=MOD($Y139,18),1,0)))</f>
      </c>
      <c r="AO139" t="e">
        <f>IF(OR(OR($A139="",$D139=""),U139=""),"",U139-(INT($Y139/18)+IF(INDEX('Tournament Setup'!$AS:$AS,MATCH($A139,'Tournament Setup'!$A:$A,0))&lt;=MOD($Y139,18),1,0)))</f>
      </c>
      <c r="AP139" t="e">
        <f>IF(OR(OR($A139="",$D139=""),V139=""),"",V139-(INT($Y139/18)+IF(INDEX('Tournament Setup'!$AT:$AT,MATCH($A139,'Tournament Setup'!$A:$A,0))&lt;=MOD($Y139,18),1,0)))</f>
      </c>
      <c r="AQ139" t="e">
        <f>IF(OR(OR($A139="",$D139=""),W139=""),"",W139-(INT($Y139/18)+IF(INDEX('Tournament Setup'!$AU:$AU,MATCH($A139,'Tournament Setup'!$A:$A,0))&lt;=MOD($Y139,18),1,0)))</f>
      </c>
    </row>
    <row r="140">
      <c r="X140" t="e">
        <f>IF(OR($A140="",$D140=""),"",SUM(F140:W140))</f>
      </c>
      <c r="Y140" t="e">
        <f>IF(OR($A140="",$D140=""),"",IF(INDEX('Tournament Setup'!$F:$F,MATCH($A140,'Tournament Setup'!$A:$A,0))="Net",ROUND(($E140-_xlfn.MINIFS($E$2:$E$401,$A$2:$A$401,$A140,$B$2:$B$401,$B140))*INDEX('Tournament Setup'!$G:$G,MATCH($A140,'Tournament Setup'!$A:$A,0))/100,0),0))</f>
      </c>
      <c r="Z140" t="e">
        <f>IF(OR(OR($A140="",$D140=""),F140=""),"",F140-(INT($Y140/18)+IF(INDEX('Tournament Setup'!$AD:$AD,MATCH($A140,'Tournament Setup'!$A:$A,0))&lt;=MOD($Y140,18),1,0)))</f>
      </c>
      <c r="AA140" t="e">
        <f>IF(OR(OR($A140="",$D140=""),G140=""),"",G140-(INT($Y140/18)+IF(INDEX('Tournament Setup'!$AE:$AE,MATCH($A140,'Tournament Setup'!$A:$A,0))&lt;=MOD($Y140,18),1,0)))</f>
      </c>
      <c r="AB140" t="e">
        <f>IF(OR(OR($A140="",$D140=""),H140=""),"",H140-(INT($Y140/18)+IF(INDEX('Tournament Setup'!$AF:$AF,MATCH($A140,'Tournament Setup'!$A:$A,0))&lt;=MOD($Y140,18),1,0)))</f>
      </c>
      <c r="AC140" t="e">
        <f>IF(OR(OR($A140="",$D140=""),I140=""),"",I140-(INT($Y140/18)+IF(INDEX('Tournament Setup'!$AG:$AG,MATCH($A140,'Tournament Setup'!$A:$A,0))&lt;=MOD($Y140,18),1,0)))</f>
      </c>
      <c r="AD140" t="e">
        <f>IF(OR(OR($A140="",$D140=""),J140=""),"",J140-(INT($Y140/18)+IF(INDEX('Tournament Setup'!$AH:$AH,MATCH($A140,'Tournament Setup'!$A:$A,0))&lt;=MOD($Y140,18),1,0)))</f>
      </c>
      <c r="AE140" t="e">
        <f>IF(OR(OR($A140="",$D140=""),K140=""),"",K140-(INT($Y140/18)+IF(INDEX('Tournament Setup'!$AI:$AI,MATCH($A140,'Tournament Setup'!$A:$A,0))&lt;=MOD($Y140,18),1,0)))</f>
      </c>
      <c r="AF140" t="e">
        <f>IF(OR(OR($A140="",$D140=""),L140=""),"",L140-(INT($Y140/18)+IF(INDEX('Tournament Setup'!$AJ:$AJ,MATCH($A140,'Tournament Setup'!$A:$A,0))&lt;=MOD($Y140,18),1,0)))</f>
      </c>
      <c r="AG140" t="e">
        <f>IF(OR(OR($A140="",$D140=""),M140=""),"",M140-(INT($Y140/18)+IF(INDEX('Tournament Setup'!$AK:$AK,MATCH($A140,'Tournament Setup'!$A:$A,0))&lt;=MOD($Y140,18),1,0)))</f>
      </c>
      <c r="AH140" t="e">
        <f>IF(OR(OR($A140="",$D140=""),N140=""),"",N140-(INT($Y140/18)+IF(INDEX('Tournament Setup'!$AL:$AL,MATCH($A140,'Tournament Setup'!$A:$A,0))&lt;=MOD($Y140,18),1,0)))</f>
      </c>
      <c r="AI140" t="e">
        <f>IF(OR(OR($A140="",$D140=""),O140=""),"",O140-(INT($Y140/18)+IF(INDEX('Tournament Setup'!$AM:$AM,MATCH($A140,'Tournament Setup'!$A:$A,0))&lt;=MOD($Y140,18),1,0)))</f>
      </c>
      <c r="AJ140" t="e">
        <f>IF(OR(OR($A140="",$D140=""),P140=""),"",P140-(INT($Y140/18)+IF(INDEX('Tournament Setup'!$AN:$AN,MATCH($A140,'Tournament Setup'!$A:$A,0))&lt;=MOD($Y140,18),1,0)))</f>
      </c>
      <c r="AK140" t="e">
        <f>IF(OR(OR($A140="",$D140=""),Q140=""),"",Q140-(INT($Y140/18)+IF(INDEX('Tournament Setup'!$AO:$AO,MATCH($A140,'Tournament Setup'!$A:$A,0))&lt;=MOD($Y140,18),1,0)))</f>
      </c>
      <c r="AL140" t="e">
        <f>IF(OR(OR($A140="",$D140=""),R140=""),"",R140-(INT($Y140/18)+IF(INDEX('Tournament Setup'!$AP:$AP,MATCH($A140,'Tournament Setup'!$A:$A,0))&lt;=MOD($Y140,18),1,0)))</f>
      </c>
      <c r="AM140" t="e">
        <f>IF(OR(OR($A140="",$D140=""),S140=""),"",S140-(INT($Y140/18)+IF(INDEX('Tournament Setup'!$AQ:$AQ,MATCH($A140,'Tournament Setup'!$A:$A,0))&lt;=MOD($Y140,18),1,0)))</f>
      </c>
      <c r="AN140" t="e">
        <f>IF(OR(OR($A140="",$D140=""),T140=""),"",T140-(INT($Y140/18)+IF(INDEX('Tournament Setup'!$AR:$AR,MATCH($A140,'Tournament Setup'!$A:$A,0))&lt;=MOD($Y140,18),1,0)))</f>
      </c>
      <c r="AO140" t="e">
        <f>IF(OR(OR($A140="",$D140=""),U140=""),"",U140-(INT($Y140/18)+IF(INDEX('Tournament Setup'!$AS:$AS,MATCH($A140,'Tournament Setup'!$A:$A,0))&lt;=MOD($Y140,18),1,0)))</f>
      </c>
      <c r="AP140" t="e">
        <f>IF(OR(OR($A140="",$D140=""),V140=""),"",V140-(INT($Y140/18)+IF(INDEX('Tournament Setup'!$AT:$AT,MATCH($A140,'Tournament Setup'!$A:$A,0))&lt;=MOD($Y140,18),1,0)))</f>
      </c>
      <c r="AQ140" t="e">
        <f>IF(OR(OR($A140="",$D140=""),W140=""),"",W140-(INT($Y140/18)+IF(INDEX('Tournament Setup'!$AU:$AU,MATCH($A140,'Tournament Setup'!$A:$A,0))&lt;=MOD($Y140,18),1,0)))</f>
      </c>
    </row>
    <row r="141">
      <c r="X141" t="e">
        <f>IF(OR($A141="",$D141=""),"",SUM(F141:W141))</f>
      </c>
      <c r="Y141" t="e">
        <f>IF(OR($A141="",$D141=""),"",IF(INDEX('Tournament Setup'!$F:$F,MATCH($A141,'Tournament Setup'!$A:$A,0))="Net",ROUND(($E141-_xlfn.MINIFS($E$2:$E$401,$A$2:$A$401,$A141,$B$2:$B$401,$B141))*INDEX('Tournament Setup'!$G:$G,MATCH($A141,'Tournament Setup'!$A:$A,0))/100,0),0))</f>
      </c>
      <c r="Z141" t="e">
        <f>IF(OR(OR($A141="",$D141=""),F141=""),"",F141-(INT($Y141/18)+IF(INDEX('Tournament Setup'!$AD:$AD,MATCH($A141,'Tournament Setup'!$A:$A,0))&lt;=MOD($Y141,18),1,0)))</f>
      </c>
      <c r="AA141" t="e">
        <f>IF(OR(OR($A141="",$D141=""),G141=""),"",G141-(INT($Y141/18)+IF(INDEX('Tournament Setup'!$AE:$AE,MATCH($A141,'Tournament Setup'!$A:$A,0))&lt;=MOD($Y141,18),1,0)))</f>
      </c>
      <c r="AB141" t="e">
        <f>IF(OR(OR($A141="",$D141=""),H141=""),"",H141-(INT($Y141/18)+IF(INDEX('Tournament Setup'!$AF:$AF,MATCH($A141,'Tournament Setup'!$A:$A,0))&lt;=MOD($Y141,18),1,0)))</f>
      </c>
      <c r="AC141" t="e">
        <f>IF(OR(OR($A141="",$D141=""),I141=""),"",I141-(INT($Y141/18)+IF(INDEX('Tournament Setup'!$AG:$AG,MATCH($A141,'Tournament Setup'!$A:$A,0))&lt;=MOD($Y141,18),1,0)))</f>
      </c>
      <c r="AD141" t="e">
        <f>IF(OR(OR($A141="",$D141=""),J141=""),"",J141-(INT($Y141/18)+IF(INDEX('Tournament Setup'!$AH:$AH,MATCH($A141,'Tournament Setup'!$A:$A,0))&lt;=MOD($Y141,18),1,0)))</f>
      </c>
      <c r="AE141" t="e">
        <f>IF(OR(OR($A141="",$D141=""),K141=""),"",K141-(INT($Y141/18)+IF(INDEX('Tournament Setup'!$AI:$AI,MATCH($A141,'Tournament Setup'!$A:$A,0))&lt;=MOD($Y141,18),1,0)))</f>
      </c>
      <c r="AF141" t="e">
        <f>IF(OR(OR($A141="",$D141=""),L141=""),"",L141-(INT($Y141/18)+IF(INDEX('Tournament Setup'!$AJ:$AJ,MATCH($A141,'Tournament Setup'!$A:$A,0))&lt;=MOD($Y141,18),1,0)))</f>
      </c>
      <c r="AG141" t="e">
        <f>IF(OR(OR($A141="",$D141=""),M141=""),"",M141-(INT($Y141/18)+IF(INDEX('Tournament Setup'!$AK:$AK,MATCH($A141,'Tournament Setup'!$A:$A,0))&lt;=MOD($Y141,18),1,0)))</f>
      </c>
      <c r="AH141" t="e">
        <f>IF(OR(OR($A141="",$D141=""),N141=""),"",N141-(INT($Y141/18)+IF(INDEX('Tournament Setup'!$AL:$AL,MATCH($A141,'Tournament Setup'!$A:$A,0))&lt;=MOD($Y141,18),1,0)))</f>
      </c>
      <c r="AI141" t="e">
        <f>IF(OR(OR($A141="",$D141=""),O141=""),"",O141-(INT($Y141/18)+IF(INDEX('Tournament Setup'!$AM:$AM,MATCH($A141,'Tournament Setup'!$A:$A,0))&lt;=MOD($Y141,18),1,0)))</f>
      </c>
      <c r="AJ141" t="e">
        <f>IF(OR(OR($A141="",$D141=""),P141=""),"",P141-(INT($Y141/18)+IF(INDEX('Tournament Setup'!$AN:$AN,MATCH($A141,'Tournament Setup'!$A:$A,0))&lt;=MOD($Y141,18),1,0)))</f>
      </c>
      <c r="AK141" t="e">
        <f>IF(OR(OR($A141="",$D141=""),Q141=""),"",Q141-(INT($Y141/18)+IF(INDEX('Tournament Setup'!$AO:$AO,MATCH($A141,'Tournament Setup'!$A:$A,0))&lt;=MOD($Y141,18),1,0)))</f>
      </c>
      <c r="AL141" t="e">
        <f>IF(OR(OR($A141="",$D141=""),R141=""),"",R141-(INT($Y141/18)+IF(INDEX('Tournament Setup'!$AP:$AP,MATCH($A141,'Tournament Setup'!$A:$A,0))&lt;=MOD($Y141,18),1,0)))</f>
      </c>
      <c r="AM141" t="e">
        <f>IF(OR(OR($A141="",$D141=""),S141=""),"",S141-(INT($Y141/18)+IF(INDEX('Tournament Setup'!$AQ:$AQ,MATCH($A141,'Tournament Setup'!$A:$A,0))&lt;=MOD($Y141,18),1,0)))</f>
      </c>
      <c r="AN141" t="e">
        <f>IF(OR(OR($A141="",$D141=""),T141=""),"",T141-(INT($Y141/18)+IF(INDEX('Tournament Setup'!$AR:$AR,MATCH($A141,'Tournament Setup'!$A:$A,0))&lt;=MOD($Y141,18),1,0)))</f>
      </c>
      <c r="AO141" t="e">
        <f>IF(OR(OR($A141="",$D141=""),U141=""),"",U141-(INT($Y141/18)+IF(INDEX('Tournament Setup'!$AS:$AS,MATCH($A141,'Tournament Setup'!$A:$A,0))&lt;=MOD($Y141,18),1,0)))</f>
      </c>
      <c r="AP141" t="e">
        <f>IF(OR(OR($A141="",$D141=""),V141=""),"",V141-(INT($Y141/18)+IF(INDEX('Tournament Setup'!$AT:$AT,MATCH($A141,'Tournament Setup'!$A:$A,0))&lt;=MOD($Y141,18),1,0)))</f>
      </c>
      <c r="AQ141" t="e">
        <f>IF(OR(OR($A141="",$D141=""),W141=""),"",W141-(INT($Y141/18)+IF(INDEX('Tournament Setup'!$AU:$AU,MATCH($A141,'Tournament Setup'!$A:$A,0))&lt;=MOD($Y141,18),1,0)))</f>
      </c>
    </row>
    <row r="142">
      <c r="X142" t="e">
        <f>IF(OR($A142="",$D142=""),"",SUM(F142:W142))</f>
      </c>
      <c r="Y142" t="e">
        <f>IF(OR($A142="",$D142=""),"",IF(INDEX('Tournament Setup'!$F:$F,MATCH($A142,'Tournament Setup'!$A:$A,0))="Net",ROUND(($E142-_xlfn.MINIFS($E$2:$E$401,$A$2:$A$401,$A142,$B$2:$B$401,$B142))*INDEX('Tournament Setup'!$G:$G,MATCH($A142,'Tournament Setup'!$A:$A,0))/100,0),0))</f>
      </c>
      <c r="Z142" t="e">
        <f>IF(OR(OR($A142="",$D142=""),F142=""),"",F142-(INT($Y142/18)+IF(INDEX('Tournament Setup'!$AD:$AD,MATCH($A142,'Tournament Setup'!$A:$A,0))&lt;=MOD($Y142,18),1,0)))</f>
      </c>
      <c r="AA142" t="e">
        <f>IF(OR(OR($A142="",$D142=""),G142=""),"",G142-(INT($Y142/18)+IF(INDEX('Tournament Setup'!$AE:$AE,MATCH($A142,'Tournament Setup'!$A:$A,0))&lt;=MOD($Y142,18),1,0)))</f>
      </c>
      <c r="AB142" t="e">
        <f>IF(OR(OR($A142="",$D142=""),H142=""),"",H142-(INT($Y142/18)+IF(INDEX('Tournament Setup'!$AF:$AF,MATCH($A142,'Tournament Setup'!$A:$A,0))&lt;=MOD($Y142,18),1,0)))</f>
      </c>
      <c r="AC142" t="e">
        <f>IF(OR(OR($A142="",$D142=""),I142=""),"",I142-(INT($Y142/18)+IF(INDEX('Tournament Setup'!$AG:$AG,MATCH($A142,'Tournament Setup'!$A:$A,0))&lt;=MOD($Y142,18),1,0)))</f>
      </c>
      <c r="AD142" t="e">
        <f>IF(OR(OR($A142="",$D142=""),J142=""),"",J142-(INT($Y142/18)+IF(INDEX('Tournament Setup'!$AH:$AH,MATCH($A142,'Tournament Setup'!$A:$A,0))&lt;=MOD($Y142,18),1,0)))</f>
      </c>
      <c r="AE142" t="e">
        <f>IF(OR(OR($A142="",$D142=""),K142=""),"",K142-(INT($Y142/18)+IF(INDEX('Tournament Setup'!$AI:$AI,MATCH($A142,'Tournament Setup'!$A:$A,0))&lt;=MOD($Y142,18),1,0)))</f>
      </c>
      <c r="AF142" t="e">
        <f>IF(OR(OR($A142="",$D142=""),L142=""),"",L142-(INT($Y142/18)+IF(INDEX('Tournament Setup'!$AJ:$AJ,MATCH($A142,'Tournament Setup'!$A:$A,0))&lt;=MOD($Y142,18),1,0)))</f>
      </c>
      <c r="AG142" t="e">
        <f>IF(OR(OR($A142="",$D142=""),M142=""),"",M142-(INT($Y142/18)+IF(INDEX('Tournament Setup'!$AK:$AK,MATCH($A142,'Tournament Setup'!$A:$A,0))&lt;=MOD($Y142,18),1,0)))</f>
      </c>
      <c r="AH142" t="e">
        <f>IF(OR(OR($A142="",$D142=""),N142=""),"",N142-(INT($Y142/18)+IF(INDEX('Tournament Setup'!$AL:$AL,MATCH($A142,'Tournament Setup'!$A:$A,0))&lt;=MOD($Y142,18),1,0)))</f>
      </c>
      <c r="AI142" t="e">
        <f>IF(OR(OR($A142="",$D142=""),O142=""),"",O142-(INT($Y142/18)+IF(INDEX('Tournament Setup'!$AM:$AM,MATCH($A142,'Tournament Setup'!$A:$A,0))&lt;=MOD($Y142,18),1,0)))</f>
      </c>
      <c r="AJ142" t="e">
        <f>IF(OR(OR($A142="",$D142=""),P142=""),"",P142-(INT($Y142/18)+IF(INDEX('Tournament Setup'!$AN:$AN,MATCH($A142,'Tournament Setup'!$A:$A,0))&lt;=MOD($Y142,18),1,0)))</f>
      </c>
      <c r="AK142" t="e">
        <f>IF(OR(OR($A142="",$D142=""),Q142=""),"",Q142-(INT($Y142/18)+IF(INDEX('Tournament Setup'!$AO:$AO,MATCH($A142,'Tournament Setup'!$A:$A,0))&lt;=MOD($Y142,18),1,0)))</f>
      </c>
      <c r="AL142" t="e">
        <f>IF(OR(OR($A142="",$D142=""),R142=""),"",R142-(INT($Y142/18)+IF(INDEX('Tournament Setup'!$AP:$AP,MATCH($A142,'Tournament Setup'!$A:$A,0))&lt;=MOD($Y142,18),1,0)))</f>
      </c>
      <c r="AM142" t="e">
        <f>IF(OR(OR($A142="",$D142=""),S142=""),"",S142-(INT($Y142/18)+IF(INDEX('Tournament Setup'!$AQ:$AQ,MATCH($A142,'Tournament Setup'!$A:$A,0))&lt;=MOD($Y142,18),1,0)))</f>
      </c>
      <c r="AN142" t="e">
        <f>IF(OR(OR($A142="",$D142=""),T142=""),"",T142-(INT($Y142/18)+IF(INDEX('Tournament Setup'!$AR:$AR,MATCH($A142,'Tournament Setup'!$A:$A,0))&lt;=MOD($Y142,18),1,0)))</f>
      </c>
      <c r="AO142" t="e">
        <f>IF(OR(OR($A142="",$D142=""),U142=""),"",U142-(INT($Y142/18)+IF(INDEX('Tournament Setup'!$AS:$AS,MATCH($A142,'Tournament Setup'!$A:$A,0))&lt;=MOD($Y142,18),1,0)))</f>
      </c>
      <c r="AP142" t="e">
        <f>IF(OR(OR($A142="",$D142=""),V142=""),"",V142-(INT($Y142/18)+IF(INDEX('Tournament Setup'!$AT:$AT,MATCH($A142,'Tournament Setup'!$A:$A,0))&lt;=MOD($Y142,18),1,0)))</f>
      </c>
      <c r="AQ142" t="e">
        <f>IF(OR(OR($A142="",$D142=""),W142=""),"",W142-(INT($Y142/18)+IF(INDEX('Tournament Setup'!$AU:$AU,MATCH($A142,'Tournament Setup'!$A:$A,0))&lt;=MOD($Y142,18),1,0)))</f>
      </c>
    </row>
    <row r="143">
      <c r="X143" t="e">
        <f>IF(OR($A143="",$D143=""),"",SUM(F143:W143))</f>
      </c>
      <c r="Y143" t="e">
        <f>IF(OR($A143="",$D143=""),"",IF(INDEX('Tournament Setup'!$F:$F,MATCH($A143,'Tournament Setup'!$A:$A,0))="Net",ROUND(($E143-_xlfn.MINIFS($E$2:$E$401,$A$2:$A$401,$A143,$B$2:$B$401,$B143))*INDEX('Tournament Setup'!$G:$G,MATCH($A143,'Tournament Setup'!$A:$A,0))/100,0),0))</f>
      </c>
      <c r="Z143" t="e">
        <f>IF(OR(OR($A143="",$D143=""),F143=""),"",F143-(INT($Y143/18)+IF(INDEX('Tournament Setup'!$AD:$AD,MATCH($A143,'Tournament Setup'!$A:$A,0))&lt;=MOD($Y143,18),1,0)))</f>
      </c>
      <c r="AA143" t="e">
        <f>IF(OR(OR($A143="",$D143=""),G143=""),"",G143-(INT($Y143/18)+IF(INDEX('Tournament Setup'!$AE:$AE,MATCH($A143,'Tournament Setup'!$A:$A,0))&lt;=MOD($Y143,18),1,0)))</f>
      </c>
      <c r="AB143" t="e">
        <f>IF(OR(OR($A143="",$D143=""),H143=""),"",H143-(INT($Y143/18)+IF(INDEX('Tournament Setup'!$AF:$AF,MATCH($A143,'Tournament Setup'!$A:$A,0))&lt;=MOD($Y143,18),1,0)))</f>
      </c>
      <c r="AC143" t="e">
        <f>IF(OR(OR($A143="",$D143=""),I143=""),"",I143-(INT($Y143/18)+IF(INDEX('Tournament Setup'!$AG:$AG,MATCH($A143,'Tournament Setup'!$A:$A,0))&lt;=MOD($Y143,18),1,0)))</f>
      </c>
      <c r="AD143" t="e">
        <f>IF(OR(OR($A143="",$D143=""),J143=""),"",J143-(INT($Y143/18)+IF(INDEX('Tournament Setup'!$AH:$AH,MATCH($A143,'Tournament Setup'!$A:$A,0))&lt;=MOD($Y143,18),1,0)))</f>
      </c>
      <c r="AE143" t="e">
        <f>IF(OR(OR($A143="",$D143=""),K143=""),"",K143-(INT($Y143/18)+IF(INDEX('Tournament Setup'!$AI:$AI,MATCH($A143,'Tournament Setup'!$A:$A,0))&lt;=MOD($Y143,18),1,0)))</f>
      </c>
      <c r="AF143" t="e">
        <f>IF(OR(OR($A143="",$D143=""),L143=""),"",L143-(INT($Y143/18)+IF(INDEX('Tournament Setup'!$AJ:$AJ,MATCH($A143,'Tournament Setup'!$A:$A,0))&lt;=MOD($Y143,18),1,0)))</f>
      </c>
      <c r="AG143" t="e">
        <f>IF(OR(OR($A143="",$D143=""),M143=""),"",M143-(INT($Y143/18)+IF(INDEX('Tournament Setup'!$AK:$AK,MATCH($A143,'Tournament Setup'!$A:$A,0))&lt;=MOD($Y143,18),1,0)))</f>
      </c>
      <c r="AH143" t="e">
        <f>IF(OR(OR($A143="",$D143=""),N143=""),"",N143-(INT($Y143/18)+IF(INDEX('Tournament Setup'!$AL:$AL,MATCH($A143,'Tournament Setup'!$A:$A,0))&lt;=MOD($Y143,18),1,0)))</f>
      </c>
      <c r="AI143" t="e">
        <f>IF(OR(OR($A143="",$D143=""),O143=""),"",O143-(INT($Y143/18)+IF(INDEX('Tournament Setup'!$AM:$AM,MATCH($A143,'Tournament Setup'!$A:$A,0))&lt;=MOD($Y143,18),1,0)))</f>
      </c>
      <c r="AJ143" t="e">
        <f>IF(OR(OR($A143="",$D143=""),P143=""),"",P143-(INT($Y143/18)+IF(INDEX('Tournament Setup'!$AN:$AN,MATCH($A143,'Tournament Setup'!$A:$A,0))&lt;=MOD($Y143,18),1,0)))</f>
      </c>
      <c r="AK143" t="e">
        <f>IF(OR(OR($A143="",$D143=""),Q143=""),"",Q143-(INT($Y143/18)+IF(INDEX('Tournament Setup'!$AO:$AO,MATCH($A143,'Tournament Setup'!$A:$A,0))&lt;=MOD($Y143,18),1,0)))</f>
      </c>
      <c r="AL143" t="e">
        <f>IF(OR(OR($A143="",$D143=""),R143=""),"",R143-(INT($Y143/18)+IF(INDEX('Tournament Setup'!$AP:$AP,MATCH($A143,'Tournament Setup'!$A:$A,0))&lt;=MOD($Y143,18),1,0)))</f>
      </c>
      <c r="AM143" t="e">
        <f>IF(OR(OR($A143="",$D143=""),S143=""),"",S143-(INT($Y143/18)+IF(INDEX('Tournament Setup'!$AQ:$AQ,MATCH($A143,'Tournament Setup'!$A:$A,0))&lt;=MOD($Y143,18),1,0)))</f>
      </c>
      <c r="AN143" t="e">
        <f>IF(OR(OR($A143="",$D143=""),T143=""),"",T143-(INT($Y143/18)+IF(INDEX('Tournament Setup'!$AR:$AR,MATCH($A143,'Tournament Setup'!$A:$A,0))&lt;=MOD($Y143,18),1,0)))</f>
      </c>
      <c r="AO143" t="e">
        <f>IF(OR(OR($A143="",$D143=""),U143=""),"",U143-(INT($Y143/18)+IF(INDEX('Tournament Setup'!$AS:$AS,MATCH($A143,'Tournament Setup'!$A:$A,0))&lt;=MOD($Y143,18),1,0)))</f>
      </c>
      <c r="AP143" t="e">
        <f>IF(OR(OR($A143="",$D143=""),V143=""),"",V143-(INT($Y143/18)+IF(INDEX('Tournament Setup'!$AT:$AT,MATCH($A143,'Tournament Setup'!$A:$A,0))&lt;=MOD($Y143,18),1,0)))</f>
      </c>
      <c r="AQ143" t="e">
        <f>IF(OR(OR($A143="",$D143=""),W143=""),"",W143-(INT($Y143/18)+IF(INDEX('Tournament Setup'!$AU:$AU,MATCH($A143,'Tournament Setup'!$A:$A,0))&lt;=MOD($Y143,18),1,0)))</f>
      </c>
    </row>
    <row r="144">
      <c r="X144" t="e">
        <f>IF(OR($A144="",$D144=""),"",SUM(F144:W144))</f>
      </c>
      <c r="Y144" t="e">
        <f>IF(OR($A144="",$D144=""),"",IF(INDEX('Tournament Setup'!$F:$F,MATCH($A144,'Tournament Setup'!$A:$A,0))="Net",ROUND(($E144-_xlfn.MINIFS($E$2:$E$401,$A$2:$A$401,$A144,$B$2:$B$401,$B144))*INDEX('Tournament Setup'!$G:$G,MATCH($A144,'Tournament Setup'!$A:$A,0))/100,0),0))</f>
      </c>
      <c r="Z144" t="e">
        <f>IF(OR(OR($A144="",$D144=""),F144=""),"",F144-(INT($Y144/18)+IF(INDEX('Tournament Setup'!$AD:$AD,MATCH($A144,'Tournament Setup'!$A:$A,0))&lt;=MOD($Y144,18),1,0)))</f>
      </c>
      <c r="AA144" t="e">
        <f>IF(OR(OR($A144="",$D144=""),G144=""),"",G144-(INT($Y144/18)+IF(INDEX('Tournament Setup'!$AE:$AE,MATCH($A144,'Tournament Setup'!$A:$A,0))&lt;=MOD($Y144,18),1,0)))</f>
      </c>
      <c r="AB144" t="e">
        <f>IF(OR(OR($A144="",$D144=""),H144=""),"",H144-(INT($Y144/18)+IF(INDEX('Tournament Setup'!$AF:$AF,MATCH($A144,'Tournament Setup'!$A:$A,0))&lt;=MOD($Y144,18),1,0)))</f>
      </c>
      <c r="AC144" t="e">
        <f>IF(OR(OR($A144="",$D144=""),I144=""),"",I144-(INT($Y144/18)+IF(INDEX('Tournament Setup'!$AG:$AG,MATCH($A144,'Tournament Setup'!$A:$A,0))&lt;=MOD($Y144,18),1,0)))</f>
      </c>
      <c r="AD144" t="e">
        <f>IF(OR(OR($A144="",$D144=""),J144=""),"",J144-(INT($Y144/18)+IF(INDEX('Tournament Setup'!$AH:$AH,MATCH($A144,'Tournament Setup'!$A:$A,0))&lt;=MOD($Y144,18),1,0)))</f>
      </c>
      <c r="AE144" t="e">
        <f>IF(OR(OR($A144="",$D144=""),K144=""),"",K144-(INT($Y144/18)+IF(INDEX('Tournament Setup'!$AI:$AI,MATCH($A144,'Tournament Setup'!$A:$A,0))&lt;=MOD($Y144,18),1,0)))</f>
      </c>
      <c r="AF144" t="e">
        <f>IF(OR(OR($A144="",$D144=""),L144=""),"",L144-(INT($Y144/18)+IF(INDEX('Tournament Setup'!$AJ:$AJ,MATCH($A144,'Tournament Setup'!$A:$A,0))&lt;=MOD($Y144,18),1,0)))</f>
      </c>
      <c r="AG144" t="e">
        <f>IF(OR(OR($A144="",$D144=""),M144=""),"",M144-(INT($Y144/18)+IF(INDEX('Tournament Setup'!$AK:$AK,MATCH($A144,'Tournament Setup'!$A:$A,0))&lt;=MOD($Y144,18),1,0)))</f>
      </c>
      <c r="AH144" t="e">
        <f>IF(OR(OR($A144="",$D144=""),N144=""),"",N144-(INT($Y144/18)+IF(INDEX('Tournament Setup'!$AL:$AL,MATCH($A144,'Tournament Setup'!$A:$A,0))&lt;=MOD($Y144,18),1,0)))</f>
      </c>
      <c r="AI144" t="e">
        <f>IF(OR(OR($A144="",$D144=""),O144=""),"",O144-(INT($Y144/18)+IF(INDEX('Tournament Setup'!$AM:$AM,MATCH($A144,'Tournament Setup'!$A:$A,0))&lt;=MOD($Y144,18),1,0)))</f>
      </c>
      <c r="AJ144" t="e">
        <f>IF(OR(OR($A144="",$D144=""),P144=""),"",P144-(INT($Y144/18)+IF(INDEX('Tournament Setup'!$AN:$AN,MATCH($A144,'Tournament Setup'!$A:$A,0))&lt;=MOD($Y144,18),1,0)))</f>
      </c>
      <c r="AK144" t="e">
        <f>IF(OR(OR($A144="",$D144=""),Q144=""),"",Q144-(INT($Y144/18)+IF(INDEX('Tournament Setup'!$AO:$AO,MATCH($A144,'Tournament Setup'!$A:$A,0))&lt;=MOD($Y144,18),1,0)))</f>
      </c>
      <c r="AL144" t="e">
        <f>IF(OR(OR($A144="",$D144=""),R144=""),"",R144-(INT($Y144/18)+IF(INDEX('Tournament Setup'!$AP:$AP,MATCH($A144,'Tournament Setup'!$A:$A,0))&lt;=MOD($Y144,18),1,0)))</f>
      </c>
      <c r="AM144" t="e">
        <f>IF(OR(OR($A144="",$D144=""),S144=""),"",S144-(INT($Y144/18)+IF(INDEX('Tournament Setup'!$AQ:$AQ,MATCH($A144,'Tournament Setup'!$A:$A,0))&lt;=MOD($Y144,18),1,0)))</f>
      </c>
      <c r="AN144" t="e">
        <f>IF(OR(OR($A144="",$D144=""),T144=""),"",T144-(INT($Y144/18)+IF(INDEX('Tournament Setup'!$AR:$AR,MATCH($A144,'Tournament Setup'!$A:$A,0))&lt;=MOD($Y144,18),1,0)))</f>
      </c>
      <c r="AO144" t="e">
        <f>IF(OR(OR($A144="",$D144=""),U144=""),"",U144-(INT($Y144/18)+IF(INDEX('Tournament Setup'!$AS:$AS,MATCH($A144,'Tournament Setup'!$A:$A,0))&lt;=MOD($Y144,18),1,0)))</f>
      </c>
      <c r="AP144" t="e">
        <f>IF(OR(OR($A144="",$D144=""),V144=""),"",V144-(INT($Y144/18)+IF(INDEX('Tournament Setup'!$AT:$AT,MATCH($A144,'Tournament Setup'!$A:$A,0))&lt;=MOD($Y144,18),1,0)))</f>
      </c>
      <c r="AQ144" t="e">
        <f>IF(OR(OR($A144="",$D144=""),W144=""),"",W144-(INT($Y144/18)+IF(INDEX('Tournament Setup'!$AU:$AU,MATCH($A144,'Tournament Setup'!$A:$A,0))&lt;=MOD($Y144,18),1,0)))</f>
      </c>
    </row>
    <row r="145">
      <c r="X145" t="e">
        <f>IF(OR($A145="",$D145=""),"",SUM(F145:W145))</f>
      </c>
      <c r="Y145" t="e">
        <f>IF(OR($A145="",$D145=""),"",IF(INDEX('Tournament Setup'!$F:$F,MATCH($A145,'Tournament Setup'!$A:$A,0))="Net",ROUND(($E145-_xlfn.MINIFS($E$2:$E$401,$A$2:$A$401,$A145,$B$2:$B$401,$B145))*INDEX('Tournament Setup'!$G:$G,MATCH($A145,'Tournament Setup'!$A:$A,0))/100,0),0))</f>
      </c>
      <c r="Z145" t="e">
        <f>IF(OR(OR($A145="",$D145=""),F145=""),"",F145-(INT($Y145/18)+IF(INDEX('Tournament Setup'!$AD:$AD,MATCH($A145,'Tournament Setup'!$A:$A,0))&lt;=MOD($Y145,18),1,0)))</f>
      </c>
      <c r="AA145" t="e">
        <f>IF(OR(OR($A145="",$D145=""),G145=""),"",G145-(INT($Y145/18)+IF(INDEX('Tournament Setup'!$AE:$AE,MATCH($A145,'Tournament Setup'!$A:$A,0))&lt;=MOD($Y145,18),1,0)))</f>
      </c>
      <c r="AB145" t="e">
        <f>IF(OR(OR($A145="",$D145=""),H145=""),"",H145-(INT($Y145/18)+IF(INDEX('Tournament Setup'!$AF:$AF,MATCH($A145,'Tournament Setup'!$A:$A,0))&lt;=MOD($Y145,18),1,0)))</f>
      </c>
      <c r="AC145" t="e">
        <f>IF(OR(OR($A145="",$D145=""),I145=""),"",I145-(INT($Y145/18)+IF(INDEX('Tournament Setup'!$AG:$AG,MATCH($A145,'Tournament Setup'!$A:$A,0))&lt;=MOD($Y145,18),1,0)))</f>
      </c>
      <c r="AD145" t="e">
        <f>IF(OR(OR($A145="",$D145=""),J145=""),"",J145-(INT($Y145/18)+IF(INDEX('Tournament Setup'!$AH:$AH,MATCH($A145,'Tournament Setup'!$A:$A,0))&lt;=MOD($Y145,18),1,0)))</f>
      </c>
      <c r="AE145" t="e">
        <f>IF(OR(OR($A145="",$D145=""),K145=""),"",K145-(INT($Y145/18)+IF(INDEX('Tournament Setup'!$AI:$AI,MATCH($A145,'Tournament Setup'!$A:$A,0))&lt;=MOD($Y145,18),1,0)))</f>
      </c>
      <c r="AF145" t="e">
        <f>IF(OR(OR($A145="",$D145=""),L145=""),"",L145-(INT($Y145/18)+IF(INDEX('Tournament Setup'!$AJ:$AJ,MATCH($A145,'Tournament Setup'!$A:$A,0))&lt;=MOD($Y145,18),1,0)))</f>
      </c>
      <c r="AG145" t="e">
        <f>IF(OR(OR($A145="",$D145=""),M145=""),"",M145-(INT($Y145/18)+IF(INDEX('Tournament Setup'!$AK:$AK,MATCH($A145,'Tournament Setup'!$A:$A,0))&lt;=MOD($Y145,18),1,0)))</f>
      </c>
      <c r="AH145" t="e">
        <f>IF(OR(OR($A145="",$D145=""),N145=""),"",N145-(INT($Y145/18)+IF(INDEX('Tournament Setup'!$AL:$AL,MATCH($A145,'Tournament Setup'!$A:$A,0))&lt;=MOD($Y145,18),1,0)))</f>
      </c>
      <c r="AI145" t="e">
        <f>IF(OR(OR($A145="",$D145=""),O145=""),"",O145-(INT($Y145/18)+IF(INDEX('Tournament Setup'!$AM:$AM,MATCH($A145,'Tournament Setup'!$A:$A,0))&lt;=MOD($Y145,18),1,0)))</f>
      </c>
      <c r="AJ145" t="e">
        <f>IF(OR(OR($A145="",$D145=""),P145=""),"",P145-(INT($Y145/18)+IF(INDEX('Tournament Setup'!$AN:$AN,MATCH($A145,'Tournament Setup'!$A:$A,0))&lt;=MOD($Y145,18),1,0)))</f>
      </c>
      <c r="AK145" t="e">
        <f>IF(OR(OR($A145="",$D145=""),Q145=""),"",Q145-(INT($Y145/18)+IF(INDEX('Tournament Setup'!$AO:$AO,MATCH($A145,'Tournament Setup'!$A:$A,0))&lt;=MOD($Y145,18),1,0)))</f>
      </c>
      <c r="AL145" t="e">
        <f>IF(OR(OR($A145="",$D145=""),R145=""),"",R145-(INT($Y145/18)+IF(INDEX('Tournament Setup'!$AP:$AP,MATCH($A145,'Tournament Setup'!$A:$A,0))&lt;=MOD($Y145,18),1,0)))</f>
      </c>
      <c r="AM145" t="e">
        <f>IF(OR(OR($A145="",$D145=""),S145=""),"",S145-(INT($Y145/18)+IF(INDEX('Tournament Setup'!$AQ:$AQ,MATCH($A145,'Tournament Setup'!$A:$A,0))&lt;=MOD($Y145,18),1,0)))</f>
      </c>
      <c r="AN145" t="e">
        <f>IF(OR(OR($A145="",$D145=""),T145=""),"",T145-(INT($Y145/18)+IF(INDEX('Tournament Setup'!$AR:$AR,MATCH($A145,'Tournament Setup'!$A:$A,0))&lt;=MOD($Y145,18),1,0)))</f>
      </c>
      <c r="AO145" t="e">
        <f>IF(OR(OR($A145="",$D145=""),U145=""),"",U145-(INT($Y145/18)+IF(INDEX('Tournament Setup'!$AS:$AS,MATCH($A145,'Tournament Setup'!$A:$A,0))&lt;=MOD($Y145,18),1,0)))</f>
      </c>
      <c r="AP145" t="e">
        <f>IF(OR(OR($A145="",$D145=""),V145=""),"",V145-(INT($Y145/18)+IF(INDEX('Tournament Setup'!$AT:$AT,MATCH($A145,'Tournament Setup'!$A:$A,0))&lt;=MOD($Y145,18),1,0)))</f>
      </c>
      <c r="AQ145" t="e">
        <f>IF(OR(OR($A145="",$D145=""),W145=""),"",W145-(INT($Y145/18)+IF(INDEX('Tournament Setup'!$AU:$AU,MATCH($A145,'Tournament Setup'!$A:$A,0))&lt;=MOD($Y145,18),1,0)))</f>
      </c>
    </row>
    <row r="146">
      <c r="X146" t="e">
        <f>IF(OR($A146="",$D146=""),"",SUM(F146:W146))</f>
      </c>
      <c r="Y146" t="e">
        <f>IF(OR($A146="",$D146=""),"",IF(INDEX('Tournament Setup'!$F:$F,MATCH($A146,'Tournament Setup'!$A:$A,0))="Net",ROUND(($E146-_xlfn.MINIFS($E$2:$E$401,$A$2:$A$401,$A146,$B$2:$B$401,$B146))*INDEX('Tournament Setup'!$G:$G,MATCH($A146,'Tournament Setup'!$A:$A,0))/100,0),0))</f>
      </c>
      <c r="Z146" t="e">
        <f>IF(OR(OR($A146="",$D146=""),F146=""),"",F146-(INT($Y146/18)+IF(INDEX('Tournament Setup'!$AD:$AD,MATCH($A146,'Tournament Setup'!$A:$A,0))&lt;=MOD($Y146,18),1,0)))</f>
      </c>
      <c r="AA146" t="e">
        <f>IF(OR(OR($A146="",$D146=""),G146=""),"",G146-(INT($Y146/18)+IF(INDEX('Tournament Setup'!$AE:$AE,MATCH($A146,'Tournament Setup'!$A:$A,0))&lt;=MOD($Y146,18),1,0)))</f>
      </c>
      <c r="AB146" t="e">
        <f>IF(OR(OR($A146="",$D146=""),H146=""),"",H146-(INT($Y146/18)+IF(INDEX('Tournament Setup'!$AF:$AF,MATCH($A146,'Tournament Setup'!$A:$A,0))&lt;=MOD($Y146,18),1,0)))</f>
      </c>
      <c r="AC146" t="e">
        <f>IF(OR(OR($A146="",$D146=""),I146=""),"",I146-(INT($Y146/18)+IF(INDEX('Tournament Setup'!$AG:$AG,MATCH($A146,'Tournament Setup'!$A:$A,0))&lt;=MOD($Y146,18),1,0)))</f>
      </c>
      <c r="AD146" t="e">
        <f>IF(OR(OR($A146="",$D146=""),J146=""),"",J146-(INT($Y146/18)+IF(INDEX('Tournament Setup'!$AH:$AH,MATCH($A146,'Tournament Setup'!$A:$A,0))&lt;=MOD($Y146,18),1,0)))</f>
      </c>
      <c r="AE146" t="e">
        <f>IF(OR(OR($A146="",$D146=""),K146=""),"",K146-(INT($Y146/18)+IF(INDEX('Tournament Setup'!$AI:$AI,MATCH($A146,'Tournament Setup'!$A:$A,0))&lt;=MOD($Y146,18),1,0)))</f>
      </c>
      <c r="AF146" t="e">
        <f>IF(OR(OR($A146="",$D146=""),L146=""),"",L146-(INT($Y146/18)+IF(INDEX('Tournament Setup'!$AJ:$AJ,MATCH($A146,'Tournament Setup'!$A:$A,0))&lt;=MOD($Y146,18),1,0)))</f>
      </c>
      <c r="AG146" t="e">
        <f>IF(OR(OR($A146="",$D146=""),M146=""),"",M146-(INT($Y146/18)+IF(INDEX('Tournament Setup'!$AK:$AK,MATCH($A146,'Tournament Setup'!$A:$A,0))&lt;=MOD($Y146,18),1,0)))</f>
      </c>
      <c r="AH146" t="e">
        <f>IF(OR(OR($A146="",$D146=""),N146=""),"",N146-(INT($Y146/18)+IF(INDEX('Tournament Setup'!$AL:$AL,MATCH($A146,'Tournament Setup'!$A:$A,0))&lt;=MOD($Y146,18),1,0)))</f>
      </c>
      <c r="AI146" t="e">
        <f>IF(OR(OR($A146="",$D146=""),O146=""),"",O146-(INT($Y146/18)+IF(INDEX('Tournament Setup'!$AM:$AM,MATCH($A146,'Tournament Setup'!$A:$A,0))&lt;=MOD($Y146,18),1,0)))</f>
      </c>
      <c r="AJ146" t="e">
        <f>IF(OR(OR($A146="",$D146=""),P146=""),"",P146-(INT($Y146/18)+IF(INDEX('Tournament Setup'!$AN:$AN,MATCH($A146,'Tournament Setup'!$A:$A,0))&lt;=MOD($Y146,18),1,0)))</f>
      </c>
      <c r="AK146" t="e">
        <f>IF(OR(OR($A146="",$D146=""),Q146=""),"",Q146-(INT($Y146/18)+IF(INDEX('Tournament Setup'!$AO:$AO,MATCH($A146,'Tournament Setup'!$A:$A,0))&lt;=MOD($Y146,18),1,0)))</f>
      </c>
      <c r="AL146" t="e">
        <f>IF(OR(OR($A146="",$D146=""),R146=""),"",R146-(INT($Y146/18)+IF(INDEX('Tournament Setup'!$AP:$AP,MATCH($A146,'Tournament Setup'!$A:$A,0))&lt;=MOD($Y146,18),1,0)))</f>
      </c>
      <c r="AM146" t="e">
        <f>IF(OR(OR($A146="",$D146=""),S146=""),"",S146-(INT($Y146/18)+IF(INDEX('Tournament Setup'!$AQ:$AQ,MATCH($A146,'Tournament Setup'!$A:$A,0))&lt;=MOD($Y146,18),1,0)))</f>
      </c>
      <c r="AN146" t="e">
        <f>IF(OR(OR($A146="",$D146=""),T146=""),"",T146-(INT($Y146/18)+IF(INDEX('Tournament Setup'!$AR:$AR,MATCH($A146,'Tournament Setup'!$A:$A,0))&lt;=MOD($Y146,18),1,0)))</f>
      </c>
      <c r="AO146" t="e">
        <f>IF(OR(OR($A146="",$D146=""),U146=""),"",U146-(INT($Y146/18)+IF(INDEX('Tournament Setup'!$AS:$AS,MATCH($A146,'Tournament Setup'!$A:$A,0))&lt;=MOD($Y146,18),1,0)))</f>
      </c>
      <c r="AP146" t="e">
        <f>IF(OR(OR($A146="",$D146=""),V146=""),"",V146-(INT($Y146/18)+IF(INDEX('Tournament Setup'!$AT:$AT,MATCH($A146,'Tournament Setup'!$A:$A,0))&lt;=MOD($Y146,18),1,0)))</f>
      </c>
      <c r="AQ146" t="e">
        <f>IF(OR(OR($A146="",$D146=""),W146=""),"",W146-(INT($Y146/18)+IF(INDEX('Tournament Setup'!$AU:$AU,MATCH($A146,'Tournament Setup'!$A:$A,0))&lt;=MOD($Y146,18),1,0)))</f>
      </c>
    </row>
    <row r="147">
      <c r="X147" t="e">
        <f>IF(OR($A147="",$D147=""),"",SUM(F147:W147))</f>
      </c>
      <c r="Y147" t="e">
        <f>IF(OR($A147="",$D147=""),"",IF(INDEX('Tournament Setup'!$F:$F,MATCH($A147,'Tournament Setup'!$A:$A,0))="Net",ROUND(($E147-_xlfn.MINIFS($E$2:$E$401,$A$2:$A$401,$A147,$B$2:$B$401,$B147))*INDEX('Tournament Setup'!$G:$G,MATCH($A147,'Tournament Setup'!$A:$A,0))/100,0),0))</f>
      </c>
      <c r="Z147" t="e">
        <f>IF(OR(OR($A147="",$D147=""),F147=""),"",F147-(INT($Y147/18)+IF(INDEX('Tournament Setup'!$AD:$AD,MATCH($A147,'Tournament Setup'!$A:$A,0))&lt;=MOD($Y147,18),1,0)))</f>
      </c>
      <c r="AA147" t="e">
        <f>IF(OR(OR($A147="",$D147=""),G147=""),"",G147-(INT($Y147/18)+IF(INDEX('Tournament Setup'!$AE:$AE,MATCH($A147,'Tournament Setup'!$A:$A,0))&lt;=MOD($Y147,18),1,0)))</f>
      </c>
      <c r="AB147" t="e">
        <f>IF(OR(OR($A147="",$D147=""),H147=""),"",H147-(INT($Y147/18)+IF(INDEX('Tournament Setup'!$AF:$AF,MATCH($A147,'Tournament Setup'!$A:$A,0))&lt;=MOD($Y147,18),1,0)))</f>
      </c>
      <c r="AC147" t="e">
        <f>IF(OR(OR($A147="",$D147=""),I147=""),"",I147-(INT($Y147/18)+IF(INDEX('Tournament Setup'!$AG:$AG,MATCH($A147,'Tournament Setup'!$A:$A,0))&lt;=MOD($Y147,18),1,0)))</f>
      </c>
      <c r="AD147" t="e">
        <f>IF(OR(OR($A147="",$D147=""),J147=""),"",J147-(INT($Y147/18)+IF(INDEX('Tournament Setup'!$AH:$AH,MATCH($A147,'Tournament Setup'!$A:$A,0))&lt;=MOD($Y147,18),1,0)))</f>
      </c>
      <c r="AE147" t="e">
        <f>IF(OR(OR($A147="",$D147=""),K147=""),"",K147-(INT($Y147/18)+IF(INDEX('Tournament Setup'!$AI:$AI,MATCH($A147,'Tournament Setup'!$A:$A,0))&lt;=MOD($Y147,18),1,0)))</f>
      </c>
      <c r="AF147" t="e">
        <f>IF(OR(OR($A147="",$D147=""),L147=""),"",L147-(INT($Y147/18)+IF(INDEX('Tournament Setup'!$AJ:$AJ,MATCH($A147,'Tournament Setup'!$A:$A,0))&lt;=MOD($Y147,18),1,0)))</f>
      </c>
      <c r="AG147" t="e">
        <f>IF(OR(OR($A147="",$D147=""),M147=""),"",M147-(INT($Y147/18)+IF(INDEX('Tournament Setup'!$AK:$AK,MATCH($A147,'Tournament Setup'!$A:$A,0))&lt;=MOD($Y147,18),1,0)))</f>
      </c>
      <c r="AH147" t="e">
        <f>IF(OR(OR($A147="",$D147=""),N147=""),"",N147-(INT($Y147/18)+IF(INDEX('Tournament Setup'!$AL:$AL,MATCH($A147,'Tournament Setup'!$A:$A,0))&lt;=MOD($Y147,18),1,0)))</f>
      </c>
      <c r="AI147" t="e">
        <f>IF(OR(OR($A147="",$D147=""),O147=""),"",O147-(INT($Y147/18)+IF(INDEX('Tournament Setup'!$AM:$AM,MATCH($A147,'Tournament Setup'!$A:$A,0))&lt;=MOD($Y147,18),1,0)))</f>
      </c>
      <c r="AJ147" t="e">
        <f>IF(OR(OR($A147="",$D147=""),P147=""),"",P147-(INT($Y147/18)+IF(INDEX('Tournament Setup'!$AN:$AN,MATCH($A147,'Tournament Setup'!$A:$A,0))&lt;=MOD($Y147,18),1,0)))</f>
      </c>
      <c r="AK147" t="e">
        <f>IF(OR(OR($A147="",$D147=""),Q147=""),"",Q147-(INT($Y147/18)+IF(INDEX('Tournament Setup'!$AO:$AO,MATCH($A147,'Tournament Setup'!$A:$A,0))&lt;=MOD($Y147,18),1,0)))</f>
      </c>
      <c r="AL147" t="e">
        <f>IF(OR(OR($A147="",$D147=""),R147=""),"",R147-(INT($Y147/18)+IF(INDEX('Tournament Setup'!$AP:$AP,MATCH($A147,'Tournament Setup'!$A:$A,0))&lt;=MOD($Y147,18),1,0)))</f>
      </c>
      <c r="AM147" t="e">
        <f>IF(OR(OR($A147="",$D147=""),S147=""),"",S147-(INT($Y147/18)+IF(INDEX('Tournament Setup'!$AQ:$AQ,MATCH($A147,'Tournament Setup'!$A:$A,0))&lt;=MOD($Y147,18),1,0)))</f>
      </c>
      <c r="AN147" t="e">
        <f>IF(OR(OR($A147="",$D147=""),T147=""),"",T147-(INT($Y147/18)+IF(INDEX('Tournament Setup'!$AR:$AR,MATCH($A147,'Tournament Setup'!$A:$A,0))&lt;=MOD($Y147,18),1,0)))</f>
      </c>
      <c r="AO147" t="e">
        <f>IF(OR(OR($A147="",$D147=""),U147=""),"",U147-(INT($Y147/18)+IF(INDEX('Tournament Setup'!$AS:$AS,MATCH($A147,'Tournament Setup'!$A:$A,0))&lt;=MOD($Y147,18),1,0)))</f>
      </c>
      <c r="AP147" t="e">
        <f>IF(OR(OR($A147="",$D147=""),V147=""),"",V147-(INT($Y147/18)+IF(INDEX('Tournament Setup'!$AT:$AT,MATCH($A147,'Tournament Setup'!$A:$A,0))&lt;=MOD($Y147,18),1,0)))</f>
      </c>
      <c r="AQ147" t="e">
        <f>IF(OR(OR($A147="",$D147=""),W147=""),"",W147-(INT($Y147/18)+IF(INDEX('Tournament Setup'!$AU:$AU,MATCH($A147,'Tournament Setup'!$A:$A,0))&lt;=MOD($Y147,18),1,0)))</f>
      </c>
    </row>
    <row r="148">
      <c r="X148" t="e">
        <f>IF(OR($A148="",$D148=""),"",SUM(F148:W148))</f>
      </c>
      <c r="Y148" t="e">
        <f>IF(OR($A148="",$D148=""),"",IF(INDEX('Tournament Setup'!$F:$F,MATCH($A148,'Tournament Setup'!$A:$A,0))="Net",ROUND(($E148-_xlfn.MINIFS($E$2:$E$401,$A$2:$A$401,$A148,$B$2:$B$401,$B148))*INDEX('Tournament Setup'!$G:$G,MATCH($A148,'Tournament Setup'!$A:$A,0))/100,0),0))</f>
      </c>
      <c r="Z148" t="e">
        <f>IF(OR(OR($A148="",$D148=""),F148=""),"",F148-(INT($Y148/18)+IF(INDEX('Tournament Setup'!$AD:$AD,MATCH($A148,'Tournament Setup'!$A:$A,0))&lt;=MOD($Y148,18),1,0)))</f>
      </c>
      <c r="AA148" t="e">
        <f>IF(OR(OR($A148="",$D148=""),G148=""),"",G148-(INT($Y148/18)+IF(INDEX('Tournament Setup'!$AE:$AE,MATCH($A148,'Tournament Setup'!$A:$A,0))&lt;=MOD($Y148,18),1,0)))</f>
      </c>
      <c r="AB148" t="e">
        <f>IF(OR(OR($A148="",$D148=""),H148=""),"",H148-(INT($Y148/18)+IF(INDEX('Tournament Setup'!$AF:$AF,MATCH($A148,'Tournament Setup'!$A:$A,0))&lt;=MOD($Y148,18),1,0)))</f>
      </c>
      <c r="AC148" t="e">
        <f>IF(OR(OR($A148="",$D148=""),I148=""),"",I148-(INT($Y148/18)+IF(INDEX('Tournament Setup'!$AG:$AG,MATCH($A148,'Tournament Setup'!$A:$A,0))&lt;=MOD($Y148,18),1,0)))</f>
      </c>
      <c r="AD148" t="e">
        <f>IF(OR(OR($A148="",$D148=""),J148=""),"",J148-(INT($Y148/18)+IF(INDEX('Tournament Setup'!$AH:$AH,MATCH($A148,'Tournament Setup'!$A:$A,0))&lt;=MOD($Y148,18),1,0)))</f>
      </c>
      <c r="AE148" t="e">
        <f>IF(OR(OR($A148="",$D148=""),K148=""),"",K148-(INT($Y148/18)+IF(INDEX('Tournament Setup'!$AI:$AI,MATCH($A148,'Tournament Setup'!$A:$A,0))&lt;=MOD($Y148,18),1,0)))</f>
      </c>
      <c r="AF148" t="e">
        <f>IF(OR(OR($A148="",$D148=""),L148=""),"",L148-(INT($Y148/18)+IF(INDEX('Tournament Setup'!$AJ:$AJ,MATCH($A148,'Tournament Setup'!$A:$A,0))&lt;=MOD($Y148,18),1,0)))</f>
      </c>
      <c r="AG148" t="e">
        <f>IF(OR(OR($A148="",$D148=""),M148=""),"",M148-(INT($Y148/18)+IF(INDEX('Tournament Setup'!$AK:$AK,MATCH($A148,'Tournament Setup'!$A:$A,0))&lt;=MOD($Y148,18),1,0)))</f>
      </c>
      <c r="AH148" t="e">
        <f>IF(OR(OR($A148="",$D148=""),N148=""),"",N148-(INT($Y148/18)+IF(INDEX('Tournament Setup'!$AL:$AL,MATCH($A148,'Tournament Setup'!$A:$A,0))&lt;=MOD($Y148,18),1,0)))</f>
      </c>
      <c r="AI148" t="e">
        <f>IF(OR(OR($A148="",$D148=""),O148=""),"",O148-(INT($Y148/18)+IF(INDEX('Tournament Setup'!$AM:$AM,MATCH($A148,'Tournament Setup'!$A:$A,0))&lt;=MOD($Y148,18),1,0)))</f>
      </c>
      <c r="AJ148" t="e">
        <f>IF(OR(OR($A148="",$D148=""),P148=""),"",P148-(INT($Y148/18)+IF(INDEX('Tournament Setup'!$AN:$AN,MATCH($A148,'Tournament Setup'!$A:$A,0))&lt;=MOD($Y148,18),1,0)))</f>
      </c>
      <c r="AK148" t="e">
        <f>IF(OR(OR($A148="",$D148=""),Q148=""),"",Q148-(INT($Y148/18)+IF(INDEX('Tournament Setup'!$AO:$AO,MATCH($A148,'Tournament Setup'!$A:$A,0))&lt;=MOD($Y148,18),1,0)))</f>
      </c>
      <c r="AL148" t="e">
        <f>IF(OR(OR($A148="",$D148=""),R148=""),"",R148-(INT($Y148/18)+IF(INDEX('Tournament Setup'!$AP:$AP,MATCH($A148,'Tournament Setup'!$A:$A,0))&lt;=MOD($Y148,18),1,0)))</f>
      </c>
      <c r="AM148" t="e">
        <f>IF(OR(OR($A148="",$D148=""),S148=""),"",S148-(INT($Y148/18)+IF(INDEX('Tournament Setup'!$AQ:$AQ,MATCH($A148,'Tournament Setup'!$A:$A,0))&lt;=MOD($Y148,18),1,0)))</f>
      </c>
      <c r="AN148" t="e">
        <f>IF(OR(OR($A148="",$D148=""),T148=""),"",T148-(INT($Y148/18)+IF(INDEX('Tournament Setup'!$AR:$AR,MATCH($A148,'Tournament Setup'!$A:$A,0))&lt;=MOD($Y148,18),1,0)))</f>
      </c>
      <c r="AO148" t="e">
        <f>IF(OR(OR($A148="",$D148=""),U148=""),"",U148-(INT($Y148/18)+IF(INDEX('Tournament Setup'!$AS:$AS,MATCH($A148,'Tournament Setup'!$A:$A,0))&lt;=MOD($Y148,18),1,0)))</f>
      </c>
      <c r="AP148" t="e">
        <f>IF(OR(OR($A148="",$D148=""),V148=""),"",V148-(INT($Y148/18)+IF(INDEX('Tournament Setup'!$AT:$AT,MATCH($A148,'Tournament Setup'!$A:$A,0))&lt;=MOD($Y148,18),1,0)))</f>
      </c>
      <c r="AQ148" t="e">
        <f>IF(OR(OR($A148="",$D148=""),W148=""),"",W148-(INT($Y148/18)+IF(INDEX('Tournament Setup'!$AU:$AU,MATCH($A148,'Tournament Setup'!$A:$A,0))&lt;=MOD($Y148,18),1,0)))</f>
      </c>
    </row>
    <row r="149">
      <c r="X149" t="e">
        <f>IF(OR($A149="",$D149=""),"",SUM(F149:W149))</f>
      </c>
      <c r="Y149" t="e">
        <f>IF(OR($A149="",$D149=""),"",IF(INDEX('Tournament Setup'!$F:$F,MATCH($A149,'Tournament Setup'!$A:$A,0))="Net",ROUND(($E149-_xlfn.MINIFS($E$2:$E$401,$A$2:$A$401,$A149,$B$2:$B$401,$B149))*INDEX('Tournament Setup'!$G:$G,MATCH($A149,'Tournament Setup'!$A:$A,0))/100,0),0))</f>
      </c>
      <c r="Z149" t="e">
        <f>IF(OR(OR($A149="",$D149=""),F149=""),"",F149-(INT($Y149/18)+IF(INDEX('Tournament Setup'!$AD:$AD,MATCH($A149,'Tournament Setup'!$A:$A,0))&lt;=MOD($Y149,18),1,0)))</f>
      </c>
      <c r="AA149" t="e">
        <f>IF(OR(OR($A149="",$D149=""),G149=""),"",G149-(INT($Y149/18)+IF(INDEX('Tournament Setup'!$AE:$AE,MATCH($A149,'Tournament Setup'!$A:$A,0))&lt;=MOD($Y149,18),1,0)))</f>
      </c>
      <c r="AB149" t="e">
        <f>IF(OR(OR($A149="",$D149=""),H149=""),"",H149-(INT($Y149/18)+IF(INDEX('Tournament Setup'!$AF:$AF,MATCH($A149,'Tournament Setup'!$A:$A,0))&lt;=MOD($Y149,18),1,0)))</f>
      </c>
      <c r="AC149" t="e">
        <f>IF(OR(OR($A149="",$D149=""),I149=""),"",I149-(INT($Y149/18)+IF(INDEX('Tournament Setup'!$AG:$AG,MATCH($A149,'Tournament Setup'!$A:$A,0))&lt;=MOD($Y149,18),1,0)))</f>
      </c>
      <c r="AD149" t="e">
        <f>IF(OR(OR($A149="",$D149=""),J149=""),"",J149-(INT($Y149/18)+IF(INDEX('Tournament Setup'!$AH:$AH,MATCH($A149,'Tournament Setup'!$A:$A,0))&lt;=MOD($Y149,18),1,0)))</f>
      </c>
      <c r="AE149" t="e">
        <f>IF(OR(OR($A149="",$D149=""),K149=""),"",K149-(INT($Y149/18)+IF(INDEX('Tournament Setup'!$AI:$AI,MATCH($A149,'Tournament Setup'!$A:$A,0))&lt;=MOD($Y149,18),1,0)))</f>
      </c>
      <c r="AF149" t="e">
        <f>IF(OR(OR($A149="",$D149=""),L149=""),"",L149-(INT($Y149/18)+IF(INDEX('Tournament Setup'!$AJ:$AJ,MATCH($A149,'Tournament Setup'!$A:$A,0))&lt;=MOD($Y149,18),1,0)))</f>
      </c>
      <c r="AG149" t="e">
        <f>IF(OR(OR($A149="",$D149=""),M149=""),"",M149-(INT($Y149/18)+IF(INDEX('Tournament Setup'!$AK:$AK,MATCH($A149,'Tournament Setup'!$A:$A,0))&lt;=MOD($Y149,18),1,0)))</f>
      </c>
      <c r="AH149" t="e">
        <f>IF(OR(OR($A149="",$D149=""),N149=""),"",N149-(INT($Y149/18)+IF(INDEX('Tournament Setup'!$AL:$AL,MATCH($A149,'Tournament Setup'!$A:$A,0))&lt;=MOD($Y149,18),1,0)))</f>
      </c>
      <c r="AI149" t="e">
        <f>IF(OR(OR($A149="",$D149=""),O149=""),"",O149-(INT($Y149/18)+IF(INDEX('Tournament Setup'!$AM:$AM,MATCH($A149,'Tournament Setup'!$A:$A,0))&lt;=MOD($Y149,18),1,0)))</f>
      </c>
      <c r="AJ149" t="e">
        <f>IF(OR(OR($A149="",$D149=""),P149=""),"",P149-(INT($Y149/18)+IF(INDEX('Tournament Setup'!$AN:$AN,MATCH($A149,'Tournament Setup'!$A:$A,0))&lt;=MOD($Y149,18),1,0)))</f>
      </c>
      <c r="AK149" t="e">
        <f>IF(OR(OR($A149="",$D149=""),Q149=""),"",Q149-(INT($Y149/18)+IF(INDEX('Tournament Setup'!$AO:$AO,MATCH($A149,'Tournament Setup'!$A:$A,0))&lt;=MOD($Y149,18),1,0)))</f>
      </c>
      <c r="AL149" t="e">
        <f>IF(OR(OR($A149="",$D149=""),R149=""),"",R149-(INT($Y149/18)+IF(INDEX('Tournament Setup'!$AP:$AP,MATCH($A149,'Tournament Setup'!$A:$A,0))&lt;=MOD($Y149,18),1,0)))</f>
      </c>
      <c r="AM149" t="e">
        <f>IF(OR(OR($A149="",$D149=""),S149=""),"",S149-(INT($Y149/18)+IF(INDEX('Tournament Setup'!$AQ:$AQ,MATCH($A149,'Tournament Setup'!$A:$A,0))&lt;=MOD($Y149,18),1,0)))</f>
      </c>
      <c r="AN149" t="e">
        <f>IF(OR(OR($A149="",$D149=""),T149=""),"",T149-(INT($Y149/18)+IF(INDEX('Tournament Setup'!$AR:$AR,MATCH($A149,'Tournament Setup'!$A:$A,0))&lt;=MOD($Y149,18),1,0)))</f>
      </c>
      <c r="AO149" t="e">
        <f>IF(OR(OR($A149="",$D149=""),U149=""),"",U149-(INT($Y149/18)+IF(INDEX('Tournament Setup'!$AS:$AS,MATCH($A149,'Tournament Setup'!$A:$A,0))&lt;=MOD($Y149,18),1,0)))</f>
      </c>
      <c r="AP149" t="e">
        <f>IF(OR(OR($A149="",$D149=""),V149=""),"",V149-(INT($Y149/18)+IF(INDEX('Tournament Setup'!$AT:$AT,MATCH($A149,'Tournament Setup'!$A:$A,0))&lt;=MOD($Y149,18),1,0)))</f>
      </c>
      <c r="AQ149" t="e">
        <f>IF(OR(OR($A149="",$D149=""),W149=""),"",W149-(INT($Y149/18)+IF(INDEX('Tournament Setup'!$AU:$AU,MATCH($A149,'Tournament Setup'!$A:$A,0))&lt;=MOD($Y149,18),1,0)))</f>
      </c>
    </row>
    <row r="150">
      <c r="X150" t="e">
        <f>IF(OR($A150="",$D150=""),"",SUM(F150:W150))</f>
      </c>
      <c r="Y150" t="e">
        <f>IF(OR($A150="",$D150=""),"",IF(INDEX('Tournament Setup'!$F:$F,MATCH($A150,'Tournament Setup'!$A:$A,0))="Net",ROUND(($E150-_xlfn.MINIFS($E$2:$E$401,$A$2:$A$401,$A150,$B$2:$B$401,$B150))*INDEX('Tournament Setup'!$G:$G,MATCH($A150,'Tournament Setup'!$A:$A,0))/100,0),0))</f>
      </c>
      <c r="Z150" t="e">
        <f>IF(OR(OR($A150="",$D150=""),F150=""),"",F150-(INT($Y150/18)+IF(INDEX('Tournament Setup'!$AD:$AD,MATCH($A150,'Tournament Setup'!$A:$A,0))&lt;=MOD($Y150,18),1,0)))</f>
      </c>
      <c r="AA150" t="e">
        <f>IF(OR(OR($A150="",$D150=""),G150=""),"",G150-(INT($Y150/18)+IF(INDEX('Tournament Setup'!$AE:$AE,MATCH($A150,'Tournament Setup'!$A:$A,0))&lt;=MOD($Y150,18),1,0)))</f>
      </c>
      <c r="AB150" t="e">
        <f>IF(OR(OR($A150="",$D150=""),H150=""),"",H150-(INT($Y150/18)+IF(INDEX('Tournament Setup'!$AF:$AF,MATCH($A150,'Tournament Setup'!$A:$A,0))&lt;=MOD($Y150,18),1,0)))</f>
      </c>
      <c r="AC150" t="e">
        <f>IF(OR(OR($A150="",$D150=""),I150=""),"",I150-(INT($Y150/18)+IF(INDEX('Tournament Setup'!$AG:$AG,MATCH($A150,'Tournament Setup'!$A:$A,0))&lt;=MOD($Y150,18),1,0)))</f>
      </c>
      <c r="AD150" t="e">
        <f>IF(OR(OR($A150="",$D150=""),J150=""),"",J150-(INT($Y150/18)+IF(INDEX('Tournament Setup'!$AH:$AH,MATCH($A150,'Tournament Setup'!$A:$A,0))&lt;=MOD($Y150,18),1,0)))</f>
      </c>
      <c r="AE150" t="e">
        <f>IF(OR(OR($A150="",$D150=""),K150=""),"",K150-(INT($Y150/18)+IF(INDEX('Tournament Setup'!$AI:$AI,MATCH($A150,'Tournament Setup'!$A:$A,0))&lt;=MOD($Y150,18),1,0)))</f>
      </c>
      <c r="AF150" t="e">
        <f>IF(OR(OR($A150="",$D150=""),L150=""),"",L150-(INT($Y150/18)+IF(INDEX('Tournament Setup'!$AJ:$AJ,MATCH($A150,'Tournament Setup'!$A:$A,0))&lt;=MOD($Y150,18),1,0)))</f>
      </c>
      <c r="AG150" t="e">
        <f>IF(OR(OR($A150="",$D150=""),M150=""),"",M150-(INT($Y150/18)+IF(INDEX('Tournament Setup'!$AK:$AK,MATCH($A150,'Tournament Setup'!$A:$A,0))&lt;=MOD($Y150,18),1,0)))</f>
      </c>
      <c r="AH150" t="e">
        <f>IF(OR(OR($A150="",$D150=""),N150=""),"",N150-(INT($Y150/18)+IF(INDEX('Tournament Setup'!$AL:$AL,MATCH($A150,'Tournament Setup'!$A:$A,0))&lt;=MOD($Y150,18),1,0)))</f>
      </c>
      <c r="AI150" t="e">
        <f>IF(OR(OR($A150="",$D150=""),O150=""),"",O150-(INT($Y150/18)+IF(INDEX('Tournament Setup'!$AM:$AM,MATCH($A150,'Tournament Setup'!$A:$A,0))&lt;=MOD($Y150,18),1,0)))</f>
      </c>
      <c r="AJ150" t="e">
        <f>IF(OR(OR($A150="",$D150=""),P150=""),"",P150-(INT($Y150/18)+IF(INDEX('Tournament Setup'!$AN:$AN,MATCH($A150,'Tournament Setup'!$A:$A,0))&lt;=MOD($Y150,18),1,0)))</f>
      </c>
      <c r="AK150" t="e">
        <f>IF(OR(OR($A150="",$D150=""),Q150=""),"",Q150-(INT($Y150/18)+IF(INDEX('Tournament Setup'!$AO:$AO,MATCH($A150,'Tournament Setup'!$A:$A,0))&lt;=MOD($Y150,18),1,0)))</f>
      </c>
      <c r="AL150" t="e">
        <f>IF(OR(OR($A150="",$D150=""),R150=""),"",R150-(INT($Y150/18)+IF(INDEX('Tournament Setup'!$AP:$AP,MATCH($A150,'Tournament Setup'!$A:$A,0))&lt;=MOD($Y150,18),1,0)))</f>
      </c>
      <c r="AM150" t="e">
        <f>IF(OR(OR($A150="",$D150=""),S150=""),"",S150-(INT($Y150/18)+IF(INDEX('Tournament Setup'!$AQ:$AQ,MATCH($A150,'Tournament Setup'!$A:$A,0))&lt;=MOD($Y150,18),1,0)))</f>
      </c>
      <c r="AN150" t="e">
        <f>IF(OR(OR($A150="",$D150=""),T150=""),"",T150-(INT($Y150/18)+IF(INDEX('Tournament Setup'!$AR:$AR,MATCH($A150,'Tournament Setup'!$A:$A,0))&lt;=MOD($Y150,18),1,0)))</f>
      </c>
      <c r="AO150" t="e">
        <f>IF(OR(OR($A150="",$D150=""),U150=""),"",U150-(INT($Y150/18)+IF(INDEX('Tournament Setup'!$AS:$AS,MATCH($A150,'Tournament Setup'!$A:$A,0))&lt;=MOD($Y150,18),1,0)))</f>
      </c>
      <c r="AP150" t="e">
        <f>IF(OR(OR($A150="",$D150=""),V150=""),"",V150-(INT($Y150/18)+IF(INDEX('Tournament Setup'!$AT:$AT,MATCH($A150,'Tournament Setup'!$A:$A,0))&lt;=MOD($Y150,18),1,0)))</f>
      </c>
      <c r="AQ150" t="e">
        <f>IF(OR(OR($A150="",$D150=""),W150=""),"",W150-(INT($Y150/18)+IF(INDEX('Tournament Setup'!$AU:$AU,MATCH($A150,'Tournament Setup'!$A:$A,0))&lt;=MOD($Y150,18),1,0)))</f>
      </c>
    </row>
    <row r="151">
      <c r="X151" t="e">
        <f>IF(OR($A151="",$D151=""),"",SUM(F151:W151))</f>
      </c>
      <c r="Y151" t="e">
        <f>IF(OR($A151="",$D151=""),"",IF(INDEX('Tournament Setup'!$F:$F,MATCH($A151,'Tournament Setup'!$A:$A,0))="Net",ROUND(($E151-_xlfn.MINIFS($E$2:$E$401,$A$2:$A$401,$A151,$B$2:$B$401,$B151))*INDEX('Tournament Setup'!$G:$G,MATCH($A151,'Tournament Setup'!$A:$A,0))/100,0),0))</f>
      </c>
      <c r="Z151" t="e">
        <f>IF(OR(OR($A151="",$D151=""),F151=""),"",F151-(INT($Y151/18)+IF(INDEX('Tournament Setup'!$AD:$AD,MATCH($A151,'Tournament Setup'!$A:$A,0))&lt;=MOD($Y151,18),1,0)))</f>
      </c>
      <c r="AA151" t="e">
        <f>IF(OR(OR($A151="",$D151=""),G151=""),"",G151-(INT($Y151/18)+IF(INDEX('Tournament Setup'!$AE:$AE,MATCH($A151,'Tournament Setup'!$A:$A,0))&lt;=MOD($Y151,18),1,0)))</f>
      </c>
      <c r="AB151" t="e">
        <f>IF(OR(OR($A151="",$D151=""),H151=""),"",H151-(INT($Y151/18)+IF(INDEX('Tournament Setup'!$AF:$AF,MATCH($A151,'Tournament Setup'!$A:$A,0))&lt;=MOD($Y151,18),1,0)))</f>
      </c>
      <c r="AC151" t="e">
        <f>IF(OR(OR($A151="",$D151=""),I151=""),"",I151-(INT($Y151/18)+IF(INDEX('Tournament Setup'!$AG:$AG,MATCH($A151,'Tournament Setup'!$A:$A,0))&lt;=MOD($Y151,18),1,0)))</f>
      </c>
      <c r="AD151" t="e">
        <f>IF(OR(OR($A151="",$D151=""),J151=""),"",J151-(INT($Y151/18)+IF(INDEX('Tournament Setup'!$AH:$AH,MATCH($A151,'Tournament Setup'!$A:$A,0))&lt;=MOD($Y151,18),1,0)))</f>
      </c>
      <c r="AE151" t="e">
        <f>IF(OR(OR($A151="",$D151=""),K151=""),"",K151-(INT($Y151/18)+IF(INDEX('Tournament Setup'!$AI:$AI,MATCH($A151,'Tournament Setup'!$A:$A,0))&lt;=MOD($Y151,18),1,0)))</f>
      </c>
      <c r="AF151" t="e">
        <f>IF(OR(OR($A151="",$D151=""),L151=""),"",L151-(INT($Y151/18)+IF(INDEX('Tournament Setup'!$AJ:$AJ,MATCH($A151,'Tournament Setup'!$A:$A,0))&lt;=MOD($Y151,18),1,0)))</f>
      </c>
      <c r="AG151" t="e">
        <f>IF(OR(OR($A151="",$D151=""),M151=""),"",M151-(INT($Y151/18)+IF(INDEX('Tournament Setup'!$AK:$AK,MATCH($A151,'Tournament Setup'!$A:$A,0))&lt;=MOD($Y151,18),1,0)))</f>
      </c>
      <c r="AH151" t="e">
        <f>IF(OR(OR($A151="",$D151=""),N151=""),"",N151-(INT($Y151/18)+IF(INDEX('Tournament Setup'!$AL:$AL,MATCH($A151,'Tournament Setup'!$A:$A,0))&lt;=MOD($Y151,18),1,0)))</f>
      </c>
      <c r="AI151" t="e">
        <f>IF(OR(OR($A151="",$D151=""),O151=""),"",O151-(INT($Y151/18)+IF(INDEX('Tournament Setup'!$AM:$AM,MATCH($A151,'Tournament Setup'!$A:$A,0))&lt;=MOD($Y151,18),1,0)))</f>
      </c>
      <c r="AJ151" t="e">
        <f>IF(OR(OR($A151="",$D151=""),P151=""),"",P151-(INT($Y151/18)+IF(INDEX('Tournament Setup'!$AN:$AN,MATCH($A151,'Tournament Setup'!$A:$A,0))&lt;=MOD($Y151,18),1,0)))</f>
      </c>
      <c r="AK151" t="e">
        <f>IF(OR(OR($A151="",$D151=""),Q151=""),"",Q151-(INT($Y151/18)+IF(INDEX('Tournament Setup'!$AO:$AO,MATCH($A151,'Tournament Setup'!$A:$A,0))&lt;=MOD($Y151,18),1,0)))</f>
      </c>
      <c r="AL151" t="e">
        <f>IF(OR(OR($A151="",$D151=""),R151=""),"",R151-(INT($Y151/18)+IF(INDEX('Tournament Setup'!$AP:$AP,MATCH($A151,'Tournament Setup'!$A:$A,0))&lt;=MOD($Y151,18),1,0)))</f>
      </c>
      <c r="AM151" t="e">
        <f>IF(OR(OR($A151="",$D151=""),S151=""),"",S151-(INT($Y151/18)+IF(INDEX('Tournament Setup'!$AQ:$AQ,MATCH($A151,'Tournament Setup'!$A:$A,0))&lt;=MOD($Y151,18),1,0)))</f>
      </c>
      <c r="AN151" t="e">
        <f>IF(OR(OR($A151="",$D151=""),T151=""),"",T151-(INT($Y151/18)+IF(INDEX('Tournament Setup'!$AR:$AR,MATCH($A151,'Tournament Setup'!$A:$A,0))&lt;=MOD($Y151,18),1,0)))</f>
      </c>
      <c r="AO151" t="e">
        <f>IF(OR(OR($A151="",$D151=""),U151=""),"",U151-(INT($Y151/18)+IF(INDEX('Tournament Setup'!$AS:$AS,MATCH($A151,'Tournament Setup'!$A:$A,0))&lt;=MOD($Y151,18),1,0)))</f>
      </c>
      <c r="AP151" t="e">
        <f>IF(OR(OR($A151="",$D151=""),V151=""),"",V151-(INT($Y151/18)+IF(INDEX('Tournament Setup'!$AT:$AT,MATCH($A151,'Tournament Setup'!$A:$A,0))&lt;=MOD($Y151,18),1,0)))</f>
      </c>
      <c r="AQ151" t="e">
        <f>IF(OR(OR($A151="",$D151=""),W151=""),"",W151-(INT($Y151/18)+IF(INDEX('Tournament Setup'!$AU:$AU,MATCH($A151,'Tournament Setup'!$A:$A,0))&lt;=MOD($Y151,18),1,0)))</f>
      </c>
    </row>
    <row r="152">
      <c r="X152" t="e">
        <f>IF(OR($A152="",$D152=""),"",SUM(F152:W152))</f>
      </c>
      <c r="Y152" t="e">
        <f>IF(OR($A152="",$D152=""),"",IF(INDEX('Tournament Setup'!$F:$F,MATCH($A152,'Tournament Setup'!$A:$A,0))="Net",ROUND(($E152-_xlfn.MINIFS($E$2:$E$401,$A$2:$A$401,$A152,$B$2:$B$401,$B152))*INDEX('Tournament Setup'!$G:$G,MATCH($A152,'Tournament Setup'!$A:$A,0))/100,0),0))</f>
      </c>
      <c r="Z152" t="e">
        <f>IF(OR(OR($A152="",$D152=""),F152=""),"",F152-(INT($Y152/18)+IF(INDEX('Tournament Setup'!$AD:$AD,MATCH($A152,'Tournament Setup'!$A:$A,0))&lt;=MOD($Y152,18),1,0)))</f>
      </c>
      <c r="AA152" t="e">
        <f>IF(OR(OR($A152="",$D152=""),G152=""),"",G152-(INT($Y152/18)+IF(INDEX('Tournament Setup'!$AE:$AE,MATCH($A152,'Tournament Setup'!$A:$A,0))&lt;=MOD($Y152,18),1,0)))</f>
      </c>
      <c r="AB152" t="e">
        <f>IF(OR(OR($A152="",$D152=""),H152=""),"",H152-(INT($Y152/18)+IF(INDEX('Tournament Setup'!$AF:$AF,MATCH($A152,'Tournament Setup'!$A:$A,0))&lt;=MOD($Y152,18),1,0)))</f>
      </c>
      <c r="AC152" t="e">
        <f>IF(OR(OR($A152="",$D152=""),I152=""),"",I152-(INT($Y152/18)+IF(INDEX('Tournament Setup'!$AG:$AG,MATCH($A152,'Tournament Setup'!$A:$A,0))&lt;=MOD($Y152,18),1,0)))</f>
      </c>
      <c r="AD152" t="e">
        <f>IF(OR(OR($A152="",$D152=""),J152=""),"",J152-(INT($Y152/18)+IF(INDEX('Tournament Setup'!$AH:$AH,MATCH($A152,'Tournament Setup'!$A:$A,0))&lt;=MOD($Y152,18),1,0)))</f>
      </c>
      <c r="AE152" t="e">
        <f>IF(OR(OR($A152="",$D152=""),K152=""),"",K152-(INT($Y152/18)+IF(INDEX('Tournament Setup'!$AI:$AI,MATCH($A152,'Tournament Setup'!$A:$A,0))&lt;=MOD($Y152,18),1,0)))</f>
      </c>
      <c r="AF152" t="e">
        <f>IF(OR(OR($A152="",$D152=""),L152=""),"",L152-(INT($Y152/18)+IF(INDEX('Tournament Setup'!$AJ:$AJ,MATCH($A152,'Tournament Setup'!$A:$A,0))&lt;=MOD($Y152,18),1,0)))</f>
      </c>
      <c r="AG152" t="e">
        <f>IF(OR(OR($A152="",$D152=""),M152=""),"",M152-(INT($Y152/18)+IF(INDEX('Tournament Setup'!$AK:$AK,MATCH($A152,'Tournament Setup'!$A:$A,0))&lt;=MOD($Y152,18),1,0)))</f>
      </c>
      <c r="AH152" t="e">
        <f>IF(OR(OR($A152="",$D152=""),N152=""),"",N152-(INT($Y152/18)+IF(INDEX('Tournament Setup'!$AL:$AL,MATCH($A152,'Tournament Setup'!$A:$A,0))&lt;=MOD($Y152,18),1,0)))</f>
      </c>
      <c r="AI152" t="e">
        <f>IF(OR(OR($A152="",$D152=""),O152=""),"",O152-(INT($Y152/18)+IF(INDEX('Tournament Setup'!$AM:$AM,MATCH($A152,'Tournament Setup'!$A:$A,0))&lt;=MOD($Y152,18),1,0)))</f>
      </c>
      <c r="AJ152" t="e">
        <f>IF(OR(OR($A152="",$D152=""),P152=""),"",P152-(INT($Y152/18)+IF(INDEX('Tournament Setup'!$AN:$AN,MATCH($A152,'Tournament Setup'!$A:$A,0))&lt;=MOD($Y152,18),1,0)))</f>
      </c>
      <c r="AK152" t="e">
        <f>IF(OR(OR($A152="",$D152=""),Q152=""),"",Q152-(INT($Y152/18)+IF(INDEX('Tournament Setup'!$AO:$AO,MATCH($A152,'Tournament Setup'!$A:$A,0))&lt;=MOD($Y152,18),1,0)))</f>
      </c>
      <c r="AL152" t="e">
        <f>IF(OR(OR($A152="",$D152=""),R152=""),"",R152-(INT($Y152/18)+IF(INDEX('Tournament Setup'!$AP:$AP,MATCH($A152,'Tournament Setup'!$A:$A,0))&lt;=MOD($Y152,18),1,0)))</f>
      </c>
      <c r="AM152" t="e">
        <f>IF(OR(OR($A152="",$D152=""),S152=""),"",S152-(INT($Y152/18)+IF(INDEX('Tournament Setup'!$AQ:$AQ,MATCH($A152,'Tournament Setup'!$A:$A,0))&lt;=MOD($Y152,18),1,0)))</f>
      </c>
      <c r="AN152" t="e">
        <f>IF(OR(OR($A152="",$D152=""),T152=""),"",T152-(INT($Y152/18)+IF(INDEX('Tournament Setup'!$AR:$AR,MATCH($A152,'Tournament Setup'!$A:$A,0))&lt;=MOD($Y152,18),1,0)))</f>
      </c>
      <c r="AO152" t="e">
        <f>IF(OR(OR($A152="",$D152=""),U152=""),"",U152-(INT($Y152/18)+IF(INDEX('Tournament Setup'!$AS:$AS,MATCH($A152,'Tournament Setup'!$A:$A,0))&lt;=MOD($Y152,18),1,0)))</f>
      </c>
      <c r="AP152" t="e">
        <f>IF(OR(OR($A152="",$D152=""),V152=""),"",V152-(INT($Y152/18)+IF(INDEX('Tournament Setup'!$AT:$AT,MATCH($A152,'Tournament Setup'!$A:$A,0))&lt;=MOD($Y152,18),1,0)))</f>
      </c>
      <c r="AQ152" t="e">
        <f>IF(OR(OR($A152="",$D152=""),W152=""),"",W152-(INT($Y152/18)+IF(INDEX('Tournament Setup'!$AU:$AU,MATCH($A152,'Tournament Setup'!$A:$A,0))&lt;=MOD($Y152,18),1,0)))</f>
      </c>
    </row>
    <row r="153">
      <c r="X153" t="e">
        <f>IF(OR($A153="",$D153=""),"",SUM(F153:W153))</f>
      </c>
      <c r="Y153" t="e">
        <f>IF(OR($A153="",$D153=""),"",IF(INDEX('Tournament Setup'!$F:$F,MATCH($A153,'Tournament Setup'!$A:$A,0))="Net",ROUND(($E153-_xlfn.MINIFS($E$2:$E$401,$A$2:$A$401,$A153,$B$2:$B$401,$B153))*INDEX('Tournament Setup'!$G:$G,MATCH($A153,'Tournament Setup'!$A:$A,0))/100,0),0))</f>
      </c>
      <c r="Z153" t="e">
        <f>IF(OR(OR($A153="",$D153=""),F153=""),"",F153-(INT($Y153/18)+IF(INDEX('Tournament Setup'!$AD:$AD,MATCH($A153,'Tournament Setup'!$A:$A,0))&lt;=MOD($Y153,18),1,0)))</f>
      </c>
      <c r="AA153" t="e">
        <f>IF(OR(OR($A153="",$D153=""),G153=""),"",G153-(INT($Y153/18)+IF(INDEX('Tournament Setup'!$AE:$AE,MATCH($A153,'Tournament Setup'!$A:$A,0))&lt;=MOD($Y153,18),1,0)))</f>
      </c>
      <c r="AB153" t="e">
        <f>IF(OR(OR($A153="",$D153=""),H153=""),"",H153-(INT($Y153/18)+IF(INDEX('Tournament Setup'!$AF:$AF,MATCH($A153,'Tournament Setup'!$A:$A,0))&lt;=MOD($Y153,18),1,0)))</f>
      </c>
      <c r="AC153" t="e">
        <f>IF(OR(OR($A153="",$D153=""),I153=""),"",I153-(INT($Y153/18)+IF(INDEX('Tournament Setup'!$AG:$AG,MATCH($A153,'Tournament Setup'!$A:$A,0))&lt;=MOD($Y153,18),1,0)))</f>
      </c>
      <c r="AD153" t="e">
        <f>IF(OR(OR($A153="",$D153=""),J153=""),"",J153-(INT($Y153/18)+IF(INDEX('Tournament Setup'!$AH:$AH,MATCH($A153,'Tournament Setup'!$A:$A,0))&lt;=MOD($Y153,18),1,0)))</f>
      </c>
      <c r="AE153" t="e">
        <f>IF(OR(OR($A153="",$D153=""),K153=""),"",K153-(INT($Y153/18)+IF(INDEX('Tournament Setup'!$AI:$AI,MATCH($A153,'Tournament Setup'!$A:$A,0))&lt;=MOD($Y153,18),1,0)))</f>
      </c>
      <c r="AF153" t="e">
        <f>IF(OR(OR($A153="",$D153=""),L153=""),"",L153-(INT($Y153/18)+IF(INDEX('Tournament Setup'!$AJ:$AJ,MATCH($A153,'Tournament Setup'!$A:$A,0))&lt;=MOD($Y153,18),1,0)))</f>
      </c>
      <c r="AG153" t="e">
        <f>IF(OR(OR($A153="",$D153=""),M153=""),"",M153-(INT($Y153/18)+IF(INDEX('Tournament Setup'!$AK:$AK,MATCH($A153,'Tournament Setup'!$A:$A,0))&lt;=MOD($Y153,18),1,0)))</f>
      </c>
      <c r="AH153" t="e">
        <f>IF(OR(OR($A153="",$D153=""),N153=""),"",N153-(INT($Y153/18)+IF(INDEX('Tournament Setup'!$AL:$AL,MATCH($A153,'Tournament Setup'!$A:$A,0))&lt;=MOD($Y153,18),1,0)))</f>
      </c>
      <c r="AI153" t="e">
        <f>IF(OR(OR($A153="",$D153=""),O153=""),"",O153-(INT($Y153/18)+IF(INDEX('Tournament Setup'!$AM:$AM,MATCH($A153,'Tournament Setup'!$A:$A,0))&lt;=MOD($Y153,18),1,0)))</f>
      </c>
      <c r="AJ153" t="e">
        <f>IF(OR(OR($A153="",$D153=""),P153=""),"",P153-(INT($Y153/18)+IF(INDEX('Tournament Setup'!$AN:$AN,MATCH($A153,'Tournament Setup'!$A:$A,0))&lt;=MOD($Y153,18),1,0)))</f>
      </c>
      <c r="AK153" t="e">
        <f>IF(OR(OR($A153="",$D153=""),Q153=""),"",Q153-(INT($Y153/18)+IF(INDEX('Tournament Setup'!$AO:$AO,MATCH($A153,'Tournament Setup'!$A:$A,0))&lt;=MOD($Y153,18),1,0)))</f>
      </c>
      <c r="AL153" t="e">
        <f>IF(OR(OR($A153="",$D153=""),R153=""),"",R153-(INT($Y153/18)+IF(INDEX('Tournament Setup'!$AP:$AP,MATCH($A153,'Tournament Setup'!$A:$A,0))&lt;=MOD($Y153,18),1,0)))</f>
      </c>
      <c r="AM153" t="e">
        <f>IF(OR(OR($A153="",$D153=""),S153=""),"",S153-(INT($Y153/18)+IF(INDEX('Tournament Setup'!$AQ:$AQ,MATCH($A153,'Tournament Setup'!$A:$A,0))&lt;=MOD($Y153,18),1,0)))</f>
      </c>
      <c r="AN153" t="e">
        <f>IF(OR(OR($A153="",$D153=""),T153=""),"",T153-(INT($Y153/18)+IF(INDEX('Tournament Setup'!$AR:$AR,MATCH($A153,'Tournament Setup'!$A:$A,0))&lt;=MOD($Y153,18),1,0)))</f>
      </c>
      <c r="AO153" t="e">
        <f>IF(OR(OR($A153="",$D153=""),U153=""),"",U153-(INT($Y153/18)+IF(INDEX('Tournament Setup'!$AS:$AS,MATCH($A153,'Tournament Setup'!$A:$A,0))&lt;=MOD($Y153,18),1,0)))</f>
      </c>
      <c r="AP153" t="e">
        <f>IF(OR(OR($A153="",$D153=""),V153=""),"",V153-(INT($Y153/18)+IF(INDEX('Tournament Setup'!$AT:$AT,MATCH($A153,'Tournament Setup'!$A:$A,0))&lt;=MOD($Y153,18),1,0)))</f>
      </c>
      <c r="AQ153" t="e">
        <f>IF(OR(OR($A153="",$D153=""),W153=""),"",W153-(INT($Y153/18)+IF(INDEX('Tournament Setup'!$AU:$AU,MATCH($A153,'Tournament Setup'!$A:$A,0))&lt;=MOD($Y153,18),1,0)))</f>
      </c>
    </row>
    <row r="154">
      <c r="X154" t="e">
        <f>IF(OR($A154="",$D154=""),"",SUM(F154:W154))</f>
      </c>
      <c r="Y154" t="e">
        <f>IF(OR($A154="",$D154=""),"",IF(INDEX('Tournament Setup'!$F:$F,MATCH($A154,'Tournament Setup'!$A:$A,0))="Net",ROUND(($E154-_xlfn.MINIFS($E$2:$E$401,$A$2:$A$401,$A154,$B$2:$B$401,$B154))*INDEX('Tournament Setup'!$G:$G,MATCH($A154,'Tournament Setup'!$A:$A,0))/100,0),0))</f>
      </c>
      <c r="Z154" t="e">
        <f>IF(OR(OR($A154="",$D154=""),F154=""),"",F154-(INT($Y154/18)+IF(INDEX('Tournament Setup'!$AD:$AD,MATCH($A154,'Tournament Setup'!$A:$A,0))&lt;=MOD($Y154,18),1,0)))</f>
      </c>
      <c r="AA154" t="e">
        <f>IF(OR(OR($A154="",$D154=""),G154=""),"",G154-(INT($Y154/18)+IF(INDEX('Tournament Setup'!$AE:$AE,MATCH($A154,'Tournament Setup'!$A:$A,0))&lt;=MOD($Y154,18),1,0)))</f>
      </c>
      <c r="AB154" t="e">
        <f>IF(OR(OR($A154="",$D154=""),H154=""),"",H154-(INT($Y154/18)+IF(INDEX('Tournament Setup'!$AF:$AF,MATCH($A154,'Tournament Setup'!$A:$A,0))&lt;=MOD($Y154,18),1,0)))</f>
      </c>
      <c r="AC154" t="e">
        <f>IF(OR(OR($A154="",$D154=""),I154=""),"",I154-(INT($Y154/18)+IF(INDEX('Tournament Setup'!$AG:$AG,MATCH($A154,'Tournament Setup'!$A:$A,0))&lt;=MOD($Y154,18),1,0)))</f>
      </c>
      <c r="AD154" t="e">
        <f>IF(OR(OR($A154="",$D154=""),J154=""),"",J154-(INT($Y154/18)+IF(INDEX('Tournament Setup'!$AH:$AH,MATCH($A154,'Tournament Setup'!$A:$A,0))&lt;=MOD($Y154,18),1,0)))</f>
      </c>
      <c r="AE154" t="e">
        <f>IF(OR(OR($A154="",$D154=""),K154=""),"",K154-(INT($Y154/18)+IF(INDEX('Tournament Setup'!$AI:$AI,MATCH($A154,'Tournament Setup'!$A:$A,0))&lt;=MOD($Y154,18),1,0)))</f>
      </c>
      <c r="AF154" t="e">
        <f>IF(OR(OR($A154="",$D154=""),L154=""),"",L154-(INT($Y154/18)+IF(INDEX('Tournament Setup'!$AJ:$AJ,MATCH($A154,'Tournament Setup'!$A:$A,0))&lt;=MOD($Y154,18),1,0)))</f>
      </c>
      <c r="AG154" t="e">
        <f>IF(OR(OR($A154="",$D154=""),M154=""),"",M154-(INT($Y154/18)+IF(INDEX('Tournament Setup'!$AK:$AK,MATCH($A154,'Tournament Setup'!$A:$A,0))&lt;=MOD($Y154,18),1,0)))</f>
      </c>
      <c r="AH154" t="e">
        <f>IF(OR(OR($A154="",$D154=""),N154=""),"",N154-(INT($Y154/18)+IF(INDEX('Tournament Setup'!$AL:$AL,MATCH($A154,'Tournament Setup'!$A:$A,0))&lt;=MOD($Y154,18),1,0)))</f>
      </c>
      <c r="AI154" t="e">
        <f>IF(OR(OR($A154="",$D154=""),O154=""),"",O154-(INT($Y154/18)+IF(INDEX('Tournament Setup'!$AM:$AM,MATCH($A154,'Tournament Setup'!$A:$A,0))&lt;=MOD($Y154,18),1,0)))</f>
      </c>
      <c r="AJ154" t="e">
        <f>IF(OR(OR($A154="",$D154=""),P154=""),"",P154-(INT($Y154/18)+IF(INDEX('Tournament Setup'!$AN:$AN,MATCH($A154,'Tournament Setup'!$A:$A,0))&lt;=MOD($Y154,18),1,0)))</f>
      </c>
      <c r="AK154" t="e">
        <f>IF(OR(OR($A154="",$D154=""),Q154=""),"",Q154-(INT($Y154/18)+IF(INDEX('Tournament Setup'!$AO:$AO,MATCH($A154,'Tournament Setup'!$A:$A,0))&lt;=MOD($Y154,18),1,0)))</f>
      </c>
      <c r="AL154" t="e">
        <f>IF(OR(OR($A154="",$D154=""),R154=""),"",R154-(INT($Y154/18)+IF(INDEX('Tournament Setup'!$AP:$AP,MATCH($A154,'Tournament Setup'!$A:$A,0))&lt;=MOD($Y154,18),1,0)))</f>
      </c>
      <c r="AM154" t="e">
        <f>IF(OR(OR($A154="",$D154=""),S154=""),"",S154-(INT($Y154/18)+IF(INDEX('Tournament Setup'!$AQ:$AQ,MATCH($A154,'Tournament Setup'!$A:$A,0))&lt;=MOD($Y154,18),1,0)))</f>
      </c>
      <c r="AN154" t="e">
        <f>IF(OR(OR($A154="",$D154=""),T154=""),"",T154-(INT($Y154/18)+IF(INDEX('Tournament Setup'!$AR:$AR,MATCH($A154,'Tournament Setup'!$A:$A,0))&lt;=MOD($Y154,18),1,0)))</f>
      </c>
      <c r="AO154" t="e">
        <f>IF(OR(OR($A154="",$D154=""),U154=""),"",U154-(INT($Y154/18)+IF(INDEX('Tournament Setup'!$AS:$AS,MATCH($A154,'Tournament Setup'!$A:$A,0))&lt;=MOD($Y154,18),1,0)))</f>
      </c>
      <c r="AP154" t="e">
        <f>IF(OR(OR($A154="",$D154=""),V154=""),"",V154-(INT($Y154/18)+IF(INDEX('Tournament Setup'!$AT:$AT,MATCH($A154,'Tournament Setup'!$A:$A,0))&lt;=MOD($Y154,18),1,0)))</f>
      </c>
      <c r="AQ154" t="e">
        <f>IF(OR(OR($A154="",$D154=""),W154=""),"",W154-(INT($Y154/18)+IF(INDEX('Tournament Setup'!$AU:$AU,MATCH($A154,'Tournament Setup'!$A:$A,0))&lt;=MOD($Y154,18),1,0)))</f>
      </c>
    </row>
    <row r="155">
      <c r="X155" t="e">
        <f>IF(OR($A155="",$D155=""),"",SUM(F155:W155))</f>
      </c>
      <c r="Y155" t="e">
        <f>IF(OR($A155="",$D155=""),"",IF(INDEX('Tournament Setup'!$F:$F,MATCH($A155,'Tournament Setup'!$A:$A,0))="Net",ROUND(($E155-_xlfn.MINIFS($E$2:$E$401,$A$2:$A$401,$A155,$B$2:$B$401,$B155))*INDEX('Tournament Setup'!$G:$G,MATCH($A155,'Tournament Setup'!$A:$A,0))/100,0),0))</f>
      </c>
      <c r="Z155" t="e">
        <f>IF(OR(OR($A155="",$D155=""),F155=""),"",F155-(INT($Y155/18)+IF(INDEX('Tournament Setup'!$AD:$AD,MATCH($A155,'Tournament Setup'!$A:$A,0))&lt;=MOD($Y155,18),1,0)))</f>
      </c>
      <c r="AA155" t="e">
        <f>IF(OR(OR($A155="",$D155=""),G155=""),"",G155-(INT($Y155/18)+IF(INDEX('Tournament Setup'!$AE:$AE,MATCH($A155,'Tournament Setup'!$A:$A,0))&lt;=MOD($Y155,18),1,0)))</f>
      </c>
      <c r="AB155" t="e">
        <f>IF(OR(OR($A155="",$D155=""),H155=""),"",H155-(INT($Y155/18)+IF(INDEX('Tournament Setup'!$AF:$AF,MATCH($A155,'Tournament Setup'!$A:$A,0))&lt;=MOD($Y155,18),1,0)))</f>
      </c>
      <c r="AC155" t="e">
        <f>IF(OR(OR($A155="",$D155=""),I155=""),"",I155-(INT($Y155/18)+IF(INDEX('Tournament Setup'!$AG:$AG,MATCH($A155,'Tournament Setup'!$A:$A,0))&lt;=MOD($Y155,18),1,0)))</f>
      </c>
      <c r="AD155" t="e">
        <f>IF(OR(OR($A155="",$D155=""),J155=""),"",J155-(INT($Y155/18)+IF(INDEX('Tournament Setup'!$AH:$AH,MATCH($A155,'Tournament Setup'!$A:$A,0))&lt;=MOD($Y155,18),1,0)))</f>
      </c>
      <c r="AE155" t="e">
        <f>IF(OR(OR($A155="",$D155=""),K155=""),"",K155-(INT($Y155/18)+IF(INDEX('Tournament Setup'!$AI:$AI,MATCH($A155,'Tournament Setup'!$A:$A,0))&lt;=MOD($Y155,18),1,0)))</f>
      </c>
      <c r="AF155" t="e">
        <f>IF(OR(OR($A155="",$D155=""),L155=""),"",L155-(INT($Y155/18)+IF(INDEX('Tournament Setup'!$AJ:$AJ,MATCH($A155,'Tournament Setup'!$A:$A,0))&lt;=MOD($Y155,18),1,0)))</f>
      </c>
      <c r="AG155" t="e">
        <f>IF(OR(OR($A155="",$D155=""),M155=""),"",M155-(INT($Y155/18)+IF(INDEX('Tournament Setup'!$AK:$AK,MATCH($A155,'Tournament Setup'!$A:$A,0))&lt;=MOD($Y155,18),1,0)))</f>
      </c>
      <c r="AH155" t="e">
        <f>IF(OR(OR($A155="",$D155=""),N155=""),"",N155-(INT($Y155/18)+IF(INDEX('Tournament Setup'!$AL:$AL,MATCH($A155,'Tournament Setup'!$A:$A,0))&lt;=MOD($Y155,18),1,0)))</f>
      </c>
      <c r="AI155" t="e">
        <f>IF(OR(OR($A155="",$D155=""),O155=""),"",O155-(INT($Y155/18)+IF(INDEX('Tournament Setup'!$AM:$AM,MATCH($A155,'Tournament Setup'!$A:$A,0))&lt;=MOD($Y155,18),1,0)))</f>
      </c>
      <c r="AJ155" t="e">
        <f>IF(OR(OR($A155="",$D155=""),P155=""),"",P155-(INT($Y155/18)+IF(INDEX('Tournament Setup'!$AN:$AN,MATCH($A155,'Tournament Setup'!$A:$A,0))&lt;=MOD($Y155,18),1,0)))</f>
      </c>
      <c r="AK155" t="e">
        <f>IF(OR(OR($A155="",$D155=""),Q155=""),"",Q155-(INT($Y155/18)+IF(INDEX('Tournament Setup'!$AO:$AO,MATCH($A155,'Tournament Setup'!$A:$A,0))&lt;=MOD($Y155,18),1,0)))</f>
      </c>
      <c r="AL155" t="e">
        <f>IF(OR(OR($A155="",$D155=""),R155=""),"",R155-(INT($Y155/18)+IF(INDEX('Tournament Setup'!$AP:$AP,MATCH($A155,'Tournament Setup'!$A:$A,0))&lt;=MOD($Y155,18),1,0)))</f>
      </c>
      <c r="AM155" t="e">
        <f>IF(OR(OR($A155="",$D155=""),S155=""),"",S155-(INT($Y155/18)+IF(INDEX('Tournament Setup'!$AQ:$AQ,MATCH($A155,'Tournament Setup'!$A:$A,0))&lt;=MOD($Y155,18),1,0)))</f>
      </c>
      <c r="AN155" t="e">
        <f>IF(OR(OR($A155="",$D155=""),T155=""),"",T155-(INT($Y155/18)+IF(INDEX('Tournament Setup'!$AR:$AR,MATCH($A155,'Tournament Setup'!$A:$A,0))&lt;=MOD($Y155,18),1,0)))</f>
      </c>
      <c r="AO155" t="e">
        <f>IF(OR(OR($A155="",$D155=""),U155=""),"",U155-(INT($Y155/18)+IF(INDEX('Tournament Setup'!$AS:$AS,MATCH($A155,'Tournament Setup'!$A:$A,0))&lt;=MOD($Y155,18),1,0)))</f>
      </c>
      <c r="AP155" t="e">
        <f>IF(OR(OR($A155="",$D155=""),V155=""),"",V155-(INT($Y155/18)+IF(INDEX('Tournament Setup'!$AT:$AT,MATCH($A155,'Tournament Setup'!$A:$A,0))&lt;=MOD($Y155,18),1,0)))</f>
      </c>
      <c r="AQ155" t="e">
        <f>IF(OR(OR($A155="",$D155=""),W155=""),"",W155-(INT($Y155/18)+IF(INDEX('Tournament Setup'!$AU:$AU,MATCH($A155,'Tournament Setup'!$A:$A,0))&lt;=MOD($Y155,18),1,0)))</f>
      </c>
    </row>
    <row r="156">
      <c r="X156" t="e">
        <f>IF(OR($A156="",$D156=""),"",SUM(F156:W156))</f>
      </c>
      <c r="Y156" t="e">
        <f>IF(OR($A156="",$D156=""),"",IF(INDEX('Tournament Setup'!$F:$F,MATCH($A156,'Tournament Setup'!$A:$A,0))="Net",ROUND(($E156-_xlfn.MINIFS($E$2:$E$401,$A$2:$A$401,$A156,$B$2:$B$401,$B156))*INDEX('Tournament Setup'!$G:$G,MATCH($A156,'Tournament Setup'!$A:$A,0))/100,0),0))</f>
      </c>
      <c r="Z156" t="e">
        <f>IF(OR(OR($A156="",$D156=""),F156=""),"",F156-(INT($Y156/18)+IF(INDEX('Tournament Setup'!$AD:$AD,MATCH($A156,'Tournament Setup'!$A:$A,0))&lt;=MOD($Y156,18),1,0)))</f>
      </c>
      <c r="AA156" t="e">
        <f>IF(OR(OR($A156="",$D156=""),G156=""),"",G156-(INT($Y156/18)+IF(INDEX('Tournament Setup'!$AE:$AE,MATCH($A156,'Tournament Setup'!$A:$A,0))&lt;=MOD($Y156,18),1,0)))</f>
      </c>
      <c r="AB156" t="e">
        <f>IF(OR(OR($A156="",$D156=""),H156=""),"",H156-(INT($Y156/18)+IF(INDEX('Tournament Setup'!$AF:$AF,MATCH($A156,'Tournament Setup'!$A:$A,0))&lt;=MOD($Y156,18),1,0)))</f>
      </c>
      <c r="AC156" t="e">
        <f>IF(OR(OR($A156="",$D156=""),I156=""),"",I156-(INT($Y156/18)+IF(INDEX('Tournament Setup'!$AG:$AG,MATCH($A156,'Tournament Setup'!$A:$A,0))&lt;=MOD($Y156,18),1,0)))</f>
      </c>
      <c r="AD156" t="e">
        <f>IF(OR(OR($A156="",$D156=""),J156=""),"",J156-(INT($Y156/18)+IF(INDEX('Tournament Setup'!$AH:$AH,MATCH($A156,'Tournament Setup'!$A:$A,0))&lt;=MOD($Y156,18),1,0)))</f>
      </c>
      <c r="AE156" t="e">
        <f>IF(OR(OR($A156="",$D156=""),K156=""),"",K156-(INT($Y156/18)+IF(INDEX('Tournament Setup'!$AI:$AI,MATCH($A156,'Tournament Setup'!$A:$A,0))&lt;=MOD($Y156,18),1,0)))</f>
      </c>
      <c r="AF156" t="e">
        <f>IF(OR(OR($A156="",$D156=""),L156=""),"",L156-(INT($Y156/18)+IF(INDEX('Tournament Setup'!$AJ:$AJ,MATCH($A156,'Tournament Setup'!$A:$A,0))&lt;=MOD($Y156,18),1,0)))</f>
      </c>
      <c r="AG156" t="e">
        <f>IF(OR(OR($A156="",$D156=""),M156=""),"",M156-(INT($Y156/18)+IF(INDEX('Tournament Setup'!$AK:$AK,MATCH($A156,'Tournament Setup'!$A:$A,0))&lt;=MOD($Y156,18),1,0)))</f>
      </c>
      <c r="AH156" t="e">
        <f>IF(OR(OR($A156="",$D156=""),N156=""),"",N156-(INT($Y156/18)+IF(INDEX('Tournament Setup'!$AL:$AL,MATCH($A156,'Tournament Setup'!$A:$A,0))&lt;=MOD($Y156,18),1,0)))</f>
      </c>
      <c r="AI156" t="e">
        <f>IF(OR(OR($A156="",$D156=""),O156=""),"",O156-(INT($Y156/18)+IF(INDEX('Tournament Setup'!$AM:$AM,MATCH($A156,'Tournament Setup'!$A:$A,0))&lt;=MOD($Y156,18),1,0)))</f>
      </c>
      <c r="AJ156" t="e">
        <f>IF(OR(OR($A156="",$D156=""),P156=""),"",P156-(INT($Y156/18)+IF(INDEX('Tournament Setup'!$AN:$AN,MATCH($A156,'Tournament Setup'!$A:$A,0))&lt;=MOD($Y156,18),1,0)))</f>
      </c>
      <c r="AK156" t="e">
        <f>IF(OR(OR($A156="",$D156=""),Q156=""),"",Q156-(INT($Y156/18)+IF(INDEX('Tournament Setup'!$AO:$AO,MATCH($A156,'Tournament Setup'!$A:$A,0))&lt;=MOD($Y156,18),1,0)))</f>
      </c>
      <c r="AL156" t="e">
        <f>IF(OR(OR($A156="",$D156=""),R156=""),"",R156-(INT($Y156/18)+IF(INDEX('Tournament Setup'!$AP:$AP,MATCH($A156,'Tournament Setup'!$A:$A,0))&lt;=MOD($Y156,18),1,0)))</f>
      </c>
      <c r="AM156" t="e">
        <f>IF(OR(OR($A156="",$D156=""),S156=""),"",S156-(INT($Y156/18)+IF(INDEX('Tournament Setup'!$AQ:$AQ,MATCH($A156,'Tournament Setup'!$A:$A,0))&lt;=MOD($Y156,18),1,0)))</f>
      </c>
      <c r="AN156" t="e">
        <f>IF(OR(OR($A156="",$D156=""),T156=""),"",T156-(INT($Y156/18)+IF(INDEX('Tournament Setup'!$AR:$AR,MATCH($A156,'Tournament Setup'!$A:$A,0))&lt;=MOD($Y156,18),1,0)))</f>
      </c>
      <c r="AO156" t="e">
        <f>IF(OR(OR($A156="",$D156=""),U156=""),"",U156-(INT($Y156/18)+IF(INDEX('Tournament Setup'!$AS:$AS,MATCH($A156,'Tournament Setup'!$A:$A,0))&lt;=MOD($Y156,18),1,0)))</f>
      </c>
      <c r="AP156" t="e">
        <f>IF(OR(OR($A156="",$D156=""),V156=""),"",V156-(INT($Y156/18)+IF(INDEX('Tournament Setup'!$AT:$AT,MATCH($A156,'Tournament Setup'!$A:$A,0))&lt;=MOD($Y156,18),1,0)))</f>
      </c>
      <c r="AQ156" t="e">
        <f>IF(OR(OR($A156="",$D156=""),W156=""),"",W156-(INT($Y156/18)+IF(INDEX('Tournament Setup'!$AU:$AU,MATCH($A156,'Tournament Setup'!$A:$A,0))&lt;=MOD($Y156,18),1,0)))</f>
      </c>
    </row>
    <row r="157">
      <c r="X157" t="e">
        <f>IF(OR($A157="",$D157=""),"",SUM(F157:W157))</f>
      </c>
      <c r="Y157" t="e">
        <f>IF(OR($A157="",$D157=""),"",IF(INDEX('Tournament Setup'!$F:$F,MATCH($A157,'Tournament Setup'!$A:$A,0))="Net",ROUND(($E157-_xlfn.MINIFS($E$2:$E$401,$A$2:$A$401,$A157,$B$2:$B$401,$B157))*INDEX('Tournament Setup'!$G:$G,MATCH($A157,'Tournament Setup'!$A:$A,0))/100,0),0))</f>
      </c>
      <c r="Z157" t="e">
        <f>IF(OR(OR($A157="",$D157=""),F157=""),"",F157-(INT($Y157/18)+IF(INDEX('Tournament Setup'!$AD:$AD,MATCH($A157,'Tournament Setup'!$A:$A,0))&lt;=MOD($Y157,18),1,0)))</f>
      </c>
      <c r="AA157" t="e">
        <f>IF(OR(OR($A157="",$D157=""),G157=""),"",G157-(INT($Y157/18)+IF(INDEX('Tournament Setup'!$AE:$AE,MATCH($A157,'Tournament Setup'!$A:$A,0))&lt;=MOD($Y157,18),1,0)))</f>
      </c>
      <c r="AB157" t="e">
        <f>IF(OR(OR($A157="",$D157=""),H157=""),"",H157-(INT($Y157/18)+IF(INDEX('Tournament Setup'!$AF:$AF,MATCH($A157,'Tournament Setup'!$A:$A,0))&lt;=MOD($Y157,18),1,0)))</f>
      </c>
      <c r="AC157" t="e">
        <f>IF(OR(OR($A157="",$D157=""),I157=""),"",I157-(INT($Y157/18)+IF(INDEX('Tournament Setup'!$AG:$AG,MATCH($A157,'Tournament Setup'!$A:$A,0))&lt;=MOD($Y157,18),1,0)))</f>
      </c>
      <c r="AD157" t="e">
        <f>IF(OR(OR($A157="",$D157=""),J157=""),"",J157-(INT($Y157/18)+IF(INDEX('Tournament Setup'!$AH:$AH,MATCH($A157,'Tournament Setup'!$A:$A,0))&lt;=MOD($Y157,18),1,0)))</f>
      </c>
      <c r="AE157" t="e">
        <f>IF(OR(OR($A157="",$D157=""),K157=""),"",K157-(INT($Y157/18)+IF(INDEX('Tournament Setup'!$AI:$AI,MATCH($A157,'Tournament Setup'!$A:$A,0))&lt;=MOD($Y157,18),1,0)))</f>
      </c>
      <c r="AF157" t="e">
        <f>IF(OR(OR($A157="",$D157=""),L157=""),"",L157-(INT($Y157/18)+IF(INDEX('Tournament Setup'!$AJ:$AJ,MATCH($A157,'Tournament Setup'!$A:$A,0))&lt;=MOD($Y157,18),1,0)))</f>
      </c>
      <c r="AG157" t="e">
        <f>IF(OR(OR($A157="",$D157=""),M157=""),"",M157-(INT($Y157/18)+IF(INDEX('Tournament Setup'!$AK:$AK,MATCH($A157,'Tournament Setup'!$A:$A,0))&lt;=MOD($Y157,18),1,0)))</f>
      </c>
      <c r="AH157" t="e">
        <f>IF(OR(OR($A157="",$D157=""),N157=""),"",N157-(INT($Y157/18)+IF(INDEX('Tournament Setup'!$AL:$AL,MATCH($A157,'Tournament Setup'!$A:$A,0))&lt;=MOD($Y157,18),1,0)))</f>
      </c>
      <c r="AI157" t="e">
        <f>IF(OR(OR($A157="",$D157=""),O157=""),"",O157-(INT($Y157/18)+IF(INDEX('Tournament Setup'!$AM:$AM,MATCH($A157,'Tournament Setup'!$A:$A,0))&lt;=MOD($Y157,18),1,0)))</f>
      </c>
      <c r="AJ157" t="e">
        <f>IF(OR(OR($A157="",$D157=""),P157=""),"",P157-(INT($Y157/18)+IF(INDEX('Tournament Setup'!$AN:$AN,MATCH($A157,'Tournament Setup'!$A:$A,0))&lt;=MOD($Y157,18),1,0)))</f>
      </c>
      <c r="AK157" t="e">
        <f>IF(OR(OR($A157="",$D157=""),Q157=""),"",Q157-(INT($Y157/18)+IF(INDEX('Tournament Setup'!$AO:$AO,MATCH($A157,'Tournament Setup'!$A:$A,0))&lt;=MOD($Y157,18),1,0)))</f>
      </c>
      <c r="AL157" t="e">
        <f>IF(OR(OR($A157="",$D157=""),R157=""),"",R157-(INT($Y157/18)+IF(INDEX('Tournament Setup'!$AP:$AP,MATCH($A157,'Tournament Setup'!$A:$A,0))&lt;=MOD($Y157,18),1,0)))</f>
      </c>
      <c r="AM157" t="e">
        <f>IF(OR(OR($A157="",$D157=""),S157=""),"",S157-(INT($Y157/18)+IF(INDEX('Tournament Setup'!$AQ:$AQ,MATCH($A157,'Tournament Setup'!$A:$A,0))&lt;=MOD($Y157,18),1,0)))</f>
      </c>
      <c r="AN157" t="e">
        <f>IF(OR(OR($A157="",$D157=""),T157=""),"",T157-(INT($Y157/18)+IF(INDEX('Tournament Setup'!$AR:$AR,MATCH($A157,'Tournament Setup'!$A:$A,0))&lt;=MOD($Y157,18),1,0)))</f>
      </c>
      <c r="AO157" t="e">
        <f>IF(OR(OR($A157="",$D157=""),U157=""),"",U157-(INT($Y157/18)+IF(INDEX('Tournament Setup'!$AS:$AS,MATCH($A157,'Tournament Setup'!$A:$A,0))&lt;=MOD($Y157,18),1,0)))</f>
      </c>
      <c r="AP157" t="e">
        <f>IF(OR(OR($A157="",$D157=""),V157=""),"",V157-(INT($Y157/18)+IF(INDEX('Tournament Setup'!$AT:$AT,MATCH($A157,'Tournament Setup'!$A:$A,0))&lt;=MOD($Y157,18),1,0)))</f>
      </c>
      <c r="AQ157" t="e">
        <f>IF(OR(OR($A157="",$D157=""),W157=""),"",W157-(INT($Y157/18)+IF(INDEX('Tournament Setup'!$AU:$AU,MATCH($A157,'Tournament Setup'!$A:$A,0))&lt;=MOD($Y157,18),1,0)))</f>
      </c>
    </row>
    <row r="158">
      <c r="X158" t="e">
        <f>IF(OR($A158="",$D158=""),"",SUM(F158:W158))</f>
      </c>
      <c r="Y158" t="e">
        <f>IF(OR($A158="",$D158=""),"",IF(INDEX('Tournament Setup'!$F:$F,MATCH($A158,'Tournament Setup'!$A:$A,0))="Net",ROUND(($E158-_xlfn.MINIFS($E$2:$E$401,$A$2:$A$401,$A158,$B$2:$B$401,$B158))*INDEX('Tournament Setup'!$G:$G,MATCH($A158,'Tournament Setup'!$A:$A,0))/100,0),0))</f>
      </c>
      <c r="Z158" t="e">
        <f>IF(OR(OR($A158="",$D158=""),F158=""),"",F158-(INT($Y158/18)+IF(INDEX('Tournament Setup'!$AD:$AD,MATCH($A158,'Tournament Setup'!$A:$A,0))&lt;=MOD($Y158,18),1,0)))</f>
      </c>
      <c r="AA158" t="e">
        <f>IF(OR(OR($A158="",$D158=""),G158=""),"",G158-(INT($Y158/18)+IF(INDEX('Tournament Setup'!$AE:$AE,MATCH($A158,'Tournament Setup'!$A:$A,0))&lt;=MOD($Y158,18),1,0)))</f>
      </c>
      <c r="AB158" t="e">
        <f>IF(OR(OR($A158="",$D158=""),H158=""),"",H158-(INT($Y158/18)+IF(INDEX('Tournament Setup'!$AF:$AF,MATCH($A158,'Tournament Setup'!$A:$A,0))&lt;=MOD($Y158,18),1,0)))</f>
      </c>
      <c r="AC158" t="e">
        <f>IF(OR(OR($A158="",$D158=""),I158=""),"",I158-(INT($Y158/18)+IF(INDEX('Tournament Setup'!$AG:$AG,MATCH($A158,'Tournament Setup'!$A:$A,0))&lt;=MOD($Y158,18),1,0)))</f>
      </c>
      <c r="AD158" t="e">
        <f>IF(OR(OR($A158="",$D158=""),J158=""),"",J158-(INT($Y158/18)+IF(INDEX('Tournament Setup'!$AH:$AH,MATCH($A158,'Tournament Setup'!$A:$A,0))&lt;=MOD($Y158,18),1,0)))</f>
      </c>
      <c r="AE158" t="e">
        <f>IF(OR(OR($A158="",$D158=""),K158=""),"",K158-(INT($Y158/18)+IF(INDEX('Tournament Setup'!$AI:$AI,MATCH($A158,'Tournament Setup'!$A:$A,0))&lt;=MOD($Y158,18),1,0)))</f>
      </c>
      <c r="AF158" t="e">
        <f>IF(OR(OR($A158="",$D158=""),L158=""),"",L158-(INT($Y158/18)+IF(INDEX('Tournament Setup'!$AJ:$AJ,MATCH($A158,'Tournament Setup'!$A:$A,0))&lt;=MOD($Y158,18),1,0)))</f>
      </c>
      <c r="AG158" t="e">
        <f>IF(OR(OR($A158="",$D158=""),M158=""),"",M158-(INT($Y158/18)+IF(INDEX('Tournament Setup'!$AK:$AK,MATCH($A158,'Tournament Setup'!$A:$A,0))&lt;=MOD($Y158,18),1,0)))</f>
      </c>
      <c r="AH158" t="e">
        <f>IF(OR(OR($A158="",$D158=""),N158=""),"",N158-(INT($Y158/18)+IF(INDEX('Tournament Setup'!$AL:$AL,MATCH($A158,'Tournament Setup'!$A:$A,0))&lt;=MOD($Y158,18),1,0)))</f>
      </c>
      <c r="AI158" t="e">
        <f>IF(OR(OR($A158="",$D158=""),O158=""),"",O158-(INT($Y158/18)+IF(INDEX('Tournament Setup'!$AM:$AM,MATCH($A158,'Tournament Setup'!$A:$A,0))&lt;=MOD($Y158,18),1,0)))</f>
      </c>
      <c r="AJ158" t="e">
        <f>IF(OR(OR($A158="",$D158=""),P158=""),"",P158-(INT($Y158/18)+IF(INDEX('Tournament Setup'!$AN:$AN,MATCH($A158,'Tournament Setup'!$A:$A,0))&lt;=MOD($Y158,18),1,0)))</f>
      </c>
      <c r="AK158" t="e">
        <f>IF(OR(OR($A158="",$D158=""),Q158=""),"",Q158-(INT($Y158/18)+IF(INDEX('Tournament Setup'!$AO:$AO,MATCH($A158,'Tournament Setup'!$A:$A,0))&lt;=MOD($Y158,18),1,0)))</f>
      </c>
      <c r="AL158" t="e">
        <f>IF(OR(OR($A158="",$D158=""),R158=""),"",R158-(INT($Y158/18)+IF(INDEX('Tournament Setup'!$AP:$AP,MATCH($A158,'Tournament Setup'!$A:$A,0))&lt;=MOD($Y158,18),1,0)))</f>
      </c>
      <c r="AM158" t="e">
        <f>IF(OR(OR($A158="",$D158=""),S158=""),"",S158-(INT($Y158/18)+IF(INDEX('Tournament Setup'!$AQ:$AQ,MATCH($A158,'Tournament Setup'!$A:$A,0))&lt;=MOD($Y158,18),1,0)))</f>
      </c>
      <c r="AN158" t="e">
        <f>IF(OR(OR($A158="",$D158=""),T158=""),"",T158-(INT($Y158/18)+IF(INDEX('Tournament Setup'!$AR:$AR,MATCH($A158,'Tournament Setup'!$A:$A,0))&lt;=MOD($Y158,18),1,0)))</f>
      </c>
      <c r="AO158" t="e">
        <f>IF(OR(OR($A158="",$D158=""),U158=""),"",U158-(INT($Y158/18)+IF(INDEX('Tournament Setup'!$AS:$AS,MATCH($A158,'Tournament Setup'!$A:$A,0))&lt;=MOD($Y158,18),1,0)))</f>
      </c>
      <c r="AP158" t="e">
        <f>IF(OR(OR($A158="",$D158=""),V158=""),"",V158-(INT($Y158/18)+IF(INDEX('Tournament Setup'!$AT:$AT,MATCH($A158,'Tournament Setup'!$A:$A,0))&lt;=MOD($Y158,18),1,0)))</f>
      </c>
      <c r="AQ158" t="e">
        <f>IF(OR(OR($A158="",$D158=""),W158=""),"",W158-(INT($Y158/18)+IF(INDEX('Tournament Setup'!$AU:$AU,MATCH($A158,'Tournament Setup'!$A:$A,0))&lt;=MOD($Y158,18),1,0)))</f>
      </c>
    </row>
    <row r="159">
      <c r="X159" t="e">
        <f>IF(OR($A159="",$D159=""),"",SUM(F159:W159))</f>
      </c>
      <c r="Y159" t="e">
        <f>IF(OR($A159="",$D159=""),"",IF(INDEX('Tournament Setup'!$F:$F,MATCH($A159,'Tournament Setup'!$A:$A,0))="Net",ROUND(($E159-_xlfn.MINIFS($E$2:$E$401,$A$2:$A$401,$A159,$B$2:$B$401,$B159))*INDEX('Tournament Setup'!$G:$G,MATCH($A159,'Tournament Setup'!$A:$A,0))/100,0),0))</f>
      </c>
      <c r="Z159" t="e">
        <f>IF(OR(OR($A159="",$D159=""),F159=""),"",F159-(INT($Y159/18)+IF(INDEX('Tournament Setup'!$AD:$AD,MATCH($A159,'Tournament Setup'!$A:$A,0))&lt;=MOD($Y159,18),1,0)))</f>
      </c>
      <c r="AA159" t="e">
        <f>IF(OR(OR($A159="",$D159=""),G159=""),"",G159-(INT($Y159/18)+IF(INDEX('Tournament Setup'!$AE:$AE,MATCH($A159,'Tournament Setup'!$A:$A,0))&lt;=MOD($Y159,18),1,0)))</f>
      </c>
      <c r="AB159" t="e">
        <f>IF(OR(OR($A159="",$D159=""),H159=""),"",H159-(INT($Y159/18)+IF(INDEX('Tournament Setup'!$AF:$AF,MATCH($A159,'Tournament Setup'!$A:$A,0))&lt;=MOD($Y159,18),1,0)))</f>
      </c>
      <c r="AC159" t="e">
        <f>IF(OR(OR($A159="",$D159=""),I159=""),"",I159-(INT($Y159/18)+IF(INDEX('Tournament Setup'!$AG:$AG,MATCH($A159,'Tournament Setup'!$A:$A,0))&lt;=MOD($Y159,18),1,0)))</f>
      </c>
      <c r="AD159" t="e">
        <f>IF(OR(OR($A159="",$D159=""),J159=""),"",J159-(INT($Y159/18)+IF(INDEX('Tournament Setup'!$AH:$AH,MATCH($A159,'Tournament Setup'!$A:$A,0))&lt;=MOD($Y159,18),1,0)))</f>
      </c>
      <c r="AE159" t="e">
        <f>IF(OR(OR($A159="",$D159=""),K159=""),"",K159-(INT($Y159/18)+IF(INDEX('Tournament Setup'!$AI:$AI,MATCH($A159,'Tournament Setup'!$A:$A,0))&lt;=MOD($Y159,18),1,0)))</f>
      </c>
      <c r="AF159" t="e">
        <f>IF(OR(OR($A159="",$D159=""),L159=""),"",L159-(INT($Y159/18)+IF(INDEX('Tournament Setup'!$AJ:$AJ,MATCH($A159,'Tournament Setup'!$A:$A,0))&lt;=MOD($Y159,18),1,0)))</f>
      </c>
      <c r="AG159" t="e">
        <f>IF(OR(OR($A159="",$D159=""),M159=""),"",M159-(INT($Y159/18)+IF(INDEX('Tournament Setup'!$AK:$AK,MATCH($A159,'Tournament Setup'!$A:$A,0))&lt;=MOD($Y159,18),1,0)))</f>
      </c>
      <c r="AH159" t="e">
        <f>IF(OR(OR($A159="",$D159=""),N159=""),"",N159-(INT($Y159/18)+IF(INDEX('Tournament Setup'!$AL:$AL,MATCH($A159,'Tournament Setup'!$A:$A,0))&lt;=MOD($Y159,18),1,0)))</f>
      </c>
      <c r="AI159" t="e">
        <f>IF(OR(OR($A159="",$D159=""),O159=""),"",O159-(INT($Y159/18)+IF(INDEX('Tournament Setup'!$AM:$AM,MATCH($A159,'Tournament Setup'!$A:$A,0))&lt;=MOD($Y159,18),1,0)))</f>
      </c>
      <c r="AJ159" t="e">
        <f>IF(OR(OR($A159="",$D159=""),P159=""),"",P159-(INT($Y159/18)+IF(INDEX('Tournament Setup'!$AN:$AN,MATCH($A159,'Tournament Setup'!$A:$A,0))&lt;=MOD($Y159,18),1,0)))</f>
      </c>
      <c r="AK159" t="e">
        <f>IF(OR(OR($A159="",$D159=""),Q159=""),"",Q159-(INT($Y159/18)+IF(INDEX('Tournament Setup'!$AO:$AO,MATCH($A159,'Tournament Setup'!$A:$A,0))&lt;=MOD($Y159,18),1,0)))</f>
      </c>
      <c r="AL159" t="e">
        <f>IF(OR(OR($A159="",$D159=""),R159=""),"",R159-(INT($Y159/18)+IF(INDEX('Tournament Setup'!$AP:$AP,MATCH($A159,'Tournament Setup'!$A:$A,0))&lt;=MOD($Y159,18),1,0)))</f>
      </c>
      <c r="AM159" t="e">
        <f>IF(OR(OR($A159="",$D159=""),S159=""),"",S159-(INT($Y159/18)+IF(INDEX('Tournament Setup'!$AQ:$AQ,MATCH($A159,'Tournament Setup'!$A:$A,0))&lt;=MOD($Y159,18),1,0)))</f>
      </c>
      <c r="AN159" t="e">
        <f>IF(OR(OR($A159="",$D159=""),T159=""),"",T159-(INT($Y159/18)+IF(INDEX('Tournament Setup'!$AR:$AR,MATCH($A159,'Tournament Setup'!$A:$A,0))&lt;=MOD($Y159,18),1,0)))</f>
      </c>
      <c r="AO159" t="e">
        <f>IF(OR(OR($A159="",$D159=""),U159=""),"",U159-(INT($Y159/18)+IF(INDEX('Tournament Setup'!$AS:$AS,MATCH($A159,'Tournament Setup'!$A:$A,0))&lt;=MOD($Y159,18),1,0)))</f>
      </c>
      <c r="AP159" t="e">
        <f>IF(OR(OR($A159="",$D159=""),V159=""),"",V159-(INT($Y159/18)+IF(INDEX('Tournament Setup'!$AT:$AT,MATCH($A159,'Tournament Setup'!$A:$A,0))&lt;=MOD($Y159,18),1,0)))</f>
      </c>
      <c r="AQ159" t="e">
        <f>IF(OR(OR($A159="",$D159=""),W159=""),"",W159-(INT($Y159/18)+IF(INDEX('Tournament Setup'!$AU:$AU,MATCH($A159,'Tournament Setup'!$A:$A,0))&lt;=MOD($Y159,18),1,0)))</f>
      </c>
    </row>
    <row r="160">
      <c r="X160" t="e">
        <f>IF(OR($A160="",$D160=""),"",SUM(F160:W160))</f>
      </c>
      <c r="Y160" t="e">
        <f>IF(OR($A160="",$D160=""),"",IF(INDEX('Tournament Setup'!$F:$F,MATCH($A160,'Tournament Setup'!$A:$A,0))="Net",ROUND(($E160-_xlfn.MINIFS($E$2:$E$401,$A$2:$A$401,$A160,$B$2:$B$401,$B160))*INDEX('Tournament Setup'!$G:$G,MATCH($A160,'Tournament Setup'!$A:$A,0))/100,0),0))</f>
      </c>
      <c r="Z160" t="e">
        <f>IF(OR(OR($A160="",$D160=""),F160=""),"",F160-(INT($Y160/18)+IF(INDEX('Tournament Setup'!$AD:$AD,MATCH($A160,'Tournament Setup'!$A:$A,0))&lt;=MOD($Y160,18),1,0)))</f>
      </c>
      <c r="AA160" t="e">
        <f>IF(OR(OR($A160="",$D160=""),G160=""),"",G160-(INT($Y160/18)+IF(INDEX('Tournament Setup'!$AE:$AE,MATCH($A160,'Tournament Setup'!$A:$A,0))&lt;=MOD($Y160,18),1,0)))</f>
      </c>
      <c r="AB160" t="e">
        <f>IF(OR(OR($A160="",$D160=""),H160=""),"",H160-(INT($Y160/18)+IF(INDEX('Tournament Setup'!$AF:$AF,MATCH($A160,'Tournament Setup'!$A:$A,0))&lt;=MOD($Y160,18),1,0)))</f>
      </c>
      <c r="AC160" t="e">
        <f>IF(OR(OR($A160="",$D160=""),I160=""),"",I160-(INT($Y160/18)+IF(INDEX('Tournament Setup'!$AG:$AG,MATCH($A160,'Tournament Setup'!$A:$A,0))&lt;=MOD($Y160,18),1,0)))</f>
      </c>
      <c r="AD160" t="e">
        <f>IF(OR(OR($A160="",$D160=""),J160=""),"",J160-(INT($Y160/18)+IF(INDEX('Tournament Setup'!$AH:$AH,MATCH($A160,'Tournament Setup'!$A:$A,0))&lt;=MOD($Y160,18),1,0)))</f>
      </c>
      <c r="AE160" t="e">
        <f>IF(OR(OR($A160="",$D160=""),K160=""),"",K160-(INT($Y160/18)+IF(INDEX('Tournament Setup'!$AI:$AI,MATCH($A160,'Tournament Setup'!$A:$A,0))&lt;=MOD($Y160,18),1,0)))</f>
      </c>
      <c r="AF160" t="e">
        <f>IF(OR(OR($A160="",$D160=""),L160=""),"",L160-(INT($Y160/18)+IF(INDEX('Tournament Setup'!$AJ:$AJ,MATCH($A160,'Tournament Setup'!$A:$A,0))&lt;=MOD($Y160,18),1,0)))</f>
      </c>
      <c r="AG160" t="e">
        <f>IF(OR(OR($A160="",$D160=""),M160=""),"",M160-(INT($Y160/18)+IF(INDEX('Tournament Setup'!$AK:$AK,MATCH($A160,'Tournament Setup'!$A:$A,0))&lt;=MOD($Y160,18),1,0)))</f>
      </c>
      <c r="AH160" t="e">
        <f>IF(OR(OR($A160="",$D160=""),N160=""),"",N160-(INT($Y160/18)+IF(INDEX('Tournament Setup'!$AL:$AL,MATCH($A160,'Tournament Setup'!$A:$A,0))&lt;=MOD($Y160,18),1,0)))</f>
      </c>
      <c r="AI160" t="e">
        <f>IF(OR(OR($A160="",$D160=""),O160=""),"",O160-(INT($Y160/18)+IF(INDEX('Tournament Setup'!$AM:$AM,MATCH($A160,'Tournament Setup'!$A:$A,0))&lt;=MOD($Y160,18),1,0)))</f>
      </c>
      <c r="AJ160" t="e">
        <f>IF(OR(OR($A160="",$D160=""),P160=""),"",P160-(INT($Y160/18)+IF(INDEX('Tournament Setup'!$AN:$AN,MATCH($A160,'Tournament Setup'!$A:$A,0))&lt;=MOD($Y160,18),1,0)))</f>
      </c>
      <c r="AK160" t="e">
        <f>IF(OR(OR($A160="",$D160=""),Q160=""),"",Q160-(INT($Y160/18)+IF(INDEX('Tournament Setup'!$AO:$AO,MATCH($A160,'Tournament Setup'!$A:$A,0))&lt;=MOD($Y160,18),1,0)))</f>
      </c>
      <c r="AL160" t="e">
        <f>IF(OR(OR($A160="",$D160=""),R160=""),"",R160-(INT($Y160/18)+IF(INDEX('Tournament Setup'!$AP:$AP,MATCH($A160,'Tournament Setup'!$A:$A,0))&lt;=MOD($Y160,18),1,0)))</f>
      </c>
      <c r="AM160" t="e">
        <f>IF(OR(OR($A160="",$D160=""),S160=""),"",S160-(INT($Y160/18)+IF(INDEX('Tournament Setup'!$AQ:$AQ,MATCH($A160,'Tournament Setup'!$A:$A,0))&lt;=MOD($Y160,18),1,0)))</f>
      </c>
      <c r="AN160" t="e">
        <f>IF(OR(OR($A160="",$D160=""),T160=""),"",T160-(INT($Y160/18)+IF(INDEX('Tournament Setup'!$AR:$AR,MATCH($A160,'Tournament Setup'!$A:$A,0))&lt;=MOD($Y160,18),1,0)))</f>
      </c>
      <c r="AO160" t="e">
        <f>IF(OR(OR($A160="",$D160=""),U160=""),"",U160-(INT($Y160/18)+IF(INDEX('Tournament Setup'!$AS:$AS,MATCH($A160,'Tournament Setup'!$A:$A,0))&lt;=MOD($Y160,18),1,0)))</f>
      </c>
      <c r="AP160" t="e">
        <f>IF(OR(OR($A160="",$D160=""),V160=""),"",V160-(INT($Y160/18)+IF(INDEX('Tournament Setup'!$AT:$AT,MATCH($A160,'Tournament Setup'!$A:$A,0))&lt;=MOD($Y160,18),1,0)))</f>
      </c>
      <c r="AQ160" t="e">
        <f>IF(OR(OR($A160="",$D160=""),W160=""),"",W160-(INT($Y160/18)+IF(INDEX('Tournament Setup'!$AU:$AU,MATCH($A160,'Tournament Setup'!$A:$A,0))&lt;=MOD($Y160,18),1,0)))</f>
      </c>
    </row>
    <row r="161">
      <c r="X161" t="e">
        <f>IF(OR($A161="",$D161=""),"",SUM(F161:W161))</f>
      </c>
      <c r="Y161" t="e">
        <f>IF(OR($A161="",$D161=""),"",IF(INDEX('Tournament Setup'!$F:$F,MATCH($A161,'Tournament Setup'!$A:$A,0))="Net",ROUND(($E161-_xlfn.MINIFS($E$2:$E$401,$A$2:$A$401,$A161,$B$2:$B$401,$B161))*INDEX('Tournament Setup'!$G:$G,MATCH($A161,'Tournament Setup'!$A:$A,0))/100,0),0))</f>
      </c>
      <c r="Z161" t="e">
        <f>IF(OR(OR($A161="",$D161=""),F161=""),"",F161-(INT($Y161/18)+IF(INDEX('Tournament Setup'!$AD:$AD,MATCH($A161,'Tournament Setup'!$A:$A,0))&lt;=MOD($Y161,18),1,0)))</f>
      </c>
      <c r="AA161" t="e">
        <f>IF(OR(OR($A161="",$D161=""),G161=""),"",G161-(INT($Y161/18)+IF(INDEX('Tournament Setup'!$AE:$AE,MATCH($A161,'Tournament Setup'!$A:$A,0))&lt;=MOD($Y161,18),1,0)))</f>
      </c>
      <c r="AB161" t="e">
        <f>IF(OR(OR($A161="",$D161=""),H161=""),"",H161-(INT($Y161/18)+IF(INDEX('Tournament Setup'!$AF:$AF,MATCH($A161,'Tournament Setup'!$A:$A,0))&lt;=MOD($Y161,18),1,0)))</f>
      </c>
      <c r="AC161" t="e">
        <f>IF(OR(OR($A161="",$D161=""),I161=""),"",I161-(INT($Y161/18)+IF(INDEX('Tournament Setup'!$AG:$AG,MATCH($A161,'Tournament Setup'!$A:$A,0))&lt;=MOD($Y161,18),1,0)))</f>
      </c>
      <c r="AD161" t="e">
        <f>IF(OR(OR($A161="",$D161=""),J161=""),"",J161-(INT($Y161/18)+IF(INDEX('Tournament Setup'!$AH:$AH,MATCH($A161,'Tournament Setup'!$A:$A,0))&lt;=MOD($Y161,18),1,0)))</f>
      </c>
      <c r="AE161" t="e">
        <f>IF(OR(OR($A161="",$D161=""),K161=""),"",K161-(INT($Y161/18)+IF(INDEX('Tournament Setup'!$AI:$AI,MATCH($A161,'Tournament Setup'!$A:$A,0))&lt;=MOD($Y161,18),1,0)))</f>
      </c>
      <c r="AF161" t="e">
        <f>IF(OR(OR($A161="",$D161=""),L161=""),"",L161-(INT($Y161/18)+IF(INDEX('Tournament Setup'!$AJ:$AJ,MATCH($A161,'Tournament Setup'!$A:$A,0))&lt;=MOD($Y161,18),1,0)))</f>
      </c>
      <c r="AG161" t="e">
        <f>IF(OR(OR($A161="",$D161=""),M161=""),"",M161-(INT($Y161/18)+IF(INDEX('Tournament Setup'!$AK:$AK,MATCH($A161,'Tournament Setup'!$A:$A,0))&lt;=MOD($Y161,18),1,0)))</f>
      </c>
      <c r="AH161" t="e">
        <f>IF(OR(OR($A161="",$D161=""),N161=""),"",N161-(INT($Y161/18)+IF(INDEX('Tournament Setup'!$AL:$AL,MATCH($A161,'Tournament Setup'!$A:$A,0))&lt;=MOD($Y161,18),1,0)))</f>
      </c>
      <c r="AI161" t="e">
        <f>IF(OR(OR($A161="",$D161=""),O161=""),"",O161-(INT($Y161/18)+IF(INDEX('Tournament Setup'!$AM:$AM,MATCH($A161,'Tournament Setup'!$A:$A,0))&lt;=MOD($Y161,18),1,0)))</f>
      </c>
      <c r="AJ161" t="e">
        <f>IF(OR(OR($A161="",$D161=""),P161=""),"",P161-(INT($Y161/18)+IF(INDEX('Tournament Setup'!$AN:$AN,MATCH($A161,'Tournament Setup'!$A:$A,0))&lt;=MOD($Y161,18),1,0)))</f>
      </c>
      <c r="AK161" t="e">
        <f>IF(OR(OR($A161="",$D161=""),Q161=""),"",Q161-(INT($Y161/18)+IF(INDEX('Tournament Setup'!$AO:$AO,MATCH($A161,'Tournament Setup'!$A:$A,0))&lt;=MOD($Y161,18),1,0)))</f>
      </c>
      <c r="AL161" t="e">
        <f>IF(OR(OR($A161="",$D161=""),R161=""),"",R161-(INT($Y161/18)+IF(INDEX('Tournament Setup'!$AP:$AP,MATCH($A161,'Tournament Setup'!$A:$A,0))&lt;=MOD($Y161,18),1,0)))</f>
      </c>
      <c r="AM161" t="e">
        <f>IF(OR(OR($A161="",$D161=""),S161=""),"",S161-(INT($Y161/18)+IF(INDEX('Tournament Setup'!$AQ:$AQ,MATCH($A161,'Tournament Setup'!$A:$A,0))&lt;=MOD($Y161,18),1,0)))</f>
      </c>
      <c r="AN161" t="e">
        <f>IF(OR(OR($A161="",$D161=""),T161=""),"",T161-(INT($Y161/18)+IF(INDEX('Tournament Setup'!$AR:$AR,MATCH($A161,'Tournament Setup'!$A:$A,0))&lt;=MOD($Y161,18),1,0)))</f>
      </c>
      <c r="AO161" t="e">
        <f>IF(OR(OR($A161="",$D161=""),U161=""),"",U161-(INT($Y161/18)+IF(INDEX('Tournament Setup'!$AS:$AS,MATCH($A161,'Tournament Setup'!$A:$A,0))&lt;=MOD($Y161,18),1,0)))</f>
      </c>
      <c r="AP161" t="e">
        <f>IF(OR(OR($A161="",$D161=""),V161=""),"",V161-(INT($Y161/18)+IF(INDEX('Tournament Setup'!$AT:$AT,MATCH($A161,'Tournament Setup'!$A:$A,0))&lt;=MOD($Y161,18),1,0)))</f>
      </c>
      <c r="AQ161" t="e">
        <f>IF(OR(OR($A161="",$D161=""),W161=""),"",W161-(INT($Y161/18)+IF(INDEX('Tournament Setup'!$AU:$AU,MATCH($A161,'Tournament Setup'!$A:$A,0))&lt;=MOD($Y161,18),1,0)))</f>
      </c>
    </row>
    <row r="162">
      <c r="X162" t="e">
        <f>IF(OR($A162="",$D162=""),"",SUM(F162:W162))</f>
      </c>
      <c r="Y162" t="e">
        <f>IF(OR($A162="",$D162=""),"",IF(INDEX('Tournament Setup'!$F:$F,MATCH($A162,'Tournament Setup'!$A:$A,0))="Net",ROUND(($E162-_xlfn.MINIFS($E$2:$E$401,$A$2:$A$401,$A162,$B$2:$B$401,$B162))*INDEX('Tournament Setup'!$G:$G,MATCH($A162,'Tournament Setup'!$A:$A,0))/100,0),0))</f>
      </c>
      <c r="Z162" t="e">
        <f>IF(OR(OR($A162="",$D162=""),F162=""),"",F162-(INT($Y162/18)+IF(INDEX('Tournament Setup'!$AD:$AD,MATCH($A162,'Tournament Setup'!$A:$A,0))&lt;=MOD($Y162,18),1,0)))</f>
      </c>
      <c r="AA162" t="e">
        <f>IF(OR(OR($A162="",$D162=""),G162=""),"",G162-(INT($Y162/18)+IF(INDEX('Tournament Setup'!$AE:$AE,MATCH($A162,'Tournament Setup'!$A:$A,0))&lt;=MOD($Y162,18),1,0)))</f>
      </c>
      <c r="AB162" t="e">
        <f>IF(OR(OR($A162="",$D162=""),H162=""),"",H162-(INT($Y162/18)+IF(INDEX('Tournament Setup'!$AF:$AF,MATCH($A162,'Tournament Setup'!$A:$A,0))&lt;=MOD($Y162,18),1,0)))</f>
      </c>
      <c r="AC162" t="e">
        <f>IF(OR(OR($A162="",$D162=""),I162=""),"",I162-(INT($Y162/18)+IF(INDEX('Tournament Setup'!$AG:$AG,MATCH($A162,'Tournament Setup'!$A:$A,0))&lt;=MOD($Y162,18),1,0)))</f>
      </c>
      <c r="AD162" t="e">
        <f>IF(OR(OR($A162="",$D162=""),J162=""),"",J162-(INT($Y162/18)+IF(INDEX('Tournament Setup'!$AH:$AH,MATCH($A162,'Tournament Setup'!$A:$A,0))&lt;=MOD($Y162,18),1,0)))</f>
      </c>
      <c r="AE162" t="e">
        <f>IF(OR(OR($A162="",$D162=""),K162=""),"",K162-(INT($Y162/18)+IF(INDEX('Tournament Setup'!$AI:$AI,MATCH($A162,'Tournament Setup'!$A:$A,0))&lt;=MOD($Y162,18),1,0)))</f>
      </c>
      <c r="AF162" t="e">
        <f>IF(OR(OR($A162="",$D162=""),L162=""),"",L162-(INT($Y162/18)+IF(INDEX('Tournament Setup'!$AJ:$AJ,MATCH($A162,'Tournament Setup'!$A:$A,0))&lt;=MOD($Y162,18),1,0)))</f>
      </c>
      <c r="AG162" t="e">
        <f>IF(OR(OR($A162="",$D162=""),M162=""),"",M162-(INT($Y162/18)+IF(INDEX('Tournament Setup'!$AK:$AK,MATCH($A162,'Tournament Setup'!$A:$A,0))&lt;=MOD($Y162,18),1,0)))</f>
      </c>
      <c r="AH162" t="e">
        <f>IF(OR(OR($A162="",$D162=""),N162=""),"",N162-(INT($Y162/18)+IF(INDEX('Tournament Setup'!$AL:$AL,MATCH($A162,'Tournament Setup'!$A:$A,0))&lt;=MOD($Y162,18),1,0)))</f>
      </c>
      <c r="AI162" t="e">
        <f>IF(OR(OR($A162="",$D162=""),O162=""),"",O162-(INT($Y162/18)+IF(INDEX('Tournament Setup'!$AM:$AM,MATCH($A162,'Tournament Setup'!$A:$A,0))&lt;=MOD($Y162,18),1,0)))</f>
      </c>
      <c r="AJ162" t="e">
        <f>IF(OR(OR($A162="",$D162=""),P162=""),"",P162-(INT($Y162/18)+IF(INDEX('Tournament Setup'!$AN:$AN,MATCH($A162,'Tournament Setup'!$A:$A,0))&lt;=MOD($Y162,18),1,0)))</f>
      </c>
      <c r="AK162" t="e">
        <f>IF(OR(OR($A162="",$D162=""),Q162=""),"",Q162-(INT($Y162/18)+IF(INDEX('Tournament Setup'!$AO:$AO,MATCH($A162,'Tournament Setup'!$A:$A,0))&lt;=MOD($Y162,18),1,0)))</f>
      </c>
      <c r="AL162" t="e">
        <f>IF(OR(OR($A162="",$D162=""),R162=""),"",R162-(INT($Y162/18)+IF(INDEX('Tournament Setup'!$AP:$AP,MATCH($A162,'Tournament Setup'!$A:$A,0))&lt;=MOD($Y162,18),1,0)))</f>
      </c>
      <c r="AM162" t="e">
        <f>IF(OR(OR($A162="",$D162=""),S162=""),"",S162-(INT($Y162/18)+IF(INDEX('Tournament Setup'!$AQ:$AQ,MATCH($A162,'Tournament Setup'!$A:$A,0))&lt;=MOD($Y162,18),1,0)))</f>
      </c>
      <c r="AN162" t="e">
        <f>IF(OR(OR($A162="",$D162=""),T162=""),"",T162-(INT($Y162/18)+IF(INDEX('Tournament Setup'!$AR:$AR,MATCH($A162,'Tournament Setup'!$A:$A,0))&lt;=MOD($Y162,18),1,0)))</f>
      </c>
      <c r="AO162" t="e">
        <f>IF(OR(OR($A162="",$D162=""),U162=""),"",U162-(INT($Y162/18)+IF(INDEX('Tournament Setup'!$AS:$AS,MATCH($A162,'Tournament Setup'!$A:$A,0))&lt;=MOD($Y162,18),1,0)))</f>
      </c>
      <c r="AP162" t="e">
        <f>IF(OR(OR($A162="",$D162=""),V162=""),"",V162-(INT($Y162/18)+IF(INDEX('Tournament Setup'!$AT:$AT,MATCH($A162,'Tournament Setup'!$A:$A,0))&lt;=MOD($Y162,18),1,0)))</f>
      </c>
      <c r="AQ162" t="e">
        <f>IF(OR(OR($A162="",$D162=""),W162=""),"",W162-(INT($Y162/18)+IF(INDEX('Tournament Setup'!$AU:$AU,MATCH($A162,'Tournament Setup'!$A:$A,0))&lt;=MOD($Y162,18),1,0)))</f>
      </c>
    </row>
    <row r="163">
      <c r="X163" t="e">
        <f>IF(OR($A163="",$D163=""),"",SUM(F163:W163))</f>
      </c>
      <c r="Y163" t="e">
        <f>IF(OR($A163="",$D163=""),"",IF(INDEX('Tournament Setup'!$F:$F,MATCH($A163,'Tournament Setup'!$A:$A,0))="Net",ROUND(($E163-_xlfn.MINIFS($E$2:$E$401,$A$2:$A$401,$A163,$B$2:$B$401,$B163))*INDEX('Tournament Setup'!$G:$G,MATCH($A163,'Tournament Setup'!$A:$A,0))/100,0),0))</f>
      </c>
      <c r="Z163" t="e">
        <f>IF(OR(OR($A163="",$D163=""),F163=""),"",F163-(INT($Y163/18)+IF(INDEX('Tournament Setup'!$AD:$AD,MATCH($A163,'Tournament Setup'!$A:$A,0))&lt;=MOD($Y163,18),1,0)))</f>
      </c>
      <c r="AA163" t="e">
        <f>IF(OR(OR($A163="",$D163=""),G163=""),"",G163-(INT($Y163/18)+IF(INDEX('Tournament Setup'!$AE:$AE,MATCH($A163,'Tournament Setup'!$A:$A,0))&lt;=MOD($Y163,18),1,0)))</f>
      </c>
      <c r="AB163" t="e">
        <f>IF(OR(OR($A163="",$D163=""),H163=""),"",H163-(INT($Y163/18)+IF(INDEX('Tournament Setup'!$AF:$AF,MATCH($A163,'Tournament Setup'!$A:$A,0))&lt;=MOD($Y163,18),1,0)))</f>
      </c>
      <c r="AC163" t="e">
        <f>IF(OR(OR($A163="",$D163=""),I163=""),"",I163-(INT($Y163/18)+IF(INDEX('Tournament Setup'!$AG:$AG,MATCH($A163,'Tournament Setup'!$A:$A,0))&lt;=MOD($Y163,18),1,0)))</f>
      </c>
      <c r="AD163" t="e">
        <f>IF(OR(OR($A163="",$D163=""),J163=""),"",J163-(INT($Y163/18)+IF(INDEX('Tournament Setup'!$AH:$AH,MATCH($A163,'Tournament Setup'!$A:$A,0))&lt;=MOD($Y163,18),1,0)))</f>
      </c>
      <c r="AE163" t="e">
        <f>IF(OR(OR($A163="",$D163=""),K163=""),"",K163-(INT($Y163/18)+IF(INDEX('Tournament Setup'!$AI:$AI,MATCH($A163,'Tournament Setup'!$A:$A,0))&lt;=MOD($Y163,18),1,0)))</f>
      </c>
      <c r="AF163" t="e">
        <f>IF(OR(OR($A163="",$D163=""),L163=""),"",L163-(INT($Y163/18)+IF(INDEX('Tournament Setup'!$AJ:$AJ,MATCH($A163,'Tournament Setup'!$A:$A,0))&lt;=MOD($Y163,18),1,0)))</f>
      </c>
      <c r="AG163" t="e">
        <f>IF(OR(OR($A163="",$D163=""),M163=""),"",M163-(INT($Y163/18)+IF(INDEX('Tournament Setup'!$AK:$AK,MATCH($A163,'Tournament Setup'!$A:$A,0))&lt;=MOD($Y163,18),1,0)))</f>
      </c>
      <c r="AH163" t="e">
        <f>IF(OR(OR($A163="",$D163=""),N163=""),"",N163-(INT($Y163/18)+IF(INDEX('Tournament Setup'!$AL:$AL,MATCH($A163,'Tournament Setup'!$A:$A,0))&lt;=MOD($Y163,18),1,0)))</f>
      </c>
      <c r="AI163" t="e">
        <f>IF(OR(OR($A163="",$D163=""),O163=""),"",O163-(INT($Y163/18)+IF(INDEX('Tournament Setup'!$AM:$AM,MATCH($A163,'Tournament Setup'!$A:$A,0))&lt;=MOD($Y163,18),1,0)))</f>
      </c>
      <c r="AJ163" t="e">
        <f>IF(OR(OR($A163="",$D163=""),P163=""),"",P163-(INT($Y163/18)+IF(INDEX('Tournament Setup'!$AN:$AN,MATCH($A163,'Tournament Setup'!$A:$A,0))&lt;=MOD($Y163,18),1,0)))</f>
      </c>
      <c r="AK163" t="e">
        <f>IF(OR(OR($A163="",$D163=""),Q163=""),"",Q163-(INT($Y163/18)+IF(INDEX('Tournament Setup'!$AO:$AO,MATCH($A163,'Tournament Setup'!$A:$A,0))&lt;=MOD($Y163,18),1,0)))</f>
      </c>
      <c r="AL163" t="e">
        <f>IF(OR(OR($A163="",$D163=""),R163=""),"",R163-(INT($Y163/18)+IF(INDEX('Tournament Setup'!$AP:$AP,MATCH($A163,'Tournament Setup'!$A:$A,0))&lt;=MOD($Y163,18),1,0)))</f>
      </c>
      <c r="AM163" t="e">
        <f>IF(OR(OR($A163="",$D163=""),S163=""),"",S163-(INT($Y163/18)+IF(INDEX('Tournament Setup'!$AQ:$AQ,MATCH($A163,'Tournament Setup'!$A:$A,0))&lt;=MOD($Y163,18),1,0)))</f>
      </c>
      <c r="AN163" t="e">
        <f>IF(OR(OR($A163="",$D163=""),T163=""),"",T163-(INT($Y163/18)+IF(INDEX('Tournament Setup'!$AR:$AR,MATCH($A163,'Tournament Setup'!$A:$A,0))&lt;=MOD($Y163,18),1,0)))</f>
      </c>
      <c r="AO163" t="e">
        <f>IF(OR(OR($A163="",$D163=""),U163=""),"",U163-(INT($Y163/18)+IF(INDEX('Tournament Setup'!$AS:$AS,MATCH($A163,'Tournament Setup'!$A:$A,0))&lt;=MOD($Y163,18),1,0)))</f>
      </c>
      <c r="AP163" t="e">
        <f>IF(OR(OR($A163="",$D163=""),V163=""),"",V163-(INT($Y163/18)+IF(INDEX('Tournament Setup'!$AT:$AT,MATCH($A163,'Tournament Setup'!$A:$A,0))&lt;=MOD($Y163,18),1,0)))</f>
      </c>
      <c r="AQ163" t="e">
        <f>IF(OR(OR($A163="",$D163=""),W163=""),"",W163-(INT($Y163/18)+IF(INDEX('Tournament Setup'!$AU:$AU,MATCH($A163,'Tournament Setup'!$A:$A,0))&lt;=MOD($Y163,18),1,0)))</f>
      </c>
    </row>
    <row r="164">
      <c r="X164" t="e">
        <f>IF(OR($A164="",$D164=""),"",SUM(F164:W164))</f>
      </c>
      <c r="Y164" t="e">
        <f>IF(OR($A164="",$D164=""),"",IF(INDEX('Tournament Setup'!$F:$F,MATCH($A164,'Tournament Setup'!$A:$A,0))="Net",ROUND(($E164-_xlfn.MINIFS($E$2:$E$401,$A$2:$A$401,$A164,$B$2:$B$401,$B164))*INDEX('Tournament Setup'!$G:$G,MATCH($A164,'Tournament Setup'!$A:$A,0))/100,0),0))</f>
      </c>
      <c r="Z164" t="e">
        <f>IF(OR(OR($A164="",$D164=""),F164=""),"",F164-(INT($Y164/18)+IF(INDEX('Tournament Setup'!$AD:$AD,MATCH($A164,'Tournament Setup'!$A:$A,0))&lt;=MOD($Y164,18),1,0)))</f>
      </c>
      <c r="AA164" t="e">
        <f>IF(OR(OR($A164="",$D164=""),G164=""),"",G164-(INT($Y164/18)+IF(INDEX('Tournament Setup'!$AE:$AE,MATCH($A164,'Tournament Setup'!$A:$A,0))&lt;=MOD($Y164,18),1,0)))</f>
      </c>
      <c r="AB164" t="e">
        <f>IF(OR(OR($A164="",$D164=""),H164=""),"",H164-(INT($Y164/18)+IF(INDEX('Tournament Setup'!$AF:$AF,MATCH($A164,'Tournament Setup'!$A:$A,0))&lt;=MOD($Y164,18),1,0)))</f>
      </c>
      <c r="AC164" t="e">
        <f>IF(OR(OR($A164="",$D164=""),I164=""),"",I164-(INT($Y164/18)+IF(INDEX('Tournament Setup'!$AG:$AG,MATCH($A164,'Tournament Setup'!$A:$A,0))&lt;=MOD($Y164,18),1,0)))</f>
      </c>
      <c r="AD164" t="e">
        <f>IF(OR(OR($A164="",$D164=""),J164=""),"",J164-(INT($Y164/18)+IF(INDEX('Tournament Setup'!$AH:$AH,MATCH($A164,'Tournament Setup'!$A:$A,0))&lt;=MOD($Y164,18),1,0)))</f>
      </c>
      <c r="AE164" t="e">
        <f>IF(OR(OR($A164="",$D164=""),K164=""),"",K164-(INT($Y164/18)+IF(INDEX('Tournament Setup'!$AI:$AI,MATCH($A164,'Tournament Setup'!$A:$A,0))&lt;=MOD($Y164,18),1,0)))</f>
      </c>
      <c r="AF164" t="e">
        <f>IF(OR(OR($A164="",$D164=""),L164=""),"",L164-(INT($Y164/18)+IF(INDEX('Tournament Setup'!$AJ:$AJ,MATCH($A164,'Tournament Setup'!$A:$A,0))&lt;=MOD($Y164,18),1,0)))</f>
      </c>
      <c r="AG164" t="e">
        <f>IF(OR(OR($A164="",$D164=""),M164=""),"",M164-(INT($Y164/18)+IF(INDEX('Tournament Setup'!$AK:$AK,MATCH($A164,'Tournament Setup'!$A:$A,0))&lt;=MOD($Y164,18),1,0)))</f>
      </c>
      <c r="AH164" t="e">
        <f>IF(OR(OR($A164="",$D164=""),N164=""),"",N164-(INT($Y164/18)+IF(INDEX('Tournament Setup'!$AL:$AL,MATCH($A164,'Tournament Setup'!$A:$A,0))&lt;=MOD($Y164,18),1,0)))</f>
      </c>
      <c r="AI164" t="e">
        <f>IF(OR(OR($A164="",$D164=""),O164=""),"",O164-(INT($Y164/18)+IF(INDEX('Tournament Setup'!$AM:$AM,MATCH($A164,'Tournament Setup'!$A:$A,0))&lt;=MOD($Y164,18),1,0)))</f>
      </c>
      <c r="AJ164" t="e">
        <f>IF(OR(OR($A164="",$D164=""),P164=""),"",P164-(INT($Y164/18)+IF(INDEX('Tournament Setup'!$AN:$AN,MATCH($A164,'Tournament Setup'!$A:$A,0))&lt;=MOD($Y164,18),1,0)))</f>
      </c>
      <c r="AK164" t="e">
        <f>IF(OR(OR($A164="",$D164=""),Q164=""),"",Q164-(INT($Y164/18)+IF(INDEX('Tournament Setup'!$AO:$AO,MATCH($A164,'Tournament Setup'!$A:$A,0))&lt;=MOD($Y164,18),1,0)))</f>
      </c>
      <c r="AL164" t="e">
        <f>IF(OR(OR($A164="",$D164=""),R164=""),"",R164-(INT($Y164/18)+IF(INDEX('Tournament Setup'!$AP:$AP,MATCH($A164,'Tournament Setup'!$A:$A,0))&lt;=MOD($Y164,18),1,0)))</f>
      </c>
      <c r="AM164" t="e">
        <f>IF(OR(OR($A164="",$D164=""),S164=""),"",S164-(INT($Y164/18)+IF(INDEX('Tournament Setup'!$AQ:$AQ,MATCH($A164,'Tournament Setup'!$A:$A,0))&lt;=MOD($Y164,18),1,0)))</f>
      </c>
      <c r="AN164" t="e">
        <f>IF(OR(OR($A164="",$D164=""),T164=""),"",T164-(INT($Y164/18)+IF(INDEX('Tournament Setup'!$AR:$AR,MATCH($A164,'Tournament Setup'!$A:$A,0))&lt;=MOD($Y164,18),1,0)))</f>
      </c>
      <c r="AO164" t="e">
        <f>IF(OR(OR($A164="",$D164=""),U164=""),"",U164-(INT($Y164/18)+IF(INDEX('Tournament Setup'!$AS:$AS,MATCH($A164,'Tournament Setup'!$A:$A,0))&lt;=MOD($Y164,18),1,0)))</f>
      </c>
      <c r="AP164" t="e">
        <f>IF(OR(OR($A164="",$D164=""),V164=""),"",V164-(INT($Y164/18)+IF(INDEX('Tournament Setup'!$AT:$AT,MATCH($A164,'Tournament Setup'!$A:$A,0))&lt;=MOD($Y164,18),1,0)))</f>
      </c>
      <c r="AQ164" t="e">
        <f>IF(OR(OR($A164="",$D164=""),W164=""),"",W164-(INT($Y164/18)+IF(INDEX('Tournament Setup'!$AU:$AU,MATCH($A164,'Tournament Setup'!$A:$A,0))&lt;=MOD($Y164,18),1,0)))</f>
      </c>
    </row>
    <row r="165">
      <c r="X165" t="e">
        <f>IF(OR($A165="",$D165=""),"",SUM(F165:W165))</f>
      </c>
      <c r="Y165" t="e">
        <f>IF(OR($A165="",$D165=""),"",IF(INDEX('Tournament Setup'!$F:$F,MATCH($A165,'Tournament Setup'!$A:$A,0))="Net",ROUND(($E165-_xlfn.MINIFS($E$2:$E$401,$A$2:$A$401,$A165,$B$2:$B$401,$B165))*INDEX('Tournament Setup'!$G:$G,MATCH($A165,'Tournament Setup'!$A:$A,0))/100,0),0))</f>
      </c>
      <c r="Z165" t="e">
        <f>IF(OR(OR($A165="",$D165=""),F165=""),"",F165-(INT($Y165/18)+IF(INDEX('Tournament Setup'!$AD:$AD,MATCH($A165,'Tournament Setup'!$A:$A,0))&lt;=MOD($Y165,18),1,0)))</f>
      </c>
      <c r="AA165" t="e">
        <f>IF(OR(OR($A165="",$D165=""),G165=""),"",G165-(INT($Y165/18)+IF(INDEX('Tournament Setup'!$AE:$AE,MATCH($A165,'Tournament Setup'!$A:$A,0))&lt;=MOD($Y165,18),1,0)))</f>
      </c>
      <c r="AB165" t="e">
        <f>IF(OR(OR($A165="",$D165=""),H165=""),"",H165-(INT($Y165/18)+IF(INDEX('Tournament Setup'!$AF:$AF,MATCH($A165,'Tournament Setup'!$A:$A,0))&lt;=MOD($Y165,18),1,0)))</f>
      </c>
      <c r="AC165" t="e">
        <f>IF(OR(OR($A165="",$D165=""),I165=""),"",I165-(INT($Y165/18)+IF(INDEX('Tournament Setup'!$AG:$AG,MATCH($A165,'Tournament Setup'!$A:$A,0))&lt;=MOD($Y165,18),1,0)))</f>
      </c>
      <c r="AD165" t="e">
        <f>IF(OR(OR($A165="",$D165=""),J165=""),"",J165-(INT($Y165/18)+IF(INDEX('Tournament Setup'!$AH:$AH,MATCH($A165,'Tournament Setup'!$A:$A,0))&lt;=MOD($Y165,18),1,0)))</f>
      </c>
      <c r="AE165" t="e">
        <f>IF(OR(OR($A165="",$D165=""),K165=""),"",K165-(INT($Y165/18)+IF(INDEX('Tournament Setup'!$AI:$AI,MATCH($A165,'Tournament Setup'!$A:$A,0))&lt;=MOD($Y165,18),1,0)))</f>
      </c>
      <c r="AF165" t="e">
        <f>IF(OR(OR($A165="",$D165=""),L165=""),"",L165-(INT($Y165/18)+IF(INDEX('Tournament Setup'!$AJ:$AJ,MATCH($A165,'Tournament Setup'!$A:$A,0))&lt;=MOD($Y165,18),1,0)))</f>
      </c>
      <c r="AG165" t="e">
        <f>IF(OR(OR($A165="",$D165=""),M165=""),"",M165-(INT($Y165/18)+IF(INDEX('Tournament Setup'!$AK:$AK,MATCH($A165,'Tournament Setup'!$A:$A,0))&lt;=MOD($Y165,18),1,0)))</f>
      </c>
      <c r="AH165" t="e">
        <f>IF(OR(OR($A165="",$D165=""),N165=""),"",N165-(INT($Y165/18)+IF(INDEX('Tournament Setup'!$AL:$AL,MATCH($A165,'Tournament Setup'!$A:$A,0))&lt;=MOD($Y165,18),1,0)))</f>
      </c>
      <c r="AI165" t="e">
        <f>IF(OR(OR($A165="",$D165=""),O165=""),"",O165-(INT($Y165/18)+IF(INDEX('Tournament Setup'!$AM:$AM,MATCH($A165,'Tournament Setup'!$A:$A,0))&lt;=MOD($Y165,18),1,0)))</f>
      </c>
      <c r="AJ165" t="e">
        <f>IF(OR(OR($A165="",$D165=""),P165=""),"",P165-(INT($Y165/18)+IF(INDEX('Tournament Setup'!$AN:$AN,MATCH($A165,'Tournament Setup'!$A:$A,0))&lt;=MOD($Y165,18),1,0)))</f>
      </c>
      <c r="AK165" t="e">
        <f>IF(OR(OR($A165="",$D165=""),Q165=""),"",Q165-(INT($Y165/18)+IF(INDEX('Tournament Setup'!$AO:$AO,MATCH($A165,'Tournament Setup'!$A:$A,0))&lt;=MOD($Y165,18),1,0)))</f>
      </c>
      <c r="AL165" t="e">
        <f>IF(OR(OR($A165="",$D165=""),R165=""),"",R165-(INT($Y165/18)+IF(INDEX('Tournament Setup'!$AP:$AP,MATCH($A165,'Tournament Setup'!$A:$A,0))&lt;=MOD($Y165,18),1,0)))</f>
      </c>
      <c r="AM165" t="e">
        <f>IF(OR(OR($A165="",$D165=""),S165=""),"",S165-(INT($Y165/18)+IF(INDEX('Tournament Setup'!$AQ:$AQ,MATCH($A165,'Tournament Setup'!$A:$A,0))&lt;=MOD($Y165,18),1,0)))</f>
      </c>
      <c r="AN165" t="e">
        <f>IF(OR(OR($A165="",$D165=""),T165=""),"",T165-(INT($Y165/18)+IF(INDEX('Tournament Setup'!$AR:$AR,MATCH($A165,'Tournament Setup'!$A:$A,0))&lt;=MOD($Y165,18),1,0)))</f>
      </c>
      <c r="AO165" t="e">
        <f>IF(OR(OR($A165="",$D165=""),U165=""),"",U165-(INT($Y165/18)+IF(INDEX('Tournament Setup'!$AS:$AS,MATCH($A165,'Tournament Setup'!$A:$A,0))&lt;=MOD($Y165,18),1,0)))</f>
      </c>
      <c r="AP165" t="e">
        <f>IF(OR(OR($A165="",$D165=""),V165=""),"",V165-(INT($Y165/18)+IF(INDEX('Tournament Setup'!$AT:$AT,MATCH($A165,'Tournament Setup'!$A:$A,0))&lt;=MOD($Y165,18),1,0)))</f>
      </c>
      <c r="AQ165" t="e">
        <f>IF(OR(OR($A165="",$D165=""),W165=""),"",W165-(INT($Y165/18)+IF(INDEX('Tournament Setup'!$AU:$AU,MATCH($A165,'Tournament Setup'!$A:$A,0))&lt;=MOD($Y165,18),1,0)))</f>
      </c>
    </row>
    <row r="166">
      <c r="X166" t="e">
        <f>IF(OR($A166="",$D166=""),"",SUM(F166:W166))</f>
      </c>
      <c r="Y166" t="e">
        <f>IF(OR($A166="",$D166=""),"",IF(INDEX('Tournament Setup'!$F:$F,MATCH($A166,'Tournament Setup'!$A:$A,0))="Net",ROUND(($E166-_xlfn.MINIFS($E$2:$E$401,$A$2:$A$401,$A166,$B$2:$B$401,$B166))*INDEX('Tournament Setup'!$G:$G,MATCH($A166,'Tournament Setup'!$A:$A,0))/100,0),0))</f>
      </c>
      <c r="Z166" t="e">
        <f>IF(OR(OR($A166="",$D166=""),F166=""),"",F166-(INT($Y166/18)+IF(INDEX('Tournament Setup'!$AD:$AD,MATCH($A166,'Tournament Setup'!$A:$A,0))&lt;=MOD($Y166,18),1,0)))</f>
      </c>
      <c r="AA166" t="e">
        <f>IF(OR(OR($A166="",$D166=""),G166=""),"",G166-(INT($Y166/18)+IF(INDEX('Tournament Setup'!$AE:$AE,MATCH($A166,'Tournament Setup'!$A:$A,0))&lt;=MOD($Y166,18),1,0)))</f>
      </c>
      <c r="AB166" t="e">
        <f>IF(OR(OR($A166="",$D166=""),H166=""),"",H166-(INT($Y166/18)+IF(INDEX('Tournament Setup'!$AF:$AF,MATCH($A166,'Tournament Setup'!$A:$A,0))&lt;=MOD($Y166,18),1,0)))</f>
      </c>
      <c r="AC166" t="e">
        <f>IF(OR(OR($A166="",$D166=""),I166=""),"",I166-(INT($Y166/18)+IF(INDEX('Tournament Setup'!$AG:$AG,MATCH($A166,'Tournament Setup'!$A:$A,0))&lt;=MOD($Y166,18),1,0)))</f>
      </c>
      <c r="AD166" t="e">
        <f>IF(OR(OR($A166="",$D166=""),J166=""),"",J166-(INT($Y166/18)+IF(INDEX('Tournament Setup'!$AH:$AH,MATCH($A166,'Tournament Setup'!$A:$A,0))&lt;=MOD($Y166,18),1,0)))</f>
      </c>
      <c r="AE166" t="e">
        <f>IF(OR(OR($A166="",$D166=""),K166=""),"",K166-(INT($Y166/18)+IF(INDEX('Tournament Setup'!$AI:$AI,MATCH($A166,'Tournament Setup'!$A:$A,0))&lt;=MOD($Y166,18),1,0)))</f>
      </c>
      <c r="AF166" t="e">
        <f>IF(OR(OR($A166="",$D166=""),L166=""),"",L166-(INT($Y166/18)+IF(INDEX('Tournament Setup'!$AJ:$AJ,MATCH($A166,'Tournament Setup'!$A:$A,0))&lt;=MOD($Y166,18),1,0)))</f>
      </c>
      <c r="AG166" t="e">
        <f>IF(OR(OR($A166="",$D166=""),M166=""),"",M166-(INT($Y166/18)+IF(INDEX('Tournament Setup'!$AK:$AK,MATCH($A166,'Tournament Setup'!$A:$A,0))&lt;=MOD($Y166,18),1,0)))</f>
      </c>
      <c r="AH166" t="e">
        <f>IF(OR(OR($A166="",$D166=""),N166=""),"",N166-(INT($Y166/18)+IF(INDEX('Tournament Setup'!$AL:$AL,MATCH($A166,'Tournament Setup'!$A:$A,0))&lt;=MOD($Y166,18),1,0)))</f>
      </c>
      <c r="AI166" t="e">
        <f>IF(OR(OR($A166="",$D166=""),O166=""),"",O166-(INT($Y166/18)+IF(INDEX('Tournament Setup'!$AM:$AM,MATCH($A166,'Tournament Setup'!$A:$A,0))&lt;=MOD($Y166,18),1,0)))</f>
      </c>
      <c r="AJ166" t="e">
        <f>IF(OR(OR($A166="",$D166=""),P166=""),"",P166-(INT($Y166/18)+IF(INDEX('Tournament Setup'!$AN:$AN,MATCH($A166,'Tournament Setup'!$A:$A,0))&lt;=MOD($Y166,18),1,0)))</f>
      </c>
      <c r="AK166" t="e">
        <f>IF(OR(OR($A166="",$D166=""),Q166=""),"",Q166-(INT($Y166/18)+IF(INDEX('Tournament Setup'!$AO:$AO,MATCH($A166,'Tournament Setup'!$A:$A,0))&lt;=MOD($Y166,18),1,0)))</f>
      </c>
      <c r="AL166" t="e">
        <f>IF(OR(OR($A166="",$D166=""),R166=""),"",R166-(INT($Y166/18)+IF(INDEX('Tournament Setup'!$AP:$AP,MATCH($A166,'Tournament Setup'!$A:$A,0))&lt;=MOD($Y166,18),1,0)))</f>
      </c>
      <c r="AM166" t="e">
        <f>IF(OR(OR($A166="",$D166=""),S166=""),"",S166-(INT($Y166/18)+IF(INDEX('Tournament Setup'!$AQ:$AQ,MATCH($A166,'Tournament Setup'!$A:$A,0))&lt;=MOD($Y166,18),1,0)))</f>
      </c>
      <c r="AN166" t="e">
        <f>IF(OR(OR($A166="",$D166=""),T166=""),"",T166-(INT($Y166/18)+IF(INDEX('Tournament Setup'!$AR:$AR,MATCH($A166,'Tournament Setup'!$A:$A,0))&lt;=MOD($Y166,18),1,0)))</f>
      </c>
      <c r="AO166" t="e">
        <f>IF(OR(OR($A166="",$D166=""),U166=""),"",U166-(INT($Y166/18)+IF(INDEX('Tournament Setup'!$AS:$AS,MATCH($A166,'Tournament Setup'!$A:$A,0))&lt;=MOD($Y166,18),1,0)))</f>
      </c>
      <c r="AP166" t="e">
        <f>IF(OR(OR($A166="",$D166=""),V166=""),"",V166-(INT($Y166/18)+IF(INDEX('Tournament Setup'!$AT:$AT,MATCH($A166,'Tournament Setup'!$A:$A,0))&lt;=MOD($Y166,18),1,0)))</f>
      </c>
      <c r="AQ166" t="e">
        <f>IF(OR(OR($A166="",$D166=""),W166=""),"",W166-(INT($Y166/18)+IF(INDEX('Tournament Setup'!$AU:$AU,MATCH($A166,'Tournament Setup'!$A:$A,0))&lt;=MOD($Y166,18),1,0)))</f>
      </c>
    </row>
    <row r="167">
      <c r="X167" t="e">
        <f>IF(OR($A167="",$D167=""),"",SUM(F167:W167))</f>
      </c>
      <c r="Y167" t="e">
        <f>IF(OR($A167="",$D167=""),"",IF(INDEX('Tournament Setup'!$F:$F,MATCH($A167,'Tournament Setup'!$A:$A,0))="Net",ROUND(($E167-_xlfn.MINIFS($E$2:$E$401,$A$2:$A$401,$A167,$B$2:$B$401,$B167))*INDEX('Tournament Setup'!$G:$G,MATCH($A167,'Tournament Setup'!$A:$A,0))/100,0),0))</f>
      </c>
      <c r="Z167" t="e">
        <f>IF(OR(OR($A167="",$D167=""),F167=""),"",F167-(INT($Y167/18)+IF(INDEX('Tournament Setup'!$AD:$AD,MATCH($A167,'Tournament Setup'!$A:$A,0))&lt;=MOD($Y167,18),1,0)))</f>
      </c>
      <c r="AA167" t="e">
        <f>IF(OR(OR($A167="",$D167=""),G167=""),"",G167-(INT($Y167/18)+IF(INDEX('Tournament Setup'!$AE:$AE,MATCH($A167,'Tournament Setup'!$A:$A,0))&lt;=MOD($Y167,18),1,0)))</f>
      </c>
      <c r="AB167" t="e">
        <f>IF(OR(OR($A167="",$D167=""),H167=""),"",H167-(INT($Y167/18)+IF(INDEX('Tournament Setup'!$AF:$AF,MATCH($A167,'Tournament Setup'!$A:$A,0))&lt;=MOD($Y167,18),1,0)))</f>
      </c>
      <c r="AC167" t="e">
        <f>IF(OR(OR($A167="",$D167=""),I167=""),"",I167-(INT($Y167/18)+IF(INDEX('Tournament Setup'!$AG:$AG,MATCH($A167,'Tournament Setup'!$A:$A,0))&lt;=MOD($Y167,18),1,0)))</f>
      </c>
      <c r="AD167" t="e">
        <f>IF(OR(OR($A167="",$D167=""),J167=""),"",J167-(INT($Y167/18)+IF(INDEX('Tournament Setup'!$AH:$AH,MATCH($A167,'Tournament Setup'!$A:$A,0))&lt;=MOD($Y167,18),1,0)))</f>
      </c>
      <c r="AE167" t="e">
        <f>IF(OR(OR($A167="",$D167=""),K167=""),"",K167-(INT($Y167/18)+IF(INDEX('Tournament Setup'!$AI:$AI,MATCH($A167,'Tournament Setup'!$A:$A,0))&lt;=MOD($Y167,18),1,0)))</f>
      </c>
      <c r="AF167" t="e">
        <f>IF(OR(OR($A167="",$D167=""),L167=""),"",L167-(INT($Y167/18)+IF(INDEX('Tournament Setup'!$AJ:$AJ,MATCH($A167,'Tournament Setup'!$A:$A,0))&lt;=MOD($Y167,18),1,0)))</f>
      </c>
      <c r="AG167" t="e">
        <f>IF(OR(OR($A167="",$D167=""),M167=""),"",M167-(INT($Y167/18)+IF(INDEX('Tournament Setup'!$AK:$AK,MATCH($A167,'Tournament Setup'!$A:$A,0))&lt;=MOD($Y167,18),1,0)))</f>
      </c>
      <c r="AH167" t="e">
        <f>IF(OR(OR($A167="",$D167=""),N167=""),"",N167-(INT($Y167/18)+IF(INDEX('Tournament Setup'!$AL:$AL,MATCH($A167,'Tournament Setup'!$A:$A,0))&lt;=MOD($Y167,18),1,0)))</f>
      </c>
      <c r="AI167" t="e">
        <f>IF(OR(OR($A167="",$D167=""),O167=""),"",O167-(INT($Y167/18)+IF(INDEX('Tournament Setup'!$AM:$AM,MATCH($A167,'Tournament Setup'!$A:$A,0))&lt;=MOD($Y167,18),1,0)))</f>
      </c>
      <c r="AJ167" t="e">
        <f>IF(OR(OR($A167="",$D167=""),P167=""),"",P167-(INT($Y167/18)+IF(INDEX('Tournament Setup'!$AN:$AN,MATCH($A167,'Tournament Setup'!$A:$A,0))&lt;=MOD($Y167,18),1,0)))</f>
      </c>
      <c r="AK167" t="e">
        <f>IF(OR(OR($A167="",$D167=""),Q167=""),"",Q167-(INT($Y167/18)+IF(INDEX('Tournament Setup'!$AO:$AO,MATCH($A167,'Tournament Setup'!$A:$A,0))&lt;=MOD($Y167,18),1,0)))</f>
      </c>
      <c r="AL167" t="e">
        <f>IF(OR(OR($A167="",$D167=""),R167=""),"",R167-(INT($Y167/18)+IF(INDEX('Tournament Setup'!$AP:$AP,MATCH($A167,'Tournament Setup'!$A:$A,0))&lt;=MOD($Y167,18),1,0)))</f>
      </c>
      <c r="AM167" t="e">
        <f>IF(OR(OR($A167="",$D167=""),S167=""),"",S167-(INT($Y167/18)+IF(INDEX('Tournament Setup'!$AQ:$AQ,MATCH($A167,'Tournament Setup'!$A:$A,0))&lt;=MOD($Y167,18),1,0)))</f>
      </c>
      <c r="AN167" t="e">
        <f>IF(OR(OR($A167="",$D167=""),T167=""),"",T167-(INT($Y167/18)+IF(INDEX('Tournament Setup'!$AR:$AR,MATCH($A167,'Tournament Setup'!$A:$A,0))&lt;=MOD($Y167,18),1,0)))</f>
      </c>
      <c r="AO167" t="e">
        <f>IF(OR(OR($A167="",$D167=""),U167=""),"",U167-(INT($Y167/18)+IF(INDEX('Tournament Setup'!$AS:$AS,MATCH($A167,'Tournament Setup'!$A:$A,0))&lt;=MOD($Y167,18),1,0)))</f>
      </c>
      <c r="AP167" t="e">
        <f>IF(OR(OR($A167="",$D167=""),V167=""),"",V167-(INT($Y167/18)+IF(INDEX('Tournament Setup'!$AT:$AT,MATCH($A167,'Tournament Setup'!$A:$A,0))&lt;=MOD($Y167,18),1,0)))</f>
      </c>
      <c r="AQ167" t="e">
        <f>IF(OR(OR($A167="",$D167=""),W167=""),"",W167-(INT($Y167/18)+IF(INDEX('Tournament Setup'!$AU:$AU,MATCH($A167,'Tournament Setup'!$A:$A,0))&lt;=MOD($Y167,18),1,0)))</f>
      </c>
    </row>
    <row r="168">
      <c r="X168" t="e">
        <f>IF(OR($A168="",$D168=""),"",SUM(F168:W168))</f>
      </c>
      <c r="Y168" t="e">
        <f>IF(OR($A168="",$D168=""),"",IF(INDEX('Tournament Setup'!$F:$F,MATCH($A168,'Tournament Setup'!$A:$A,0))="Net",ROUND(($E168-_xlfn.MINIFS($E$2:$E$401,$A$2:$A$401,$A168,$B$2:$B$401,$B168))*INDEX('Tournament Setup'!$G:$G,MATCH($A168,'Tournament Setup'!$A:$A,0))/100,0),0))</f>
      </c>
      <c r="Z168" t="e">
        <f>IF(OR(OR($A168="",$D168=""),F168=""),"",F168-(INT($Y168/18)+IF(INDEX('Tournament Setup'!$AD:$AD,MATCH($A168,'Tournament Setup'!$A:$A,0))&lt;=MOD($Y168,18),1,0)))</f>
      </c>
      <c r="AA168" t="e">
        <f>IF(OR(OR($A168="",$D168=""),G168=""),"",G168-(INT($Y168/18)+IF(INDEX('Tournament Setup'!$AE:$AE,MATCH($A168,'Tournament Setup'!$A:$A,0))&lt;=MOD($Y168,18),1,0)))</f>
      </c>
      <c r="AB168" t="e">
        <f>IF(OR(OR($A168="",$D168=""),H168=""),"",H168-(INT($Y168/18)+IF(INDEX('Tournament Setup'!$AF:$AF,MATCH($A168,'Tournament Setup'!$A:$A,0))&lt;=MOD($Y168,18),1,0)))</f>
      </c>
      <c r="AC168" t="e">
        <f>IF(OR(OR($A168="",$D168=""),I168=""),"",I168-(INT($Y168/18)+IF(INDEX('Tournament Setup'!$AG:$AG,MATCH($A168,'Tournament Setup'!$A:$A,0))&lt;=MOD($Y168,18),1,0)))</f>
      </c>
      <c r="AD168" t="e">
        <f>IF(OR(OR($A168="",$D168=""),J168=""),"",J168-(INT($Y168/18)+IF(INDEX('Tournament Setup'!$AH:$AH,MATCH($A168,'Tournament Setup'!$A:$A,0))&lt;=MOD($Y168,18),1,0)))</f>
      </c>
      <c r="AE168" t="e">
        <f>IF(OR(OR($A168="",$D168=""),K168=""),"",K168-(INT($Y168/18)+IF(INDEX('Tournament Setup'!$AI:$AI,MATCH($A168,'Tournament Setup'!$A:$A,0))&lt;=MOD($Y168,18),1,0)))</f>
      </c>
      <c r="AF168" t="e">
        <f>IF(OR(OR($A168="",$D168=""),L168=""),"",L168-(INT($Y168/18)+IF(INDEX('Tournament Setup'!$AJ:$AJ,MATCH($A168,'Tournament Setup'!$A:$A,0))&lt;=MOD($Y168,18),1,0)))</f>
      </c>
      <c r="AG168" t="e">
        <f>IF(OR(OR($A168="",$D168=""),M168=""),"",M168-(INT($Y168/18)+IF(INDEX('Tournament Setup'!$AK:$AK,MATCH($A168,'Tournament Setup'!$A:$A,0))&lt;=MOD($Y168,18),1,0)))</f>
      </c>
      <c r="AH168" t="e">
        <f>IF(OR(OR($A168="",$D168=""),N168=""),"",N168-(INT($Y168/18)+IF(INDEX('Tournament Setup'!$AL:$AL,MATCH($A168,'Tournament Setup'!$A:$A,0))&lt;=MOD($Y168,18),1,0)))</f>
      </c>
      <c r="AI168" t="e">
        <f>IF(OR(OR($A168="",$D168=""),O168=""),"",O168-(INT($Y168/18)+IF(INDEX('Tournament Setup'!$AM:$AM,MATCH($A168,'Tournament Setup'!$A:$A,0))&lt;=MOD($Y168,18),1,0)))</f>
      </c>
      <c r="AJ168" t="e">
        <f>IF(OR(OR($A168="",$D168=""),P168=""),"",P168-(INT($Y168/18)+IF(INDEX('Tournament Setup'!$AN:$AN,MATCH($A168,'Tournament Setup'!$A:$A,0))&lt;=MOD($Y168,18),1,0)))</f>
      </c>
      <c r="AK168" t="e">
        <f>IF(OR(OR($A168="",$D168=""),Q168=""),"",Q168-(INT($Y168/18)+IF(INDEX('Tournament Setup'!$AO:$AO,MATCH($A168,'Tournament Setup'!$A:$A,0))&lt;=MOD($Y168,18),1,0)))</f>
      </c>
      <c r="AL168" t="e">
        <f>IF(OR(OR($A168="",$D168=""),R168=""),"",R168-(INT($Y168/18)+IF(INDEX('Tournament Setup'!$AP:$AP,MATCH($A168,'Tournament Setup'!$A:$A,0))&lt;=MOD($Y168,18),1,0)))</f>
      </c>
      <c r="AM168" t="e">
        <f>IF(OR(OR($A168="",$D168=""),S168=""),"",S168-(INT($Y168/18)+IF(INDEX('Tournament Setup'!$AQ:$AQ,MATCH($A168,'Tournament Setup'!$A:$A,0))&lt;=MOD($Y168,18),1,0)))</f>
      </c>
      <c r="AN168" t="e">
        <f>IF(OR(OR($A168="",$D168=""),T168=""),"",T168-(INT($Y168/18)+IF(INDEX('Tournament Setup'!$AR:$AR,MATCH($A168,'Tournament Setup'!$A:$A,0))&lt;=MOD($Y168,18),1,0)))</f>
      </c>
      <c r="AO168" t="e">
        <f>IF(OR(OR($A168="",$D168=""),U168=""),"",U168-(INT($Y168/18)+IF(INDEX('Tournament Setup'!$AS:$AS,MATCH($A168,'Tournament Setup'!$A:$A,0))&lt;=MOD($Y168,18),1,0)))</f>
      </c>
      <c r="AP168" t="e">
        <f>IF(OR(OR($A168="",$D168=""),V168=""),"",V168-(INT($Y168/18)+IF(INDEX('Tournament Setup'!$AT:$AT,MATCH($A168,'Tournament Setup'!$A:$A,0))&lt;=MOD($Y168,18),1,0)))</f>
      </c>
      <c r="AQ168" t="e">
        <f>IF(OR(OR($A168="",$D168=""),W168=""),"",W168-(INT($Y168/18)+IF(INDEX('Tournament Setup'!$AU:$AU,MATCH($A168,'Tournament Setup'!$A:$A,0))&lt;=MOD($Y168,18),1,0)))</f>
      </c>
    </row>
    <row r="169">
      <c r="X169" t="e">
        <f>IF(OR($A169="",$D169=""),"",SUM(F169:W169))</f>
      </c>
      <c r="Y169" t="e">
        <f>IF(OR($A169="",$D169=""),"",IF(INDEX('Tournament Setup'!$F:$F,MATCH($A169,'Tournament Setup'!$A:$A,0))="Net",ROUND(($E169-_xlfn.MINIFS($E$2:$E$401,$A$2:$A$401,$A169,$B$2:$B$401,$B169))*INDEX('Tournament Setup'!$G:$G,MATCH($A169,'Tournament Setup'!$A:$A,0))/100,0),0))</f>
      </c>
      <c r="Z169" t="e">
        <f>IF(OR(OR($A169="",$D169=""),F169=""),"",F169-(INT($Y169/18)+IF(INDEX('Tournament Setup'!$AD:$AD,MATCH($A169,'Tournament Setup'!$A:$A,0))&lt;=MOD($Y169,18),1,0)))</f>
      </c>
      <c r="AA169" t="e">
        <f>IF(OR(OR($A169="",$D169=""),G169=""),"",G169-(INT($Y169/18)+IF(INDEX('Tournament Setup'!$AE:$AE,MATCH($A169,'Tournament Setup'!$A:$A,0))&lt;=MOD($Y169,18),1,0)))</f>
      </c>
      <c r="AB169" t="e">
        <f>IF(OR(OR($A169="",$D169=""),H169=""),"",H169-(INT($Y169/18)+IF(INDEX('Tournament Setup'!$AF:$AF,MATCH($A169,'Tournament Setup'!$A:$A,0))&lt;=MOD($Y169,18),1,0)))</f>
      </c>
      <c r="AC169" t="e">
        <f>IF(OR(OR($A169="",$D169=""),I169=""),"",I169-(INT($Y169/18)+IF(INDEX('Tournament Setup'!$AG:$AG,MATCH($A169,'Tournament Setup'!$A:$A,0))&lt;=MOD($Y169,18),1,0)))</f>
      </c>
      <c r="AD169" t="e">
        <f>IF(OR(OR($A169="",$D169=""),J169=""),"",J169-(INT($Y169/18)+IF(INDEX('Tournament Setup'!$AH:$AH,MATCH($A169,'Tournament Setup'!$A:$A,0))&lt;=MOD($Y169,18),1,0)))</f>
      </c>
      <c r="AE169" t="e">
        <f>IF(OR(OR($A169="",$D169=""),K169=""),"",K169-(INT($Y169/18)+IF(INDEX('Tournament Setup'!$AI:$AI,MATCH($A169,'Tournament Setup'!$A:$A,0))&lt;=MOD($Y169,18),1,0)))</f>
      </c>
      <c r="AF169" t="e">
        <f>IF(OR(OR($A169="",$D169=""),L169=""),"",L169-(INT($Y169/18)+IF(INDEX('Tournament Setup'!$AJ:$AJ,MATCH($A169,'Tournament Setup'!$A:$A,0))&lt;=MOD($Y169,18),1,0)))</f>
      </c>
      <c r="AG169" t="e">
        <f>IF(OR(OR($A169="",$D169=""),M169=""),"",M169-(INT($Y169/18)+IF(INDEX('Tournament Setup'!$AK:$AK,MATCH($A169,'Tournament Setup'!$A:$A,0))&lt;=MOD($Y169,18),1,0)))</f>
      </c>
      <c r="AH169" t="e">
        <f>IF(OR(OR($A169="",$D169=""),N169=""),"",N169-(INT($Y169/18)+IF(INDEX('Tournament Setup'!$AL:$AL,MATCH($A169,'Tournament Setup'!$A:$A,0))&lt;=MOD($Y169,18),1,0)))</f>
      </c>
      <c r="AI169" t="e">
        <f>IF(OR(OR($A169="",$D169=""),O169=""),"",O169-(INT($Y169/18)+IF(INDEX('Tournament Setup'!$AM:$AM,MATCH($A169,'Tournament Setup'!$A:$A,0))&lt;=MOD($Y169,18),1,0)))</f>
      </c>
      <c r="AJ169" t="e">
        <f>IF(OR(OR($A169="",$D169=""),P169=""),"",P169-(INT($Y169/18)+IF(INDEX('Tournament Setup'!$AN:$AN,MATCH($A169,'Tournament Setup'!$A:$A,0))&lt;=MOD($Y169,18),1,0)))</f>
      </c>
      <c r="AK169" t="e">
        <f>IF(OR(OR($A169="",$D169=""),Q169=""),"",Q169-(INT($Y169/18)+IF(INDEX('Tournament Setup'!$AO:$AO,MATCH($A169,'Tournament Setup'!$A:$A,0))&lt;=MOD($Y169,18),1,0)))</f>
      </c>
      <c r="AL169" t="e">
        <f>IF(OR(OR($A169="",$D169=""),R169=""),"",R169-(INT($Y169/18)+IF(INDEX('Tournament Setup'!$AP:$AP,MATCH($A169,'Tournament Setup'!$A:$A,0))&lt;=MOD($Y169,18),1,0)))</f>
      </c>
      <c r="AM169" t="e">
        <f>IF(OR(OR($A169="",$D169=""),S169=""),"",S169-(INT($Y169/18)+IF(INDEX('Tournament Setup'!$AQ:$AQ,MATCH($A169,'Tournament Setup'!$A:$A,0))&lt;=MOD($Y169,18),1,0)))</f>
      </c>
      <c r="AN169" t="e">
        <f>IF(OR(OR($A169="",$D169=""),T169=""),"",T169-(INT($Y169/18)+IF(INDEX('Tournament Setup'!$AR:$AR,MATCH($A169,'Tournament Setup'!$A:$A,0))&lt;=MOD($Y169,18),1,0)))</f>
      </c>
      <c r="AO169" t="e">
        <f>IF(OR(OR($A169="",$D169=""),U169=""),"",U169-(INT($Y169/18)+IF(INDEX('Tournament Setup'!$AS:$AS,MATCH($A169,'Tournament Setup'!$A:$A,0))&lt;=MOD($Y169,18),1,0)))</f>
      </c>
      <c r="AP169" t="e">
        <f>IF(OR(OR($A169="",$D169=""),V169=""),"",V169-(INT($Y169/18)+IF(INDEX('Tournament Setup'!$AT:$AT,MATCH($A169,'Tournament Setup'!$A:$A,0))&lt;=MOD($Y169,18),1,0)))</f>
      </c>
      <c r="AQ169" t="e">
        <f>IF(OR(OR($A169="",$D169=""),W169=""),"",W169-(INT($Y169/18)+IF(INDEX('Tournament Setup'!$AU:$AU,MATCH($A169,'Tournament Setup'!$A:$A,0))&lt;=MOD($Y169,18),1,0)))</f>
      </c>
    </row>
    <row r="170">
      <c r="X170" t="e">
        <f>IF(OR($A170="",$D170=""),"",SUM(F170:W170))</f>
      </c>
      <c r="Y170" t="e">
        <f>IF(OR($A170="",$D170=""),"",IF(INDEX('Tournament Setup'!$F:$F,MATCH($A170,'Tournament Setup'!$A:$A,0))="Net",ROUND(($E170-_xlfn.MINIFS($E$2:$E$401,$A$2:$A$401,$A170,$B$2:$B$401,$B170))*INDEX('Tournament Setup'!$G:$G,MATCH($A170,'Tournament Setup'!$A:$A,0))/100,0),0))</f>
      </c>
      <c r="Z170" t="e">
        <f>IF(OR(OR($A170="",$D170=""),F170=""),"",F170-(INT($Y170/18)+IF(INDEX('Tournament Setup'!$AD:$AD,MATCH($A170,'Tournament Setup'!$A:$A,0))&lt;=MOD($Y170,18),1,0)))</f>
      </c>
      <c r="AA170" t="e">
        <f>IF(OR(OR($A170="",$D170=""),G170=""),"",G170-(INT($Y170/18)+IF(INDEX('Tournament Setup'!$AE:$AE,MATCH($A170,'Tournament Setup'!$A:$A,0))&lt;=MOD($Y170,18),1,0)))</f>
      </c>
      <c r="AB170" t="e">
        <f>IF(OR(OR($A170="",$D170=""),H170=""),"",H170-(INT($Y170/18)+IF(INDEX('Tournament Setup'!$AF:$AF,MATCH($A170,'Tournament Setup'!$A:$A,0))&lt;=MOD($Y170,18),1,0)))</f>
      </c>
      <c r="AC170" t="e">
        <f>IF(OR(OR($A170="",$D170=""),I170=""),"",I170-(INT($Y170/18)+IF(INDEX('Tournament Setup'!$AG:$AG,MATCH($A170,'Tournament Setup'!$A:$A,0))&lt;=MOD($Y170,18),1,0)))</f>
      </c>
      <c r="AD170" t="e">
        <f>IF(OR(OR($A170="",$D170=""),J170=""),"",J170-(INT($Y170/18)+IF(INDEX('Tournament Setup'!$AH:$AH,MATCH($A170,'Tournament Setup'!$A:$A,0))&lt;=MOD($Y170,18),1,0)))</f>
      </c>
      <c r="AE170" t="e">
        <f>IF(OR(OR($A170="",$D170=""),K170=""),"",K170-(INT($Y170/18)+IF(INDEX('Tournament Setup'!$AI:$AI,MATCH($A170,'Tournament Setup'!$A:$A,0))&lt;=MOD($Y170,18),1,0)))</f>
      </c>
      <c r="AF170" t="e">
        <f>IF(OR(OR($A170="",$D170=""),L170=""),"",L170-(INT($Y170/18)+IF(INDEX('Tournament Setup'!$AJ:$AJ,MATCH($A170,'Tournament Setup'!$A:$A,0))&lt;=MOD($Y170,18),1,0)))</f>
      </c>
      <c r="AG170" t="e">
        <f>IF(OR(OR($A170="",$D170=""),M170=""),"",M170-(INT($Y170/18)+IF(INDEX('Tournament Setup'!$AK:$AK,MATCH($A170,'Tournament Setup'!$A:$A,0))&lt;=MOD($Y170,18),1,0)))</f>
      </c>
      <c r="AH170" t="e">
        <f>IF(OR(OR($A170="",$D170=""),N170=""),"",N170-(INT($Y170/18)+IF(INDEX('Tournament Setup'!$AL:$AL,MATCH($A170,'Tournament Setup'!$A:$A,0))&lt;=MOD($Y170,18),1,0)))</f>
      </c>
      <c r="AI170" t="e">
        <f>IF(OR(OR($A170="",$D170=""),O170=""),"",O170-(INT($Y170/18)+IF(INDEX('Tournament Setup'!$AM:$AM,MATCH($A170,'Tournament Setup'!$A:$A,0))&lt;=MOD($Y170,18),1,0)))</f>
      </c>
      <c r="AJ170" t="e">
        <f>IF(OR(OR($A170="",$D170=""),P170=""),"",P170-(INT($Y170/18)+IF(INDEX('Tournament Setup'!$AN:$AN,MATCH($A170,'Tournament Setup'!$A:$A,0))&lt;=MOD($Y170,18),1,0)))</f>
      </c>
      <c r="AK170" t="e">
        <f>IF(OR(OR($A170="",$D170=""),Q170=""),"",Q170-(INT($Y170/18)+IF(INDEX('Tournament Setup'!$AO:$AO,MATCH($A170,'Tournament Setup'!$A:$A,0))&lt;=MOD($Y170,18),1,0)))</f>
      </c>
      <c r="AL170" t="e">
        <f>IF(OR(OR($A170="",$D170=""),R170=""),"",R170-(INT($Y170/18)+IF(INDEX('Tournament Setup'!$AP:$AP,MATCH($A170,'Tournament Setup'!$A:$A,0))&lt;=MOD($Y170,18),1,0)))</f>
      </c>
      <c r="AM170" t="e">
        <f>IF(OR(OR($A170="",$D170=""),S170=""),"",S170-(INT($Y170/18)+IF(INDEX('Tournament Setup'!$AQ:$AQ,MATCH($A170,'Tournament Setup'!$A:$A,0))&lt;=MOD($Y170,18),1,0)))</f>
      </c>
      <c r="AN170" t="e">
        <f>IF(OR(OR($A170="",$D170=""),T170=""),"",T170-(INT($Y170/18)+IF(INDEX('Tournament Setup'!$AR:$AR,MATCH($A170,'Tournament Setup'!$A:$A,0))&lt;=MOD($Y170,18),1,0)))</f>
      </c>
      <c r="AO170" t="e">
        <f>IF(OR(OR($A170="",$D170=""),U170=""),"",U170-(INT($Y170/18)+IF(INDEX('Tournament Setup'!$AS:$AS,MATCH($A170,'Tournament Setup'!$A:$A,0))&lt;=MOD($Y170,18),1,0)))</f>
      </c>
      <c r="AP170" t="e">
        <f>IF(OR(OR($A170="",$D170=""),V170=""),"",V170-(INT($Y170/18)+IF(INDEX('Tournament Setup'!$AT:$AT,MATCH($A170,'Tournament Setup'!$A:$A,0))&lt;=MOD($Y170,18),1,0)))</f>
      </c>
      <c r="AQ170" t="e">
        <f>IF(OR(OR($A170="",$D170=""),W170=""),"",W170-(INT($Y170/18)+IF(INDEX('Tournament Setup'!$AU:$AU,MATCH($A170,'Tournament Setup'!$A:$A,0))&lt;=MOD($Y170,18),1,0)))</f>
      </c>
    </row>
    <row r="171">
      <c r="X171" t="e">
        <f>IF(OR($A171="",$D171=""),"",SUM(F171:W171))</f>
      </c>
      <c r="Y171" t="e">
        <f>IF(OR($A171="",$D171=""),"",IF(INDEX('Tournament Setup'!$F:$F,MATCH($A171,'Tournament Setup'!$A:$A,0))="Net",ROUND(($E171-_xlfn.MINIFS($E$2:$E$401,$A$2:$A$401,$A171,$B$2:$B$401,$B171))*INDEX('Tournament Setup'!$G:$G,MATCH($A171,'Tournament Setup'!$A:$A,0))/100,0),0))</f>
      </c>
      <c r="Z171" t="e">
        <f>IF(OR(OR($A171="",$D171=""),F171=""),"",F171-(INT($Y171/18)+IF(INDEX('Tournament Setup'!$AD:$AD,MATCH($A171,'Tournament Setup'!$A:$A,0))&lt;=MOD($Y171,18),1,0)))</f>
      </c>
      <c r="AA171" t="e">
        <f>IF(OR(OR($A171="",$D171=""),G171=""),"",G171-(INT($Y171/18)+IF(INDEX('Tournament Setup'!$AE:$AE,MATCH($A171,'Tournament Setup'!$A:$A,0))&lt;=MOD($Y171,18),1,0)))</f>
      </c>
      <c r="AB171" t="e">
        <f>IF(OR(OR($A171="",$D171=""),H171=""),"",H171-(INT($Y171/18)+IF(INDEX('Tournament Setup'!$AF:$AF,MATCH($A171,'Tournament Setup'!$A:$A,0))&lt;=MOD($Y171,18),1,0)))</f>
      </c>
      <c r="AC171" t="e">
        <f>IF(OR(OR($A171="",$D171=""),I171=""),"",I171-(INT($Y171/18)+IF(INDEX('Tournament Setup'!$AG:$AG,MATCH($A171,'Tournament Setup'!$A:$A,0))&lt;=MOD($Y171,18),1,0)))</f>
      </c>
      <c r="AD171" t="e">
        <f>IF(OR(OR($A171="",$D171=""),J171=""),"",J171-(INT($Y171/18)+IF(INDEX('Tournament Setup'!$AH:$AH,MATCH($A171,'Tournament Setup'!$A:$A,0))&lt;=MOD($Y171,18),1,0)))</f>
      </c>
      <c r="AE171" t="e">
        <f>IF(OR(OR($A171="",$D171=""),K171=""),"",K171-(INT($Y171/18)+IF(INDEX('Tournament Setup'!$AI:$AI,MATCH($A171,'Tournament Setup'!$A:$A,0))&lt;=MOD($Y171,18),1,0)))</f>
      </c>
      <c r="AF171" t="e">
        <f>IF(OR(OR($A171="",$D171=""),L171=""),"",L171-(INT($Y171/18)+IF(INDEX('Tournament Setup'!$AJ:$AJ,MATCH($A171,'Tournament Setup'!$A:$A,0))&lt;=MOD($Y171,18),1,0)))</f>
      </c>
      <c r="AG171" t="e">
        <f>IF(OR(OR($A171="",$D171=""),M171=""),"",M171-(INT($Y171/18)+IF(INDEX('Tournament Setup'!$AK:$AK,MATCH($A171,'Tournament Setup'!$A:$A,0))&lt;=MOD($Y171,18),1,0)))</f>
      </c>
      <c r="AH171" t="e">
        <f>IF(OR(OR($A171="",$D171=""),N171=""),"",N171-(INT($Y171/18)+IF(INDEX('Tournament Setup'!$AL:$AL,MATCH($A171,'Tournament Setup'!$A:$A,0))&lt;=MOD($Y171,18),1,0)))</f>
      </c>
      <c r="AI171" t="e">
        <f>IF(OR(OR($A171="",$D171=""),O171=""),"",O171-(INT($Y171/18)+IF(INDEX('Tournament Setup'!$AM:$AM,MATCH($A171,'Tournament Setup'!$A:$A,0))&lt;=MOD($Y171,18),1,0)))</f>
      </c>
      <c r="AJ171" t="e">
        <f>IF(OR(OR($A171="",$D171=""),P171=""),"",P171-(INT($Y171/18)+IF(INDEX('Tournament Setup'!$AN:$AN,MATCH($A171,'Tournament Setup'!$A:$A,0))&lt;=MOD($Y171,18),1,0)))</f>
      </c>
      <c r="AK171" t="e">
        <f>IF(OR(OR($A171="",$D171=""),Q171=""),"",Q171-(INT($Y171/18)+IF(INDEX('Tournament Setup'!$AO:$AO,MATCH($A171,'Tournament Setup'!$A:$A,0))&lt;=MOD($Y171,18),1,0)))</f>
      </c>
      <c r="AL171" t="e">
        <f>IF(OR(OR($A171="",$D171=""),R171=""),"",R171-(INT($Y171/18)+IF(INDEX('Tournament Setup'!$AP:$AP,MATCH($A171,'Tournament Setup'!$A:$A,0))&lt;=MOD($Y171,18),1,0)))</f>
      </c>
      <c r="AM171" t="e">
        <f>IF(OR(OR($A171="",$D171=""),S171=""),"",S171-(INT($Y171/18)+IF(INDEX('Tournament Setup'!$AQ:$AQ,MATCH($A171,'Tournament Setup'!$A:$A,0))&lt;=MOD($Y171,18),1,0)))</f>
      </c>
      <c r="AN171" t="e">
        <f>IF(OR(OR($A171="",$D171=""),T171=""),"",T171-(INT($Y171/18)+IF(INDEX('Tournament Setup'!$AR:$AR,MATCH($A171,'Tournament Setup'!$A:$A,0))&lt;=MOD($Y171,18),1,0)))</f>
      </c>
      <c r="AO171" t="e">
        <f>IF(OR(OR($A171="",$D171=""),U171=""),"",U171-(INT($Y171/18)+IF(INDEX('Tournament Setup'!$AS:$AS,MATCH($A171,'Tournament Setup'!$A:$A,0))&lt;=MOD($Y171,18),1,0)))</f>
      </c>
      <c r="AP171" t="e">
        <f>IF(OR(OR($A171="",$D171=""),V171=""),"",V171-(INT($Y171/18)+IF(INDEX('Tournament Setup'!$AT:$AT,MATCH($A171,'Tournament Setup'!$A:$A,0))&lt;=MOD($Y171,18),1,0)))</f>
      </c>
      <c r="AQ171" t="e">
        <f>IF(OR(OR($A171="",$D171=""),W171=""),"",W171-(INT($Y171/18)+IF(INDEX('Tournament Setup'!$AU:$AU,MATCH($A171,'Tournament Setup'!$A:$A,0))&lt;=MOD($Y171,18),1,0)))</f>
      </c>
    </row>
    <row r="172">
      <c r="X172" t="e">
        <f>IF(OR($A172="",$D172=""),"",SUM(F172:W172))</f>
      </c>
      <c r="Y172" t="e">
        <f>IF(OR($A172="",$D172=""),"",IF(INDEX('Tournament Setup'!$F:$F,MATCH($A172,'Tournament Setup'!$A:$A,0))="Net",ROUND(($E172-_xlfn.MINIFS($E$2:$E$401,$A$2:$A$401,$A172,$B$2:$B$401,$B172))*INDEX('Tournament Setup'!$G:$G,MATCH($A172,'Tournament Setup'!$A:$A,0))/100,0),0))</f>
      </c>
      <c r="Z172" t="e">
        <f>IF(OR(OR($A172="",$D172=""),F172=""),"",F172-(INT($Y172/18)+IF(INDEX('Tournament Setup'!$AD:$AD,MATCH($A172,'Tournament Setup'!$A:$A,0))&lt;=MOD($Y172,18),1,0)))</f>
      </c>
      <c r="AA172" t="e">
        <f>IF(OR(OR($A172="",$D172=""),G172=""),"",G172-(INT($Y172/18)+IF(INDEX('Tournament Setup'!$AE:$AE,MATCH($A172,'Tournament Setup'!$A:$A,0))&lt;=MOD($Y172,18),1,0)))</f>
      </c>
      <c r="AB172" t="e">
        <f>IF(OR(OR($A172="",$D172=""),H172=""),"",H172-(INT($Y172/18)+IF(INDEX('Tournament Setup'!$AF:$AF,MATCH($A172,'Tournament Setup'!$A:$A,0))&lt;=MOD($Y172,18),1,0)))</f>
      </c>
      <c r="AC172" t="e">
        <f>IF(OR(OR($A172="",$D172=""),I172=""),"",I172-(INT($Y172/18)+IF(INDEX('Tournament Setup'!$AG:$AG,MATCH($A172,'Tournament Setup'!$A:$A,0))&lt;=MOD($Y172,18),1,0)))</f>
      </c>
      <c r="AD172" t="e">
        <f>IF(OR(OR($A172="",$D172=""),J172=""),"",J172-(INT($Y172/18)+IF(INDEX('Tournament Setup'!$AH:$AH,MATCH($A172,'Tournament Setup'!$A:$A,0))&lt;=MOD($Y172,18),1,0)))</f>
      </c>
      <c r="AE172" t="e">
        <f>IF(OR(OR($A172="",$D172=""),K172=""),"",K172-(INT($Y172/18)+IF(INDEX('Tournament Setup'!$AI:$AI,MATCH($A172,'Tournament Setup'!$A:$A,0))&lt;=MOD($Y172,18),1,0)))</f>
      </c>
      <c r="AF172" t="e">
        <f>IF(OR(OR($A172="",$D172=""),L172=""),"",L172-(INT($Y172/18)+IF(INDEX('Tournament Setup'!$AJ:$AJ,MATCH($A172,'Tournament Setup'!$A:$A,0))&lt;=MOD($Y172,18),1,0)))</f>
      </c>
      <c r="AG172" t="e">
        <f>IF(OR(OR($A172="",$D172=""),M172=""),"",M172-(INT($Y172/18)+IF(INDEX('Tournament Setup'!$AK:$AK,MATCH($A172,'Tournament Setup'!$A:$A,0))&lt;=MOD($Y172,18),1,0)))</f>
      </c>
      <c r="AH172" t="e">
        <f>IF(OR(OR($A172="",$D172=""),N172=""),"",N172-(INT($Y172/18)+IF(INDEX('Tournament Setup'!$AL:$AL,MATCH($A172,'Tournament Setup'!$A:$A,0))&lt;=MOD($Y172,18),1,0)))</f>
      </c>
      <c r="AI172" t="e">
        <f>IF(OR(OR($A172="",$D172=""),O172=""),"",O172-(INT($Y172/18)+IF(INDEX('Tournament Setup'!$AM:$AM,MATCH($A172,'Tournament Setup'!$A:$A,0))&lt;=MOD($Y172,18),1,0)))</f>
      </c>
      <c r="AJ172" t="e">
        <f>IF(OR(OR($A172="",$D172=""),P172=""),"",P172-(INT($Y172/18)+IF(INDEX('Tournament Setup'!$AN:$AN,MATCH($A172,'Tournament Setup'!$A:$A,0))&lt;=MOD($Y172,18),1,0)))</f>
      </c>
      <c r="AK172" t="e">
        <f>IF(OR(OR($A172="",$D172=""),Q172=""),"",Q172-(INT($Y172/18)+IF(INDEX('Tournament Setup'!$AO:$AO,MATCH($A172,'Tournament Setup'!$A:$A,0))&lt;=MOD($Y172,18),1,0)))</f>
      </c>
      <c r="AL172" t="e">
        <f>IF(OR(OR($A172="",$D172=""),R172=""),"",R172-(INT($Y172/18)+IF(INDEX('Tournament Setup'!$AP:$AP,MATCH($A172,'Tournament Setup'!$A:$A,0))&lt;=MOD($Y172,18),1,0)))</f>
      </c>
      <c r="AM172" t="e">
        <f>IF(OR(OR($A172="",$D172=""),S172=""),"",S172-(INT($Y172/18)+IF(INDEX('Tournament Setup'!$AQ:$AQ,MATCH($A172,'Tournament Setup'!$A:$A,0))&lt;=MOD($Y172,18),1,0)))</f>
      </c>
      <c r="AN172" t="e">
        <f>IF(OR(OR($A172="",$D172=""),T172=""),"",T172-(INT($Y172/18)+IF(INDEX('Tournament Setup'!$AR:$AR,MATCH($A172,'Tournament Setup'!$A:$A,0))&lt;=MOD($Y172,18),1,0)))</f>
      </c>
      <c r="AO172" t="e">
        <f>IF(OR(OR($A172="",$D172=""),U172=""),"",U172-(INT($Y172/18)+IF(INDEX('Tournament Setup'!$AS:$AS,MATCH($A172,'Tournament Setup'!$A:$A,0))&lt;=MOD($Y172,18),1,0)))</f>
      </c>
      <c r="AP172" t="e">
        <f>IF(OR(OR($A172="",$D172=""),V172=""),"",V172-(INT($Y172/18)+IF(INDEX('Tournament Setup'!$AT:$AT,MATCH($A172,'Tournament Setup'!$A:$A,0))&lt;=MOD($Y172,18),1,0)))</f>
      </c>
      <c r="AQ172" t="e">
        <f>IF(OR(OR($A172="",$D172=""),W172=""),"",W172-(INT($Y172/18)+IF(INDEX('Tournament Setup'!$AU:$AU,MATCH($A172,'Tournament Setup'!$A:$A,0))&lt;=MOD($Y172,18),1,0)))</f>
      </c>
    </row>
    <row r="173">
      <c r="X173" t="e">
        <f>IF(OR($A173="",$D173=""),"",SUM(F173:W173))</f>
      </c>
      <c r="Y173" t="e">
        <f>IF(OR($A173="",$D173=""),"",IF(INDEX('Tournament Setup'!$F:$F,MATCH($A173,'Tournament Setup'!$A:$A,0))="Net",ROUND(($E173-_xlfn.MINIFS($E$2:$E$401,$A$2:$A$401,$A173,$B$2:$B$401,$B173))*INDEX('Tournament Setup'!$G:$G,MATCH($A173,'Tournament Setup'!$A:$A,0))/100,0),0))</f>
      </c>
      <c r="Z173" t="e">
        <f>IF(OR(OR($A173="",$D173=""),F173=""),"",F173-(INT($Y173/18)+IF(INDEX('Tournament Setup'!$AD:$AD,MATCH($A173,'Tournament Setup'!$A:$A,0))&lt;=MOD($Y173,18),1,0)))</f>
      </c>
      <c r="AA173" t="e">
        <f>IF(OR(OR($A173="",$D173=""),G173=""),"",G173-(INT($Y173/18)+IF(INDEX('Tournament Setup'!$AE:$AE,MATCH($A173,'Tournament Setup'!$A:$A,0))&lt;=MOD($Y173,18),1,0)))</f>
      </c>
      <c r="AB173" t="e">
        <f>IF(OR(OR($A173="",$D173=""),H173=""),"",H173-(INT($Y173/18)+IF(INDEX('Tournament Setup'!$AF:$AF,MATCH($A173,'Tournament Setup'!$A:$A,0))&lt;=MOD($Y173,18),1,0)))</f>
      </c>
      <c r="AC173" t="e">
        <f>IF(OR(OR($A173="",$D173=""),I173=""),"",I173-(INT($Y173/18)+IF(INDEX('Tournament Setup'!$AG:$AG,MATCH($A173,'Tournament Setup'!$A:$A,0))&lt;=MOD($Y173,18),1,0)))</f>
      </c>
      <c r="AD173" t="e">
        <f>IF(OR(OR($A173="",$D173=""),J173=""),"",J173-(INT($Y173/18)+IF(INDEX('Tournament Setup'!$AH:$AH,MATCH($A173,'Tournament Setup'!$A:$A,0))&lt;=MOD($Y173,18),1,0)))</f>
      </c>
      <c r="AE173" t="e">
        <f>IF(OR(OR($A173="",$D173=""),K173=""),"",K173-(INT($Y173/18)+IF(INDEX('Tournament Setup'!$AI:$AI,MATCH($A173,'Tournament Setup'!$A:$A,0))&lt;=MOD($Y173,18),1,0)))</f>
      </c>
      <c r="AF173" t="e">
        <f>IF(OR(OR($A173="",$D173=""),L173=""),"",L173-(INT($Y173/18)+IF(INDEX('Tournament Setup'!$AJ:$AJ,MATCH($A173,'Tournament Setup'!$A:$A,0))&lt;=MOD($Y173,18),1,0)))</f>
      </c>
      <c r="AG173" t="e">
        <f>IF(OR(OR($A173="",$D173=""),M173=""),"",M173-(INT($Y173/18)+IF(INDEX('Tournament Setup'!$AK:$AK,MATCH($A173,'Tournament Setup'!$A:$A,0))&lt;=MOD($Y173,18),1,0)))</f>
      </c>
      <c r="AH173" t="e">
        <f>IF(OR(OR($A173="",$D173=""),N173=""),"",N173-(INT($Y173/18)+IF(INDEX('Tournament Setup'!$AL:$AL,MATCH($A173,'Tournament Setup'!$A:$A,0))&lt;=MOD($Y173,18),1,0)))</f>
      </c>
      <c r="AI173" t="e">
        <f>IF(OR(OR($A173="",$D173=""),O173=""),"",O173-(INT($Y173/18)+IF(INDEX('Tournament Setup'!$AM:$AM,MATCH($A173,'Tournament Setup'!$A:$A,0))&lt;=MOD($Y173,18),1,0)))</f>
      </c>
      <c r="AJ173" t="e">
        <f>IF(OR(OR($A173="",$D173=""),P173=""),"",P173-(INT($Y173/18)+IF(INDEX('Tournament Setup'!$AN:$AN,MATCH($A173,'Tournament Setup'!$A:$A,0))&lt;=MOD($Y173,18),1,0)))</f>
      </c>
      <c r="AK173" t="e">
        <f>IF(OR(OR($A173="",$D173=""),Q173=""),"",Q173-(INT($Y173/18)+IF(INDEX('Tournament Setup'!$AO:$AO,MATCH($A173,'Tournament Setup'!$A:$A,0))&lt;=MOD($Y173,18),1,0)))</f>
      </c>
      <c r="AL173" t="e">
        <f>IF(OR(OR($A173="",$D173=""),R173=""),"",R173-(INT($Y173/18)+IF(INDEX('Tournament Setup'!$AP:$AP,MATCH($A173,'Tournament Setup'!$A:$A,0))&lt;=MOD($Y173,18),1,0)))</f>
      </c>
      <c r="AM173" t="e">
        <f>IF(OR(OR($A173="",$D173=""),S173=""),"",S173-(INT($Y173/18)+IF(INDEX('Tournament Setup'!$AQ:$AQ,MATCH($A173,'Tournament Setup'!$A:$A,0))&lt;=MOD($Y173,18),1,0)))</f>
      </c>
      <c r="AN173" t="e">
        <f>IF(OR(OR($A173="",$D173=""),T173=""),"",T173-(INT($Y173/18)+IF(INDEX('Tournament Setup'!$AR:$AR,MATCH($A173,'Tournament Setup'!$A:$A,0))&lt;=MOD($Y173,18),1,0)))</f>
      </c>
      <c r="AO173" t="e">
        <f>IF(OR(OR($A173="",$D173=""),U173=""),"",U173-(INT($Y173/18)+IF(INDEX('Tournament Setup'!$AS:$AS,MATCH($A173,'Tournament Setup'!$A:$A,0))&lt;=MOD($Y173,18),1,0)))</f>
      </c>
      <c r="AP173" t="e">
        <f>IF(OR(OR($A173="",$D173=""),V173=""),"",V173-(INT($Y173/18)+IF(INDEX('Tournament Setup'!$AT:$AT,MATCH($A173,'Tournament Setup'!$A:$A,0))&lt;=MOD($Y173,18),1,0)))</f>
      </c>
      <c r="AQ173" t="e">
        <f>IF(OR(OR($A173="",$D173=""),W173=""),"",W173-(INT($Y173/18)+IF(INDEX('Tournament Setup'!$AU:$AU,MATCH($A173,'Tournament Setup'!$A:$A,0))&lt;=MOD($Y173,18),1,0)))</f>
      </c>
    </row>
    <row r="174">
      <c r="X174" t="e">
        <f>IF(OR($A174="",$D174=""),"",SUM(F174:W174))</f>
      </c>
      <c r="Y174" t="e">
        <f>IF(OR($A174="",$D174=""),"",IF(INDEX('Tournament Setup'!$F:$F,MATCH($A174,'Tournament Setup'!$A:$A,0))="Net",ROUND(($E174-_xlfn.MINIFS($E$2:$E$401,$A$2:$A$401,$A174,$B$2:$B$401,$B174))*INDEX('Tournament Setup'!$G:$G,MATCH($A174,'Tournament Setup'!$A:$A,0))/100,0),0))</f>
      </c>
      <c r="Z174" t="e">
        <f>IF(OR(OR($A174="",$D174=""),F174=""),"",F174-(INT($Y174/18)+IF(INDEX('Tournament Setup'!$AD:$AD,MATCH($A174,'Tournament Setup'!$A:$A,0))&lt;=MOD($Y174,18),1,0)))</f>
      </c>
      <c r="AA174" t="e">
        <f>IF(OR(OR($A174="",$D174=""),G174=""),"",G174-(INT($Y174/18)+IF(INDEX('Tournament Setup'!$AE:$AE,MATCH($A174,'Tournament Setup'!$A:$A,0))&lt;=MOD($Y174,18),1,0)))</f>
      </c>
      <c r="AB174" t="e">
        <f>IF(OR(OR($A174="",$D174=""),H174=""),"",H174-(INT($Y174/18)+IF(INDEX('Tournament Setup'!$AF:$AF,MATCH($A174,'Tournament Setup'!$A:$A,0))&lt;=MOD($Y174,18),1,0)))</f>
      </c>
      <c r="AC174" t="e">
        <f>IF(OR(OR($A174="",$D174=""),I174=""),"",I174-(INT($Y174/18)+IF(INDEX('Tournament Setup'!$AG:$AG,MATCH($A174,'Tournament Setup'!$A:$A,0))&lt;=MOD($Y174,18),1,0)))</f>
      </c>
      <c r="AD174" t="e">
        <f>IF(OR(OR($A174="",$D174=""),J174=""),"",J174-(INT($Y174/18)+IF(INDEX('Tournament Setup'!$AH:$AH,MATCH($A174,'Tournament Setup'!$A:$A,0))&lt;=MOD($Y174,18),1,0)))</f>
      </c>
      <c r="AE174" t="e">
        <f>IF(OR(OR($A174="",$D174=""),K174=""),"",K174-(INT($Y174/18)+IF(INDEX('Tournament Setup'!$AI:$AI,MATCH($A174,'Tournament Setup'!$A:$A,0))&lt;=MOD($Y174,18),1,0)))</f>
      </c>
      <c r="AF174" t="e">
        <f>IF(OR(OR($A174="",$D174=""),L174=""),"",L174-(INT($Y174/18)+IF(INDEX('Tournament Setup'!$AJ:$AJ,MATCH($A174,'Tournament Setup'!$A:$A,0))&lt;=MOD($Y174,18),1,0)))</f>
      </c>
      <c r="AG174" t="e">
        <f>IF(OR(OR($A174="",$D174=""),M174=""),"",M174-(INT($Y174/18)+IF(INDEX('Tournament Setup'!$AK:$AK,MATCH($A174,'Tournament Setup'!$A:$A,0))&lt;=MOD($Y174,18),1,0)))</f>
      </c>
      <c r="AH174" t="e">
        <f>IF(OR(OR($A174="",$D174=""),N174=""),"",N174-(INT($Y174/18)+IF(INDEX('Tournament Setup'!$AL:$AL,MATCH($A174,'Tournament Setup'!$A:$A,0))&lt;=MOD($Y174,18),1,0)))</f>
      </c>
      <c r="AI174" t="e">
        <f>IF(OR(OR($A174="",$D174=""),O174=""),"",O174-(INT($Y174/18)+IF(INDEX('Tournament Setup'!$AM:$AM,MATCH($A174,'Tournament Setup'!$A:$A,0))&lt;=MOD($Y174,18),1,0)))</f>
      </c>
      <c r="AJ174" t="e">
        <f>IF(OR(OR($A174="",$D174=""),P174=""),"",P174-(INT($Y174/18)+IF(INDEX('Tournament Setup'!$AN:$AN,MATCH($A174,'Tournament Setup'!$A:$A,0))&lt;=MOD($Y174,18),1,0)))</f>
      </c>
      <c r="AK174" t="e">
        <f>IF(OR(OR($A174="",$D174=""),Q174=""),"",Q174-(INT($Y174/18)+IF(INDEX('Tournament Setup'!$AO:$AO,MATCH($A174,'Tournament Setup'!$A:$A,0))&lt;=MOD($Y174,18),1,0)))</f>
      </c>
      <c r="AL174" t="e">
        <f>IF(OR(OR($A174="",$D174=""),R174=""),"",R174-(INT($Y174/18)+IF(INDEX('Tournament Setup'!$AP:$AP,MATCH($A174,'Tournament Setup'!$A:$A,0))&lt;=MOD($Y174,18),1,0)))</f>
      </c>
      <c r="AM174" t="e">
        <f>IF(OR(OR($A174="",$D174=""),S174=""),"",S174-(INT($Y174/18)+IF(INDEX('Tournament Setup'!$AQ:$AQ,MATCH($A174,'Tournament Setup'!$A:$A,0))&lt;=MOD($Y174,18),1,0)))</f>
      </c>
      <c r="AN174" t="e">
        <f>IF(OR(OR($A174="",$D174=""),T174=""),"",T174-(INT($Y174/18)+IF(INDEX('Tournament Setup'!$AR:$AR,MATCH($A174,'Tournament Setup'!$A:$A,0))&lt;=MOD($Y174,18),1,0)))</f>
      </c>
      <c r="AO174" t="e">
        <f>IF(OR(OR($A174="",$D174=""),U174=""),"",U174-(INT($Y174/18)+IF(INDEX('Tournament Setup'!$AS:$AS,MATCH($A174,'Tournament Setup'!$A:$A,0))&lt;=MOD($Y174,18),1,0)))</f>
      </c>
      <c r="AP174" t="e">
        <f>IF(OR(OR($A174="",$D174=""),V174=""),"",V174-(INT($Y174/18)+IF(INDEX('Tournament Setup'!$AT:$AT,MATCH($A174,'Tournament Setup'!$A:$A,0))&lt;=MOD($Y174,18),1,0)))</f>
      </c>
      <c r="AQ174" t="e">
        <f>IF(OR(OR($A174="",$D174=""),W174=""),"",W174-(INT($Y174/18)+IF(INDEX('Tournament Setup'!$AU:$AU,MATCH($A174,'Tournament Setup'!$A:$A,0))&lt;=MOD($Y174,18),1,0)))</f>
      </c>
    </row>
    <row r="175">
      <c r="X175" t="e">
        <f>IF(OR($A175="",$D175=""),"",SUM(F175:W175))</f>
      </c>
      <c r="Y175" t="e">
        <f>IF(OR($A175="",$D175=""),"",IF(INDEX('Tournament Setup'!$F:$F,MATCH($A175,'Tournament Setup'!$A:$A,0))="Net",ROUND(($E175-_xlfn.MINIFS($E$2:$E$401,$A$2:$A$401,$A175,$B$2:$B$401,$B175))*INDEX('Tournament Setup'!$G:$G,MATCH($A175,'Tournament Setup'!$A:$A,0))/100,0),0))</f>
      </c>
      <c r="Z175" t="e">
        <f>IF(OR(OR($A175="",$D175=""),F175=""),"",F175-(INT($Y175/18)+IF(INDEX('Tournament Setup'!$AD:$AD,MATCH($A175,'Tournament Setup'!$A:$A,0))&lt;=MOD($Y175,18),1,0)))</f>
      </c>
      <c r="AA175" t="e">
        <f>IF(OR(OR($A175="",$D175=""),G175=""),"",G175-(INT($Y175/18)+IF(INDEX('Tournament Setup'!$AE:$AE,MATCH($A175,'Tournament Setup'!$A:$A,0))&lt;=MOD($Y175,18),1,0)))</f>
      </c>
      <c r="AB175" t="e">
        <f>IF(OR(OR($A175="",$D175=""),H175=""),"",H175-(INT($Y175/18)+IF(INDEX('Tournament Setup'!$AF:$AF,MATCH($A175,'Tournament Setup'!$A:$A,0))&lt;=MOD($Y175,18),1,0)))</f>
      </c>
      <c r="AC175" t="e">
        <f>IF(OR(OR($A175="",$D175=""),I175=""),"",I175-(INT($Y175/18)+IF(INDEX('Tournament Setup'!$AG:$AG,MATCH($A175,'Tournament Setup'!$A:$A,0))&lt;=MOD($Y175,18),1,0)))</f>
      </c>
      <c r="AD175" t="e">
        <f>IF(OR(OR($A175="",$D175=""),J175=""),"",J175-(INT($Y175/18)+IF(INDEX('Tournament Setup'!$AH:$AH,MATCH($A175,'Tournament Setup'!$A:$A,0))&lt;=MOD($Y175,18),1,0)))</f>
      </c>
      <c r="AE175" t="e">
        <f>IF(OR(OR($A175="",$D175=""),K175=""),"",K175-(INT($Y175/18)+IF(INDEX('Tournament Setup'!$AI:$AI,MATCH($A175,'Tournament Setup'!$A:$A,0))&lt;=MOD($Y175,18),1,0)))</f>
      </c>
      <c r="AF175" t="e">
        <f>IF(OR(OR($A175="",$D175=""),L175=""),"",L175-(INT($Y175/18)+IF(INDEX('Tournament Setup'!$AJ:$AJ,MATCH($A175,'Tournament Setup'!$A:$A,0))&lt;=MOD($Y175,18),1,0)))</f>
      </c>
      <c r="AG175" t="e">
        <f>IF(OR(OR($A175="",$D175=""),M175=""),"",M175-(INT($Y175/18)+IF(INDEX('Tournament Setup'!$AK:$AK,MATCH($A175,'Tournament Setup'!$A:$A,0))&lt;=MOD($Y175,18),1,0)))</f>
      </c>
      <c r="AH175" t="e">
        <f>IF(OR(OR($A175="",$D175=""),N175=""),"",N175-(INT($Y175/18)+IF(INDEX('Tournament Setup'!$AL:$AL,MATCH($A175,'Tournament Setup'!$A:$A,0))&lt;=MOD($Y175,18),1,0)))</f>
      </c>
      <c r="AI175" t="e">
        <f>IF(OR(OR($A175="",$D175=""),O175=""),"",O175-(INT($Y175/18)+IF(INDEX('Tournament Setup'!$AM:$AM,MATCH($A175,'Tournament Setup'!$A:$A,0))&lt;=MOD($Y175,18),1,0)))</f>
      </c>
      <c r="AJ175" t="e">
        <f>IF(OR(OR($A175="",$D175=""),P175=""),"",P175-(INT($Y175/18)+IF(INDEX('Tournament Setup'!$AN:$AN,MATCH($A175,'Tournament Setup'!$A:$A,0))&lt;=MOD($Y175,18),1,0)))</f>
      </c>
      <c r="AK175" t="e">
        <f>IF(OR(OR($A175="",$D175=""),Q175=""),"",Q175-(INT($Y175/18)+IF(INDEX('Tournament Setup'!$AO:$AO,MATCH($A175,'Tournament Setup'!$A:$A,0))&lt;=MOD($Y175,18),1,0)))</f>
      </c>
      <c r="AL175" t="e">
        <f>IF(OR(OR($A175="",$D175=""),R175=""),"",R175-(INT($Y175/18)+IF(INDEX('Tournament Setup'!$AP:$AP,MATCH($A175,'Tournament Setup'!$A:$A,0))&lt;=MOD($Y175,18),1,0)))</f>
      </c>
      <c r="AM175" t="e">
        <f>IF(OR(OR($A175="",$D175=""),S175=""),"",S175-(INT($Y175/18)+IF(INDEX('Tournament Setup'!$AQ:$AQ,MATCH($A175,'Tournament Setup'!$A:$A,0))&lt;=MOD($Y175,18),1,0)))</f>
      </c>
      <c r="AN175" t="e">
        <f>IF(OR(OR($A175="",$D175=""),T175=""),"",T175-(INT($Y175/18)+IF(INDEX('Tournament Setup'!$AR:$AR,MATCH($A175,'Tournament Setup'!$A:$A,0))&lt;=MOD($Y175,18),1,0)))</f>
      </c>
      <c r="AO175" t="e">
        <f>IF(OR(OR($A175="",$D175=""),U175=""),"",U175-(INT($Y175/18)+IF(INDEX('Tournament Setup'!$AS:$AS,MATCH($A175,'Tournament Setup'!$A:$A,0))&lt;=MOD($Y175,18),1,0)))</f>
      </c>
      <c r="AP175" t="e">
        <f>IF(OR(OR($A175="",$D175=""),V175=""),"",V175-(INT($Y175/18)+IF(INDEX('Tournament Setup'!$AT:$AT,MATCH($A175,'Tournament Setup'!$A:$A,0))&lt;=MOD($Y175,18),1,0)))</f>
      </c>
      <c r="AQ175" t="e">
        <f>IF(OR(OR($A175="",$D175=""),W175=""),"",W175-(INT($Y175/18)+IF(INDEX('Tournament Setup'!$AU:$AU,MATCH($A175,'Tournament Setup'!$A:$A,0))&lt;=MOD($Y175,18),1,0)))</f>
      </c>
    </row>
    <row r="176">
      <c r="X176" t="e">
        <f>IF(OR($A176="",$D176=""),"",SUM(F176:W176))</f>
      </c>
      <c r="Y176" t="e">
        <f>IF(OR($A176="",$D176=""),"",IF(INDEX('Tournament Setup'!$F:$F,MATCH($A176,'Tournament Setup'!$A:$A,0))="Net",ROUND(($E176-_xlfn.MINIFS($E$2:$E$401,$A$2:$A$401,$A176,$B$2:$B$401,$B176))*INDEX('Tournament Setup'!$G:$G,MATCH($A176,'Tournament Setup'!$A:$A,0))/100,0),0))</f>
      </c>
      <c r="Z176" t="e">
        <f>IF(OR(OR($A176="",$D176=""),F176=""),"",F176-(INT($Y176/18)+IF(INDEX('Tournament Setup'!$AD:$AD,MATCH($A176,'Tournament Setup'!$A:$A,0))&lt;=MOD($Y176,18),1,0)))</f>
      </c>
      <c r="AA176" t="e">
        <f>IF(OR(OR($A176="",$D176=""),G176=""),"",G176-(INT($Y176/18)+IF(INDEX('Tournament Setup'!$AE:$AE,MATCH($A176,'Tournament Setup'!$A:$A,0))&lt;=MOD($Y176,18),1,0)))</f>
      </c>
      <c r="AB176" t="e">
        <f>IF(OR(OR($A176="",$D176=""),H176=""),"",H176-(INT($Y176/18)+IF(INDEX('Tournament Setup'!$AF:$AF,MATCH($A176,'Tournament Setup'!$A:$A,0))&lt;=MOD($Y176,18),1,0)))</f>
      </c>
      <c r="AC176" t="e">
        <f>IF(OR(OR($A176="",$D176=""),I176=""),"",I176-(INT($Y176/18)+IF(INDEX('Tournament Setup'!$AG:$AG,MATCH($A176,'Tournament Setup'!$A:$A,0))&lt;=MOD($Y176,18),1,0)))</f>
      </c>
      <c r="AD176" t="e">
        <f>IF(OR(OR($A176="",$D176=""),J176=""),"",J176-(INT($Y176/18)+IF(INDEX('Tournament Setup'!$AH:$AH,MATCH($A176,'Tournament Setup'!$A:$A,0))&lt;=MOD($Y176,18),1,0)))</f>
      </c>
      <c r="AE176" t="e">
        <f>IF(OR(OR($A176="",$D176=""),K176=""),"",K176-(INT($Y176/18)+IF(INDEX('Tournament Setup'!$AI:$AI,MATCH($A176,'Tournament Setup'!$A:$A,0))&lt;=MOD($Y176,18),1,0)))</f>
      </c>
      <c r="AF176" t="e">
        <f>IF(OR(OR($A176="",$D176=""),L176=""),"",L176-(INT($Y176/18)+IF(INDEX('Tournament Setup'!$AJ:$AJ,MATCH($A176,'Tournament Setup'!$A:$A,0))&lt;=MOD($Y176,18),1,0)))</f>
      </c>
      <c r="AG176" t="e">
        <f>IF(OR(OR($A176="",$D176=""),M176=""),"",M176-(INT($Y176/18)+IF(INDEX('Tournament Setup'!$AK:$AK,MATCH($A176,'Tournament Setup'!$A:$A,0))&lt;=MOD($Y176,18),1,0)))</f>
      </c>
      <c r="AH176" t="e">
        <f>IF(OR(OR($A176="",$D176=""),N176=""),"",N176-(INT($Y176/18)+IF(INDEX('Tournament Setup'!$AL:$AL,MATCH($A176,'Tournament Setup'!$A:$A,0))&lt;=MOD($Y176,18),1,0)))</f>
      </c>
      <c r="AI176" t="e">
        <f>IF(OR(OR($A176="",$D176=""),O176=""),"",O176-(INT($Y176/18)+IF(INDEX('Tournament Setup'!$AM:$AM,MATCH($A176,'Tournament Setup'!$A:$A,0))&lt;=MOD($Y176,18),1,0)))</f>
      </c>
      <c r="AJ176" t="e">
        <f>IF(OR(OR($A176="",$D176=""),P176=""),"",P176-(INT($Y176/18)+IF(INDEX('Tournament Setup'!$AN:$AN,MATCH($A176,'Tournament Setup'!$A:$A,0))&lt;=MOD($Y176,18),1,0)))</f>
      </c>
      <c r="AK176" t="e">
        <f>IF(OR(OR($A176="",$D176=""),Q176=""),"",Q176-(INT($Y176/18)+IF(INDEX('Tournament Setup'!$AO:$AO,MATCH($A176,'Tournament Setup'!$A:$A,0))&lt;=MOD($Y176,18),1,0)))</f>
      </c>
      <c r="AL176" t="e">
        <f>IF(OR(OR($A176="",$D176=""),R176=""),"",R176-(INT($Y176/18)+IF(INDEX('Tournament Setup'!$AP:$AP,MATCH($A176,'Tournament Setup'!$A:$A,0))&lt;=MOD($Y176,18),1,0)))</f>
      </c>
      <c r="AM176" t="e">
        <f>IF(OR(OR($A176="",$D176=""),S176=""),"",S176-(INT($Y176/18)+IF(INDEX('Tournament Setup'!$AQ:$AQ,MATCH($A176,'Tournament Setup'!$A:$A,0))&lt;=MOD($Y176,18),1,0)))</f>
      </c>
      <c r="AN176" t="e">
        <f>IF(OR(OR($A176="",$D176=""),T176=""),"",T176-(INT($Y176/18)+IF(INDEX('Tournament Setup'!$AR:$AR,MATCH($A176,'Tournament Setup'!$A:$A,0))&lt;=MOD($Y176,18),1,0)))</f>
      </c>
      <c r="AO176" t="e">
        <f>IF(OR(OR($A176="",$D176=""),U176=""),"",U176-(INT($Y176/18)+IF(INDEX('Tournament Setup'!$AS:$AS,MATCH($A176,'Tournament Setup'!$A:$A,0))&lt;=MOD($Y176,18),1,0)))</f>
      </c>
      <c r="AP176" t="e">
        <f>IF(OR(OR($A176="",$D176=""),V176=""),"",V176-(INT($Y176/18)+IF(INDEX('Tournament Setup'!$AT:$AT,MATCH($A176,'Tournament Setup'!$A:$A,0))&lt;=MOD($Y176,18),1,0)))</f>
      </c>
      <c r="AQ176" t="e">
        <f>IF(OR(OR($A176="",$D176=""),W176=""),"",W176-(INT($Y176/18)+IF(INDEX('Tournament Setup'!$AU:$AU,MATCH($A176,'Tournament Setup'!$A:$A,0))&lt;=MOD($Y176,18),1,0)))</f>
      </c>
    </row>
    <row r="177">
      <c r="X177" t="e">
        <f>IF(OR($A177="",$D177=""),"",SUM(F177:W177))</f>
      </c>
      <c r="Y177" t="e">
        <f>IF(OR($A177="",$D177=""),"",IF(INDEX('Tournament Setup'!$F:$F,MATCH($A177,'Tournament Setup'!$A:$A,0))="Net",ROUND(($E177-_xlfn.MINIFS($E$2:$E$401,$A$2:$A$401,$A177,$B$2:$B$401,$B177))*INDEX('Tournament Setup'!$G:$G,MATCH($A177,'Tournament Setup'!$A:$A,0))/100,0),0))</f>
      </c>
      <c r="Z177" t="e">
        <f>IF(OR(OR($A177="",$D177=""),F177=""),"",F177-(INT($Y177/18)+IF(INDEX('Tournament Setup'!$AD:$AD,MATCH($A177,'Tournament Setup'!$A:$A,0))&lt;=MOD($Y177,18),1,0)))</f>
      </c>
      <c r="AA177" t="e">
        <f>IF(OR(OR($A177="",$D177=""),G177=""),"",G177-(INT($Y177/18)+IF(INDEX('Tournament Setup'!$AE:$AE,MATCH($A177,'Tournament Setup'!$A:$A,0))&lt;=MOD($Y177,18),1,0)))</f>
      </c>
      <c r="AB177" t="e">
        <f>IF(OR(OR($A177="",$D177=""),H177=""),"",H177-(INT($Y177/18)+IF(INDEX('Tournament Setup'!$AF:$AF,MATCH($A177,'Tournament Setup'!$A:$A,0))&lt;=MOD($Y177,18),1,0)))</f>
      </c>
      <c r="AC177" t="e">
        <f>IF(OR(OR($A177="",$D177=""),I177=""),"",I177-(INT($Y177/18)+IF(INDEX('Tournament Setup'!$AG:$AG,MATCH($A177,'Tournament Setup'!$A:$A,0))&lt;=MOD($Y177,18),1,0)))</f>
      </c>
      <c r="AD177" t="e">
        <f>IF(OR(OR($A177="",$D177=""),J177=""),"",J177-(INT($Y177/18)+IF(INDEX('Tournament Setup'!$AH:$AH,MATCH($A177,'Tournament Setup'!$A:$A,0))&lt;=MOD($Y177,18),1,0)))</f>
      </c>
      <c r="AE177" t="e">
        <f>IF(OR(OR($A177="",$D177=""),K177=""),"",K177-(INT($Y177/18)+IF(INDEX('Tournament Setup'!$AI:$AI,MATCH($A177,'Tournament Setup'!$A:$A,0))&lt;=MOD($Y177,18),1,0)))</f>
      </c>
      <c r="AF177" t="e">
        <f>IF(OR(OR($A177="",$D177=""),L177=""),"",L177-(INT($Y177/18)+IF(INDEX('Tournament Setup'!$AJ:$AJ,MATCH($A177,'Tournament Setup'!$A:$A,0))&lt;=MOD($Y177,18),1,0)))</f>
      </c>
      <c r="AG177" t="e">
        <f>IF(OR(OR($A177="",$D177=""),M177=""),"",M177-(INT($Y177/18)+IF(INDEX('Tournament Setup'!$AK:$AK,MATCH($A177,'Tournament Setup'!$A:$A,0))&lt;=MOD($Y177,18),1,0)))</f>
      </c>
      <c r="AH177" t="e">
        <f>IF(OR(OR($A177="",$D177=""),N177=""),"",N177-(INT($Y177/18)+IF(INDEX('Tournament Setup'!$AL:$AL,MATCH($A177,'Tournament Setup'!$A:$A,0))&lt;=MOD($Y177,18),1,0)))</f>
      </c>
      <c r="AI177" t="e">
        <f>IF(OR(OR($A177="",$D177=""),O177=""),"",O177-(INT($Y177/18)+IF(INDEX('Tournament Setup'!$AM:$AM,MATCH($A177,'Tournament Setup'!$A:$A,0))&lt;=MOD($Y177,18),1,0)))</f>
      </c>
      <c r="AJ177" t="e">
        <f>IF(OR(OR($A177="",$D177=""),P177=""),"",P177-(INT($Y177/18)+IF(INDEX('Tournament Setup'!$AN:$AN,MATCH($A177,'Tournament Setup'!$A:$A,0))&lt;=MOD($Y177,18),1,0)))</f>
      </c>
      <c r="AK177" t="e">
        <f>IF(OR(OR($A177="",$D177=""),Q177=""),"",Q177-(INT($Y177/18)+IF(INDEX('Tournament Setup'!$AO:$AO,MATCH($A177,'Tournament Setup'!$A:$A,0))&lt;=MOD($Y177,18),1,0)))</f>
      </c>
      <c r="AL177" t="e">
        <f>IF(OR(OR($A177="",$D177=""),R177=""),"",R177-(INT($Y177/18)+IF(INDEX('Tournament Setup'!$AP:$AP,MATCH($A177,'Tournament Setup'!$A:$A,0))&lt;=MOD($Y177,18),1,0)))</f>
      </c>
      <c r="AM177" t="e">
        <f>IF(OR(OR($A177="",$D177=""),S177=""),"",S177-(INT($Y177/18)+IF(INDEX('Tournament Setup'!$AQ:$AQ,MATCH($A177,'Tournament Setup'!$A:$A,0))&lt;=MOD($Y177,18),1,0)))</f>
      </c>
      <c r="AN177" t="e">
        <f>IF(OR(OR($A177="",$D177=""),T177=""),"",T177-(INT($Y177/18)+IF(INDEX('Tournament Setup'!$AR:$AR,MATCH($A177,'Tournament Setup'!$A:$A,0))&lt;=MOD($Y177,18),1,0)))</f>
      </c>
      <c r="AO177" t="e">
        <f>IF(OR(OR($A177="",$D177=""),U177=""),"",U177-(INT($Y177/18)+IF(INDEX('Tournament Setup'!$AS:$AS,MATCH($A177,'Tournament Setup'!$A:$A,0))&lt;=MOD($Y177,18),1,0)))</f>
      </c>
      <c r="AP177" t="e">
        <f>IF(OR(OR($A177="",$D177=""),V177=""),"",V177-(INT($Y177/18)+IF(INDEX('Tournament Setup'!$AT:$AT,MATCH($A177,'Tournament Setup'!$A:$A,0))&lt;=MOD($Y177,18),1,0)))</f>
      </c>
      <c r="AQ177" t="e">
        <f>IF(OR(OR($A177="",$D177=""),W177=""),"",W177-(INT($Y177/18)+IF(INDEX('Tournament Setup'!$AU:$AU,MATCH($A177,'Tournament Setup'!$A:$A,0))&lt;=MOD($Y177,18),1,0)))</f>
      </c>
    </row>
    <row r="178">
      <c r="X178" t="e">
        <f>IF(OR($A178="",$D178=""),"",SUM(F178:W178))</f>
      </c>
      <c r="Y178" t="e">
        <f>IF(OR($A178="",$D178=""),"",IF(INDEX('Tournament Setup'!$F:$F,MATCH($A178,'Tournament Setup'!$A:$A,0))="Net",ROUND(($E178-_xlfn.MINIFS($E$2:$E$401,$A$2:$A$401,$A178,$B$2:$B$401,$B178))*INDEX('Tournament Setup'!$G:$G,MATCH($A178,'Tournament Setup'!$A:$A,0))/100,0),0))</f>
      </c>
      <c r="Z178" t="e">
        <f>IF(OR(OR($A178="",$D178=""),F178=""),"",F178-(INT($Y178/18)+IF(INDEX('Tournament Setup'!$AD:$AD,MATCH($A178,'Tournament Setup'!$A:$A,0))&lt;=MOD($Y178,18),1,0)))</f>
      </c>
      <c r="AA178" t="e">
        <f>IF(OR(OR($A178="",$D178=""),G178=""),"",G178-(INT($Y178/18)+IF(INDEX('Tournament Setup'!$AE:$AE,MATCH($A178,'Tournament Setup'!$A:$A,0))&lt;=MOD($Y178,18),1,0)))</f>
      </c>
      <c r="AB178" t="e">
        <f>IF(OR(OR($A178="",$D178=""),H178=""),"",H178-(INT($Y178/18)+IF(INDEX('Tournament Setup'!$AF:$AF,MATCH($A178,'Tournament Setup'!$A:$A,0))&lt;=MOD($Y178,18),1,0)))</f>
      </c>
      <c r="AC178" t="e">
        <f>IF(OR(OR($A178="",$D178=""),I178=""),"",I178-(INT($Y178/18)+IF(INDEX('Tournament Setup'!$AG:$AG,MATCH($A178,'Tournament Setup'!$A:$A,0))&lt;=MOD($Y178,18),1,0)))</f>
      </c>
      <c r="AD178" t="e">
        <f>IF(OR(OR($A178="",$D178=""),J178=""),"",J178-(INT($Y178/18)+IF(INDEX('Tournament Setup'!$AH:$AH,MATCH($A178,'Tournament Setup'!$A:$A,0))&lt;=MOD($Y178,18),1,0)))</f>
      </c>
      <c r="AE178" t="e">
        <f>IF(OR(OR($A178="",$D178=""),K178=""),"",K178-(INT($Y178/18)+IF(INDEX('Tournament Setup'!$AI:$AI,MATCH($A178,'Tournament Setup'!$A:$A,0))&lt;=MOD($Y178,18),1,0)))</f>
      </c>
      <c r="AF178" t="e">
        <f>IF(OR(OR($A178="",$D178=""),L178=""),"",L178-(INT($Y178/18)+IF(INDEX('Tournament Setup'!$AJ:$AJ,MATCH($A178,'Tournament Setup'!$A:$A,0))&lt;=MOD($Y178,18),1,0)))</f>
      </c>
      <c r="AG178" t="e">
        <f>IF(OR(OR($A178="",$D178=""),M178=""),"",M178-(INT($Y178/18)+IF(INDEX('Tournament Setup'!$AK:$AK,MATCH($A178,'Tournament Setup'!$A:$A,0))&lt;=MOD($Y178,18),1,0)))</f>
      </c>
      <c r="AH178" t="e">
        <f>IF(OR(OR($A178="",$D178=""),N178=""),"",N178-(INT($Y178/18)+IF(INDEX('Tournament Setup'!$AL:$AL,MATCH($A178,'Tournament Setup'!$A:$A,0))&lt;=MOD($Y178,18),1,0)))</f>
      </c>
      <c r="AI178" t="e">
        <f>IF(OR(OR($A178="",$D178=""),O178=""),"",O178-(INT($Y178/18)+IF(INDEX('Tournament Setup'!$AM:$AM,MATCH($A178,'Tournament Setup'!$A:$A,0))&lt;=MOD($Y178,18),1,0)))</f>
      </c>
      <c r="AJ178" t="e">
        <f>IF(OR(OR($A178="",$D178=""),P178=""),"",P178-(INT($Y178/18)+IF(INDEX('Tournament Setup'!$AN:$AN,MATCH($A178,'Tournament Setup'!$A:$A,0))&lt;=MOD($Y178,18),1,0)))</f>
      </c>
      <c r="AK178" t="e">
        <f>IF(OR(OR($A178="",$D178=""),Q178=""),"",Q178-(INT($Y178/18)+IF(INDEX('Tournament Setup'!$AO:$AO,MATCH($A178,'Tournament Setup'!$A:$A,0))&lt;=MOD($Y178,18),1,0)))</f>
      </c>
      <c r="AL178" t="e">
        <f>IF(OR(OR($A178="",$D178=""),R178=""),"",R178-(INT($Y178/18)+IF(INDEX('Tournament Setup'!$AP:$AP,MATCH($A178,'Tournament Setup'!$A:$A,0))&lt;=MOD($Y178,18),1,0)))</f>
      </c>
      <c r="AM178" t="e">
        <f>IF(OR(OR($A178="",$D178=""),S178=""),"",S178-(INT($Y178/18)+IF(INDEX('Tournament Setup'!$AQ:$AQ,MATCH($A178,'Tournament Setup'!$A:$A,0))&lt;=MOD($Y178,18),1,0)))</f>
      </c>
      <c r="AN178" t="e">
        <f>IF(OR(OR($A178="",$D178=""),T178=""),"",T178-(INT($Y178/18)+IF(INDEX('Tournament Setup'!$AR:$AR,MATCH($A178,'Tournament Setup'!$A:$A,0))&lt;=MOD($Y178,18),1,0)))</f>
      </c>
      <c r="AO178" t="e">
        <f>IF(OR(OR($A178="",$D178=""),U178=""),"",U178-(INT($Y178/18)+IF(INDEX('Tournament Setup'!$AS:$AS,MATCH($A178,'Tournament Setup'!$A:$A,0))&lt;=MOD($Y178,18),1,0)))</f>
      </c>
      <c r="AP178" t="e">
        <f>IF(OR(OR($A178="",$D178=""),V178=""),"",V178-(INT($Y178/18)+IF(INDEX('Tournament Setup'!$AT:$AT,MATCH($A178,'Tournament Setup'!$A:$A,0))&lt;=MOD($Y178,18),1,0)))</f>
      </c>
      <c r="AQ178" t="e">
        <f>IF(OR(OR($A178="",$D178=""),W178=""),"",W178-(INT($Y178/18)+IF(INDEX('Tournament Setup'!$AU:$AU,MATCH($A178,'Tournament Setup'!$A:$A,0))&lt;=MOD($Y178,18),1,0)))</f>
      </c>
    </row>
    <row r="179">
      <c r="X179" t="e">
        <f>IF(OR($A179="",$D179=""),"",SUM(F179:W179))</f>
      </c>
      <c r="Y179" t="e">
        <f>IF(OR($A179="",$D179=""),"",IF(INDEX('Tournament Setup'!$F:$F,MATCH($A179,'Tournament Setup'!$A:$A,0))="Net",ROUND(($E179-_xlfn.MINIFS($E$2:$E$401,$A$2:$A$401,$A179,$B$2:$B$401,$B179))*INDEX('Tournament Setup'!$G:$G,MATCH($A179,'Tournament Setup'!$A:$A,0))/100,0),0))</f>
      </c>
      <c r="Z179" t="e">
        <f>IF(OR(OR($A179="",$D179=""),F179=""),"",F179-(INT($Y179/18)+IF(INDEX('Tournament Setup'!$AD:$AD,MATCH($A179,'Tournament Setup'!$A:$A,0))&lt;=MOD($Y179,18),1,0)))</f>
      </c>
      <c r="AA179" t="e">
        <f>IF(OR(OR($A179="",$D179=""),G179=""),"",G179-(INT($Y179/18)+IF(INDEX('Tournament Setup'!$AE:$AE,MATCH($A179,'Tournament Setup'!$A:$A,0))&lt;=MOD($Y179,18),1,0)))</f>
      </c>
      <c r="AB179" t="e">
        <f>IF(OR(OR($A179="",$D179=""),H179=""),"",H179-(INT($Y179/18)+IF(INDEX('Tournament Setup'!$AF:$AF,MATCH($A179,'Tournament Setup'!$A:$A,0))&lt;=MOD($Y179,18),1,0)))</f>
      </c>
      <c r="AC179" t="e">
        <f>IF(OR(OR($A179="",$D179=""),I179=""),"",I179-(INT($Y179/18)+IF(INDEX('Tournament Setup'!$AG:$AG,MATCH($A179,'Tournament Setup'!$A:$A,0))&lt;=MOD($Y179,18),1,0)))</f>
      </c>
      <c r="AD179" t="e">
        <f>IF(OR(OR($A179="",$D179=""),J179=""),"",J179-(INT($Y179/18)+IF(INDEX('Tournament Setup'!$AH:$AH,MATCH($A179,'Tournament Setup'!$A:$A,0))&lt;=MOD($Y179,18),1,0)))</f>
      </c>
      <c r="AE179" t="e">
        <f>IF(OR(OR($A179="",$D179=""),K179=""),"",K179-(INT($Y179/18)+IF(INDEX('Tournament Setup'!$AI:$AI,MATCH($A179,'Tournament Setup'!$A:$A,0))&lt;=MOD($Y179,18),1,0)))</f>
      </c>
      <c r="AF179" t="e">
        <f>IF(OR(OR($A179="",$D179=""),L179=""),"",L179-(INT($Y179/18)+IF(INDEX('Tournament Setup'!$AJ:$AJ,MATCH($A179,'Tournament Setup'!$A:$A,0))&lt;=MOD($Y179,18),1,0)))</f>
      </c>
      <c r="AG179" t="e">
        <f>IF(OR(OR($A179="",$D179=""),M179=""),"",M179-(INT($Y179/18)+IF(INDEX('Tournament Setup'!$AK:$AK,MATCH($A179,'Tournament Setup'!$A:$A,0))&lt;=MOD($Y179,18),1,0)))</f>
      </c>
      <c r="AH179" t="e">
        <f>IF(OR(OR($A179="",$D179=""),N179=""),"",N179-(INT($Y179/18)+IF(INDEX('Tournament Setup'!$AL:$AL,MATCH($A179,'Tournament Setup'!$A:$A,0))&lt;=MOD($Y179,18),1,0)))</f>
      </c>
      <c r="AI179" t="e">
        <f>IF(OR(OR($A179="",$D179=""),O179=""),"",O179-(INT($Y179/18)+IF(INDEX('Tournament Setup'!$AM:$AM,MATCH($A179,'Tournament Setup'!$A:$A,0))&lt;=MOD($Y179,18),1,0)))</f>
      </c>
      <c r="AJ179" t="e">
        <f>IF(OR(OR($A179="",$D179=""),P179=""),"",P179-(INT($Y179/18)+IF(INDEX('Tournament Setup'!$AN:$AN,MATCH($A179,'Tournament Setup'!$A:$A,0))&lt;=MOD($Y179,18),1,0)))</f>
      </c>
      <c r="AK179" t="e">
        <f>IF(OR(OR($A179="",$D179=""),Q179=""),"",Q179-(INT($Y179/18)+IF(INDEX('Tournament Setup'!$AO:$AO,MATCH($A179,'Tournament Setup'!$A:$A,0))&lt;=MOD($Y179,18),1,0)))</f>
      </c>
      <c r="AL179" t="e">
        <f>IF(OR(OR($A179="",$D179=""),R179=""),"",R179-(INT($Y179/18)+IF(INDEX('Tournament Setup'!$AP:$AP,MATCH($A179,'Tournament Setup'!$A:$A,0))&lt;=MOD($Y179,18),1,0)))</f>
      </c>
      <c r="AM179" t="e">
        <f>IF(OR(OR($A179="",$D179=""),S179=""),"",S179-(INT($Y179/18)+IF(INDEX('Tournament Setup'!$AQ:$AQ,MATCH($A179,'Tournament Setup'!$A:$A,0))&lt;=MOD($Y179,18),1,0)))</f>
      </c>
      <c r="AN179" t="e">
        <f>IF(OR(OR($A179="",$D179=""),T179=""),"",T179-(INT($Y179/18)+IF(INDEX('Tournament Setup'!$AR:$AR,MATCH($A179,'Tournament Setup'!$A:$A,0))&lt;=MOD($Y179,18),1,0)))</f>
      </c>
      <c r="AO179" t="e">
        <f>IF(OR(OR($A179="",$D179=""),U179=""),"",U179-(INT($Y179/18)+IF(INDEX('Tournament Setup'!$AS:$AS,MATCH($A179,'Tournament Setup'!$A:$A,0))&lt;=MOD($Y179,18),1,0)))</f>
      </c>
      <c r="AP179" t="e">
        <f>IF(OR(OR($A179="",$D179=""),V179=""),"",V179-(INT($Y179/18)+IF(INDEX('Tournament Setup'!$AT:$AT,MATCH($A179,'Tournament Setup'!$A:$A,0))&lt;=MOD($Y179,18),1,0)))</f>
      </c>
      <c r="AQ179" t="e">
        <f>IF(OR(OR($A179="",$D179=""),W179=""),"",W179-(INT($Y179/18)+IF(INDEX('Tournament Setup'!$AU:$AU,MATCH($A179,'Tournament Setup'!$A:$A,0))&lt;=MOD($Y179,18),1,0)))</f>
      </c>
    </row>
    <row r="180">
      <c r="X180" t="e">
        <f>IF(OR($A180="",$D180=""),"",SUM(F180:W180))</f>
      </c>
      <c r="Y180" t="e">
        <f>IF(OR($A180="",$D180=""),"",IF(INDEX('Tournament Setup'!$F:$F,MATCH($A180,'Tournament Setup'!$A:$A,0))="Net",ROUND(($E180-_xlfn.MINIFS($E$2:$E$401,$A$2:$A$401,$A180,$B$2:$B$401,$B180))*INDEX('Tournament Setup'!$G:$G,MATCH($A180,'Tournament Setup'!$A:$A,0))/100,0),0))</f>
      </c>
      <c r="Z180" t="e">
        <f>IF(OR(OR($A180="",$D180=""),F180=""),"",F180-(INT($Y180/18)+IF(INDEX('Tournament Setup'!$AD:$AD,MATCH($A180,'Tournament Setup'!$A:$A,0))&lt;=MOD($Y180,18),1,0)))</f>
      </c>
      <c r="AA180" t="e">
        <f>IF(OR(OR($A180="",$D180=""),G180=""),"",G180-(INT($Y180/18)+IF(INDEX('Tournament Setup'!$AE:$AE,MATCH($A180,'Tournament Setup'!$A:$A,0))&lt;=MOD($Y180,18),1,0)))</f>
      </c>
      <c r="AB180" t="e">
        <f>IF(OR(OR($A180="",$D180=""),H180=""),"",H180-(INT($Y180/18)+IF(INDEX('Tournament Setup'!$AF:$AF,MATCH($A180,'Tournament Setup'!$A:$A,0))&lt;=MOD($Y180,18),1,0)))</f>
      </c>
      <c r="AC180" t="e">
        <f>IF(OR(OR($A180="",$D180=""),I180=""),"",I180-(INT($Y180/18)+IF(INDEX('Tournament Setup'!$AG:$AG,MATCH($A180,'Tournament Setup'!$A:$A,0))&lt;=MOD($Y180,18),1,0)))</f>
      </c>
      <c r="AD180" t="e">
        <f>IF(OR(OR($A180="",$D180=""),J180=""),"",J180-(INT($Y180/18)+IF(INDEX('Tournament Setup'!$AH:$AH,MATCH($A180,'Tournament Setup'!$A:$A,0))&lt;=MOD($Y180,18),1,0)))</f>
      </c>
      <c r="AE180" t="e">
        <f>IF(OR(OR($A180="",$D180=""),K180=""),"",K180-(INT($Y180/18)+IF(INDEX('Tournament Setup'!$AI:$AI,MATCH($A180,'Tournament Setup'!$A:$A,0))&lt;=MOD($Y180,18),1,0)))</f>
      </c>
      <c r="AF180" t="e">
        <f>IF(OR(OR($A180="",$D180=""),L180=""),"",L180-(INT($Y180/18)+IF(INDEX('Tournament Setup'!$AJ:$AJ,MATCH($A180,'Tournament Setup'!$A:$A,0))&lt;=MOD($Y180,18),1,0)))</f>
      </c>
      <c r="AG180" t="e">
        <f>IF(OR(OR($A180="",$D180=""),M180=""),"",M180-(INT($Y180/18)+IF(INDEX('Tournament Setup'!$AK:$AK,MATCH($A180,'Tournament Setup'!$A:$A,0))&lt;=MOD($Y180,18),1,0)))</f>
      </c>
      <c r="AH180" t="e">
        <f>IF(OR(OR($A180="",$D180=""),N180=""),"",N180-(INT($Y180/18)+IF(INDEX('Tournament Setup'!$AL:$AL,MATCH($A180,'Tournament Setup'!$A:$A,0))&lt;=MOD($Y180,18),1,0)))</f>
      </c>
      <c r="AI180" t="e">
        <f>IF(OR(OR($A180="",$D180=""),O180=""),"",O180-(INT($Y180/18)+IF(INDEX('Tournament Setup'!$AM:$AM,MATCH($A180,'Tournament Setup'!$A:$A,0))&lt;=MOD($Y180,18),1,0)))</f>
      </c>
      <c r="AJ180" t="e">
        <f>IF(OR(OR($A180="",$D180=""),P180=""),"",P180-(INT($Y180/18)+IF(INDEX('Tournament Setup'!$AN:$AN,MATCH($A180,'Tournament Setup'!$A:$A,0))&lt;=MOD($Y180,18),1,0)))</f>
      </c>
      <c r="AK180" t="e">
        <f>IF(OR(OR($A180="",$D180=""),Q180=""),"",Q180-(INT($Y180/18)+IF(INDEX('Tournament Setup'!$AO:$AO,MATCH($A180,'Tournament Setup'!$A:$A,0))&lt;=MOD($Y180,18),1,0)))</f>
      </c>
      <c r="AL180" t="e">
        <f>IF(OR(OR($A180="",$D180=""),R180=""),"",R180-(INT($Y180/18)+IF(INDEX('Tournament Setup'!$AP:$AP,MATCH($A180,'Tournament Setup'!$A:$A,0))&lt;=MOD($Y180,18),1,0)))</f>
      </c>
      <c r="AM180" t="e">
        <f>IF(OR(OR($A180="",$D180=""),S180=""),"",S180-(INT($Y180/18)+IF(INDEX('Tournament Setup'!$AQ:$AQ,MATCH($A180,'Tournament Setup'!$A:$A,0))&lt;=MOD($Y180,18),1,0)))</f>
      </c>
      <c r="AN180" t="e">
        <f>IF(OR(OR($A180="",$D180=""),T180=""),"",T180-(INT($Y180/18)+IF(INDEX('Tournament Setup'!$AR:$AR,MATCH($A180,'Tournament Setup'!$A:$A,0))&lt;=MOD($Y180,18),1,0)))</f>
      </c>
      <c r="AO180" t="e">
        <f>IF(OR(OR($A180="",$D180=""),U180=""),"",U180-(INT($Y180/18)+IF(INDEX('Tournament Setup'!$AS:$AS,MATCH($A180,'Tournament Setup'!$A:$A,0))&lt;=MOD($Y180,18),1,0)))</f>
      </c>
      <c r="AP180" t="e">
        <f>IF(OR(OR($A180="",$D180=""),V180=""),"",V180-(INT($Y180/18)+IF(INDEX('Tournament Setup'!$AT:$AT,MATCH($A180,'Tournament Setup'!$A:$A,0))&lt;=MOD($Y180,18),1,0)))</f>
      </c>
      <c r="AQ180" t="e">
        <f>IF(OR(OR($A180="",$D180=""),W180=""),"",W180-(INT($Y180/18)+IF(INDEX('Tournament Setup'!$AU:$AU,MATCH($A180,'Tournament Setup'!$A:$A,0))&lt;=MOD($Y180,18),1,0)))</f>
      </c>
    </row>
    <row r="181">
      <c r="X181" t="e">
        <f>IF(OR($A181="",$D181=""),"",SUM(F181:W181))</f>
      </c>
      <c r="Y181" t="e">
        <f>IF(OR($A181="",$D181=""),"",IF(INDEX('Tournament Setup'!$F:$F,MATCH($A181,'Tournament Setup'!$A:$A,0))="Net",ROUND(($E181-_xlfn.MINIFS($E$2:$E$401,$A$2:$A$401,$A181,$B$2:$B$401,$B181))*INDEX('Tournament Setup'!$G:$G,MATCH($A181,'Tournament Setup'!$A:$A,0))/100,0),0))</f>
      </c>
      <c r="Z181" t="e">
        <f>IF(OR(OR($A181="",$D181=""),F181=""),"",F181-(INT($Y181/18)+IF(INDEX('Tournament Setup'!$AD:$AD,MATCH($A181,'Tournament Setup'!$A:$A,0))&lt;=MOD($Y181,18),1,0)))</f>
      </c>
      <c r="AA181" t="e">
        <f>IF(OR(OR($A181="",$D181=""),G181=""),"",G181-(INT($Y181/18)+IF(INDEX('Tournament Setup'!$AE:$AE,MATCH($A181,'Tournament Setup'!$A:$A,0))&lt;=MOD($Y181,18),1,0)))</f>
      </c>
      <c r="AB181" t="e">
        <f>IF(OR(OR($A181="",$D181=""),H181=""),"",H181-(INT($Y181/18)+IF(INDEX('Tournament Setup'!$AF:$AF,MATCH($A181,'Tournament Setup'!$A:$A,0))&lt;=MOD($Y181,18),1,0)))</f>
      </c>
      <c r="AC181" t="e">
        <f>IF(OR(OR($A181="",$D181=""),I181=""),"",I181-(INT($Y181/18)+IF(INDEX('Tournament Setup'!$AG:$AG,MATCH($A181,'Tournament Setup'!$A:$A,0))&lt;=MOD($Y181,18),1,0)))</f>
      </c>
      <c r="AD181" t="e">
        <f>IF(OR(OR($A181="",$D181=""),J181=""),"",J181-(INT($Y181/18)+IF(INDEX('Tournament Setup'!$AH:$AH,MATCH($A181,'Tournament Setup'!$A:$A,0))&lt;=MOD($Y181,18),1,0)))</f>
      </c>
      <c r="AE181" t="e">
        <f>IF(OR(OR($A181="",$D181=""),K181=""),"",K181-(INT($Y181/18)+IF(INDEX('Tournament Setup'!$AI:$AI,MATCH($A181,'Tournament Setup'!$A:$A,0))&lt;=MOD($Y181,18),1,0)))</f>
      </c>
      <c r="AF181" t="e">
        <f>IF(OR(OR($A181="",$D181=""),L181=""),"",L181-(INT($Y181/18)+IF(INDEX('Tournament Setup'!$AJ:$AJ,MATCH($A181,'Tournament Setup'!$A:$A,0))&lt;=MOD($Y181,18),1,0)))</f>
      </c>
      <c r="AG181" t="e">
        <f>IF(OR(OR($A181="",$D181=""),M181=""),"",M181-(INT($Y181/18)+IF(INDEX('Tournament Setup'!$AK:$AK,MATCH($A181,'Tournament Setup'!$A:$A,0))&lt;=MOD($Y181,18),1,0)))</f>
      </c>
      <c r="AH181" t="e">
        <f>IF(OR(OR($A181="",$D181=""),N181=""),"",N181-(INT($Y181/18)+IF(INDEX('Tournament Setup'!$AL:$AL,MATCH($A181,'Tournament Setup'!$A:$A,0))&lt;=MOD($Y181,18),1,0)))</f>
      </c>
      <c r="AI181" t="e">
        <f>IF(OR(OR($A181="",$D181=""),O181=""),"",O181-(INT($Y181/18)+IF(INDEX('Tournament Setup'!$AM:$AM,MATCH($A181,'Tournament Setup'!$A:$A,0))&lt;=MOD($Y181,18),1,0)))</f>
      </c>
      <c r="AJ181" t="e">
        <f>IF(OR(OR($A181="",$D181=""),P181=""),"",P181-(INT($Y181/18)+IF(INDEX('Tournament Setup'!$AN:$AN,MATCH($A181,'Tournament Setup'!$A:$A,0))&lt;=MOD($Y181,18),1,0)))</f>
      </c>
      <c r="AK181" t="e">
        <f>IF(OR(OR($A181="",$D181=""),Q181=""),"",Q181-(INT($Y181/18)+IF(INDEX('Tournament Setup'!$AO:$AO,MATCH($A181,'Tournament Setup'!$A:$A,0))&lt;=MOD($Y181,18),1,0)))</f>
      </c>
      <c r="AL181" t="e">
        <f>IF(OR(OR($A181="",$D181=""),R181=""),"",R181-(INT($Y181/18)+IF(INDEX('Tournament Setup'!$AP:$AP,MATCH($A181,'Tournament Setup'!$A:$A,0))&lt;=MOD($Y181,18),1,0)))</f>
      </c>
      <c r="AM181" t="e">
        <f>IF(OR(OR($A181="",$D181=""),S181=""),"",S181-(INT($Y181/18)+IF(INDEX('Tournament Setup'!$AQ:$AQ,MATCH($A181,'Tournament Setup'!$A:$A,0))&lt;=MOD($Y181,18),1,0)))</f>
      </c>
      <c r="AN181" t="e">
        <f>IF(OR(OR($A181="",$D181=""),T181=""),"",T181-(INT($Y181/18)+IF(INDEX('Tournament Setup'!$AR:$AR,MATCH($A181,'Tournament Setup'!$A:$A,0))&lt;=MOD($Y181,18),1,0)))</f>
      </c>
      <c r="AO181" t="e">
        <f>IF(OR(OR($A181="",$D181=""),U181=""),"",U181-(INT($Y181/18)+IF(INDEX('Tournament Setup'!$AS:$AS,MATCH($A181,'Tournament Setup'!$A:$A,0))&lt;=MOD($Y181,18),1,0)))</f>
      </c>
      <c r="AP181" t="e">
        <f>IF(OR(OR($A181="",$D181=""),V181=""),"",V181-(INT($Y181/18)+IF(INDEX('Tournament Setup'!$AT:$AT,MATCH($A181,'Tournament Setup'!$A:$A,0))&lt;=MOD($Y181,18),1,0)))</f>
      </c>
      <c r="AQ181" t="e">
        <f>IF(OR(OR($A181="",$D181=""),W181=""),"",W181-(INT($Y181/18)+IF(INDEX('Tournament Setup'!$AU:$AU,MATCH($A181,'Tournament Setup'!$A:$A,0))&lt;=MOD($Y181,18),1,0)))</f>
      </c>
    </row>
    <row r="182">
      <c r="X182" t="e">
        <f>IF(OR($A182="",$D182=""),"",SUM(F182:W182))</f>
      </c>
      <c r="Y182" t="e">
        <f>IF(OR($A182="",$D182=""),"",IF(INDEX('Tournament Setup'!$F:$F,MATCH($A182,'Tournament Setup'!$A:$A,0))="Net",ROUND(($E182-_xlfn.MINIFS($E$2:$E$401,$A$2:$A$401,$A182,$B$2:$B$401,$B182))*INDEX('Tournament Setup'!$G:$G,MATCH($A182,'Tournament Setup'!$A:$A,0))/100,0),0))</f>
      </c>
      <c r="Z182" t="e">
        <f>IF(OR(OR($A182="",$D182=""),F182=""),"",F182-(INT($Y182/18)+IF(INDEX('Tournament Setup'!$AD:$AD,MATCH($A182,'Tournament Setup'!$A:$A,0))&lt;=MOD($Y182,18),1,0)))</f>
      </c>
      <c r="AA182" t="e">
        <f>IF(OR(OR($A182="",$D182=""),G182=""),"",G182-(INT($Y182/18)+IF(INDEX('Tournament Setup'!$AE:$AE,MATCH($A182,'Tournament Setup'!$A:$A,0))&lt;=MOD($Y182,18),1,0)))</f>
      </c>
      <c r="AB182" t="e">
        <f>IF(OR(OR($A182="",$D182=""),H182=""),"",H182-(INT($Y182/18)+IF(INDEX('Tournament Setup'!$AF:$AF,MATCH($A182,'Tournament Setup'!$A:$A,0))&lt;=MOD($Y182,18),1,0)))</f>
      </c>
      <c r="AC182" t="e">
        <f>IF(OR(OR($A182="",$D182=""),I182=""),"",I182-(INT($Y182/18)+IF(INDEX('Tournament Setup'!$AG:$AG,MATCH($A182,'Tournament Setup'!$A:$A,0))&lt;=MOD($Y182,18),1,0)))</f>
      </c>
      <c r="AD182" t="e">
        <f>IF(OR(OR($A182="",$D182=""),J182=""),"",J182-(INT($Y182/18)+IF(INDEX('Tournament Setup'!$AH:$AH,MATCH($A182,'Tournament Setup'!$A:$A,0))&lt;=MOD($Y182,18),1,0)))</f>
      </c>
      <c r="AE182" t="e">
        <f>IF(OR(OR($A182="",$D182=""),K182=""),"",K182-(INT($Y182/18)+IF(INDEX('Tournament Setup'!$AI:$AI,MATCH($A182,'Tournament Setup'!$A:$A,0))&lt;=MOD($Y182,18),1,0)))</f>
      </c>
      <c r="AF182" t="e">
        <f>IF(OR(OR($A182="",$D182=""),L182=""),"",L182-(INT($Y182/18)+IF(INDEX('Tournament Setup'!$AJ:$AJ,MATCH($A182,'Tournament Setup'!$A:$A,0))&lt;=MOD($Y182,18),1,0)))</f>
      </c>
      <c r="AG182" t="e">
        <f>IF(OR(OR($A182="",$D182=""),M182=""),"",M182-(INT($Y182/18)+IF(INDEX('Tournament Setup'!$AK:$AK,MATCH($A182,'Tournament Setup'!$A:$A,0))&lt;=MOD($Y182,18),1,0)))</f>
      </c>
      <c r="AH182" t="e">
        <f>IF(OR(OR($A182="",$D182=""),N182=""),"",N182-(INT($Y182/18)+IF(INDEX('Tournament Setup'!$AL:$AL,MATCH($A182,'Tournament Setup'!$A:$A,0))&lt;=MOD($Y182,18),1,0)))</f>
      </c>
      <c r="AI182" t="e">
        <f>IF(OR(OR($A182="",$D182=""),O182=""),"",O182-(INT($Y182/18)+IF(INDEX('Tournament Setup'!$AM:$AM,MATCH($A182,'Tournament Setup'!$A:$A,0))&lt;=MOD($Y182,18),1,0)))</f>
      </c>
      <c r="AJ182" t="e">
        <f>IF(OR(OR($A182="",$D182=""),P182=""),"",P182-(INT($Y182/18)+IF(INDEX('Tournament Setup'!$AN:$AN,MATCH($A182,'Tournament Setup'!$A:$A,0))&lt;=MOD($Y182,18),1,0)))</f>
      </c>
      <c r="AK182" t="e">
        <f>IF(OR(OR($A182="",$D182=""),Q182=""),"",Q182-(INT($Y182/18)+IF(INDEX('Tournament Setup'!$AO:$AO,MATCH($A182,'Tournament Setup'!$A:$A,0))&lt;=MOD($Y182,18),1,0)))</f>
      </c>
      <c r="AL182" t="e">
        <f>IF(OR(OR($A182="",$D182=""),R182=""),"",R182-(INT($Y182/18)+IF(INDEX('Tournament Setup'!$AP:$AP,MATCH($A182,'Tournament Setup'!$A:$A,0))&lt;=MOD($Y182,18),1,0)))</f>
      </c>
      <c r="AM182" t="e">
        <f>IF(OR(OR($A182="",$D182=""),S182=""),"",S182-(INT($Y182/18)+IF(INDEX('Tournament Setup'!$AQ:$AQ,MATCH($A182,'Tournament Setup'!$A:$A,0))&lt;=MOD($Y182,18),1,0)))</f>
      </c>
      <c r="AN182" t="e">
        <f>IF(OR(OR($A182="",$D182=""),T182=""),"",T182-(INT($Y182/18)+IF(INDEX('Tournament Setup'!$AR:$AR,MATCH($A182,'Tournament Setup'!$A:$A,0))&lt;=MOD($Y182,18),1,0)))</f>
      </c>
      <c r="AO182" t="e">
        <f>IF(OR(OR($A182="",$D182=""),U182=""),"",U182-(INT($Y182/18)+IF(INDEX('Tournament Setup'!$AS:$AS,MATCH($A182,'Tournament Setup'!$A:$A,0))&lt;=MOD($Y182,18),1,0)))</f>
      </c>
      <c r="AP182" t="e">
        <f>IF(OR(OR($A182="",$D182=""),V182=""),"",V182-(INT($Y182/18)+IF(INDEX('Tournament Setup'!$AT:$AT,MATCH($A182,'Tournament Setup'!$A:$A,0))&lt;=MOD($Y182,18),1,0)))</f>
      </c>
      <c r="AQ182" t="e">
        <f>IF(OR(OR($A182="",$D182=""),W182=""),"",W182-(INT($Y182/18)+IF(INDEX('Tournament Setup'!$AU:$AU,MATCH($A182,'Tournament Setup'!$A:$A,0))&lt;=MOD($Y182,18),1,0)))</f>
      </c>
    </row>
    <row r="183">
      <c r="X183" t="e">
        <f>IF(OR($A183="",$D183=""),"",SUM(F183:W183))</f>
      </c>
      <c r="Y183" t="e">
        <f>IF(OR($A183="",$D183=""),"",IF(INDEX('Tournament Setup'!$F:$F,MATCH($A183,'Tournament Setup'!$A:$A,0))="Net",ROUND(($E183-_xlfn.MINIFS($E$2:$E$401,$A$2:$A$401,$A183,$B$2:$B$401,$B183))*INDEX('Tournament Setup'!$G:$G,MATCH($A183,'Tournament Setup'!$A:$A,0))/100,0),0))</f>
      </c>
      <c r="Z183" t="e">
        <f>IF(OR(OR($A183="",$D183=""),F183=""),"",F183-(INT($Y183/18)+IF(INDEX('Tournament Setup'!$AD:$AD,MATCH($A183,'Tournament Setup'!$A:$A,0))&lt;=MOD($Y183,18),1,0)))</f>
      </c>
      <c r="AA183" t="e">
        <f>IF(OR(OR($A183="",$D183=""),G183=""),"",G183-(INT($Y183/18)+IF(INDEX('Tournament Setup'!$AE:$AE,MATCH($A183,'Tournament Setup'!$A:$A,0))&lt;=MOD($Y183,18),1,0)))</f>
      </c>
      <c r="AB183" t="e">
        <f>IF(OR(OR($A183="",$D183=""),H183=""),"",H183-(INT($Y183/18)+IF(INDEX('Tournament Setup'!$AF:$AF,MATCH($A183,'Tournament Setup'!$A:$A,0))&lt;=MOD($Y183,18),1,0)))</f>
      </c>
      <c r="AC183" t="e">
        <f>IF(OR(OR($A183="",$D183=""),I183=""),"",I183-(INT($Y183/18)+IF(INDEX('Tournament Setup'!$AG:$AG,MATCH($A183,'Tournament Setup'!$A:$A,0))&lt;=MOD($Y183,18),1,0)))</f>
      </c>
      <c r="AD183" t="e">
        <f>IF(OR(OR($A183="",$D183=""),J183=""),"",J183-(INT($Y183/18)+IF(INDEX('Tournament Setup'!$AH:$AH,MATCH($A183,'Tournament Setup'!$A:$A,0))&lt;=MOD($Y183,18),1,0)))</f>
      </c>
      <c r="AE183" t="e">
        <f>IF(OR(OR($A183="",$D183=""),K183=""),"",K183-(INT($Y183/18)+IF(INDEX('Tournament Setup'!$AI:$AI,MATCH($A183,'Tournament Setup'!$A:$A,0))&lt;=MOD($Y183,18),1,0)))</f>
      </c>
      <c r="AF183" t="e">
        <f>IF(OR(OR($A183="",$D183=""),L183=""),"",L183-(INT($Y183/18)+IF(INDEX('Tournament Setup'!$AJ:$AJ,MATCH($A183,'Tournament Setup'!$A:$A,0))&lt;=MOD($Y183,18),1,0)))</f>
      </c>
      <c r="AG183" t="e">
        <f>IF(OR(OR($A183="",$D183=""),M183=""),"",M183-(INT($Y183/18)+IF(INDEX('Tournament Setup'!$AK:$AK,MATCH($A183,'Tournament Setup'!$A:$A,0))&lt;=MOD($Y183,18),1,0)))</f>
      </c>
      <c r="AH183" t="e">
        <f>IF(OR(OR($A183="",$D183=""),N183=""),"",N183-(INT($Y183/18)+IF(INDEX('Tournament Setup'!$AL:$AL,MATCH($A183,'Tournament Setup'!$A:$A,0))&lt;=MOD($Y183,18),1,0)))</f>
      </c>
      <c r="AI183" t="e">
        <f>IF(OR(OR($A183="",$D183=""),O183=""),"",O183-(INT($Y183/18)+IF(INDEX('Tournament Setup'!$AM:$AM,MATCH($A183,'Tournament Setup'!$A:$A,0))&lt;=MOD($Y183,18),1,0)))</f>
      </c>
      <c r="AJ183" t="e">
        <f>IF(OR(OR($A183="",$D183=""),P183=""),"",P183-(INT($Y183/18)+IF(INDEX('Tournament Setup'!$AN:$AN,MATCH($A183,'Tournament Setup'!$A:$A,0))&lt;=MOD($Y183,18),1,0)))</f>
      </c>
      <c r="AK183" t="e">
        <f>IF(OR(OR($A183="",$D183=""),Q183=""),"",Q183-(INT($Y183/18)+IF(INDEX('Tournament Setup'!$AO:$AO,MATCH($A183,'Tournament Setup'!$A:$A,0))&lt;=MOD($Y183,18),1,0)))</f>
      </c>
      <c r="AL183" t="e">
        <f>IF(OR(OR($A183="",$D183=""),R183=""),"",R183-(INT($Y183/18)+IF(INDEX('Tournament Setup'!$AP:$AP,MATCH($A183,'Tournament Setup'!$A:$A,0))&lt;=MOD($Y183,18),1,0)))</f>
      </c>
      <c r="AM183" t="e">
        <f>IF(OR(OR($A183="",$D183=""),S183=""),"",S183-(INT($Y183/18)+IF(INDEX('Tournament Setup'!$AQ:$AQ,MATCH($A183,'Tournament Setup'!$A:$A,0))&lt;=MOD($Y183,18),1,0)))</f>
      </c>
      <c r="AN183" t="e">
        <f>IF(OR(OR($A183="",$D183=""),T183=""),"",T183-(INT($Y183/18)+IF(INDEX('Tournament Setup'!$AR:$AR,MATCH($A183,'Tournament Setup'!$A:$A,0))&lt;=MOD($Y183,18),1,0)))</f>
      </c>
      <c r="AO183" t="e">
        <f>IF(OR(OR($A183="",$D183=""),U183=""),"",U183-(INT($Y183/18)+IF(INDEX('Tournament Setup'!$AS:$AS,MATCH($A183,'Tournament Setup'!$A:$A,0))&lt;=MOD($Y183,18),1,0)))</f>
      </c>
      <c r="AP183" t="e">
        <f>IF(OR(OR($A183="",$D183=""),V183=""),"",V183-(INT($Y183/18)+IF(INDEX('Tournament Setup'!$AT:$AT,MATCH($A183,'Tournament Setup'!$A:$A,0))&lt;=MOD($Y183,18),1,0)))</f>
      </c>
      <c r="AQ183" t="e">
        <f>IF(OR(OR($A183="",$D183=""),W183=""),"",W183-(INT($Y183/18)+IF(INDEX('Tournament Setup'!$AU:$AU,MATCH($A183,'Tournament Setup'!$A:$A,0))&lt;=MOD($Y183,18),1,0)))</f>
      </c>
    </row>
    <row r="184">
      <c r="X184" t="e">
        <f>IF(OR($A184="",$D184=""),"",SUM(F184:W184))</f>
      </c>
      <c r="Y184" t="e">
        <f>IF(OR($A184="",$D184=""),"",IF(INDEX('Tournament Setup'!$F:$F,MATCH($A184,'Tournament Setup'!$A:$A,0))="Net",ROUND(($E184-_xlfn.MINIFS($E$2:$E$401,$A$2:$A$401,$A184,$B$2:$B$401,$B184))*INDEX('Tournament Setup'!$G:$G,MATCH($A184,'Tournament Setup'!$A:$A,0))/100,0),0))</f>
      </c>
      <c r="Z184" t="e">
        <f>IF(OR(OR($A184="",$D184=""),F184=""),"",F184-(INT($Y184/18)+IF(INDEX('Tournament Setup'!$AD:$AD,MATCH($A184,'Tournament Setup'!$A:$A,0))&lt;=MOD($Y184,18),1,0)))</f>
      </c>
      <c r="AA184" t="e">
        <f>IF(OR(OR($A184="",$D184=""),G184=""),"",G184-(INT($Y184/18)+IF(INDEX('Tournament Setup'!$AE:$AE,MATCH($A184,'Tournament Setup'!$A:$A,0))&lt;=MOD($Y184,18),1,0)))</f>
      </c>
      <c r="AB184" t="e">
        <f>IF(OR(OR($A184="",$D184=""),H184=""),"",H184-(INT($Y184/18)+IF(INDEX('Tournament Setup'!$AF:$AF,MATCH($A184,'Tournament Setup'!$A:$A,0))&lt;=MOD($Y184,18),1,0)))</f>
      </c>
      <c r="AC184" t="e">
        <f>IF(OR(OR($A184="",$D184=""),I184=""),"",I184-(INT($Y184/18)+IF(INDEX('Tournament Setup'!$AG:$AG,MATCH($A184,'Tournament Setup'!$A:$A,0))&lt;=MOD($Y184,18),1,0)))</f>
      </c>
      <c r="AD184" t="e">
        <f>IF(OR(OR($A184="",$D184=""),J184=""),"",J184-(INT($Y184/18)+IF(INDEX('Tournament Setup'!$AH:$AH,MATCH($A184,'Tournament Setup'!$A:$A,0))&lt;=MOD($Y184,18),1,0)))</f>
      </c>
      <c r="AE184" t="e">
        <f>IF(OR(OR($A184="",$D184=""),K184=""),"",K184-(INT($Y184/18)+IF(INDEX('Tournament Setup'!$AI:$AI,MATCH($A184,'Tournament Setup'!$A:$A,0))&lt;=MOD($Y184,18),1,0)))</f>
      </c>
      <c r="AF184" t="e">
        <f>IF(OR(OR($A184="",$D184=""),L184=""),"",L184-(INT($Y184/18)+IF(INDEX('Tournament Setup'!$AJ:$AJ,MATCH($A184,'Tournament Setup'!$A:$A,0))&lt;=MOD($Y184,18),1,0)))</f>
      </c>
      <c r="AG184" t="e">
        <f>IF(OR(OR($A184="",$D184=""),M184=""),"",M184-(INT($Y184/18)+IF(INDEX('Tournament Setup'!$AK:$AK,MATCH($A184,'Tournament Setup'!$A:$A,0))&lt;=MOD($Y184,18),1,0)))</f>
      </c>
      <c r="AH184" t="e">
        <f>IF(OR(OR($A184="",$D184=""),N184=""),"",N184-(INT($Y184/18)+IF(INDEX('Tournament Setup'!$AL:$AL,MATCH($A184,'Tournament Setup'!$A:$A,0))&lt;=MOD($Y184,18),1,0)))</f>
      </c>
      <c r="AI184" t="e">
        <f>IF(OR(OR($A184="",$D184=""),O184=""),"",O184-(INT($Y184/18)+IF(INDEX('Tournament Setup'!$AM:$AM,MATCH($A184,'Tournament Setup'!$A:$A,0))&lt;=MOD($Y184,18),1,0)))</f>
      </c>
      <c r="AJ184" t="e">
        <f>IF(OR(OR($A184="",$D184=""),P184=""),"",P184-(INT($Y184/18)+IF(INDEX('Tournament Setup'!$AN:$AN,MATCH($A184,'Tournament Setup'!$A:$A,0))&lt;=MOD($Y184,18),1,0)))</f>
      </c>
      <c r="AK184" t="e">
        <f>IF(OR(OR($A184="",$D184=""),Q184=""),"",Q184-(INT($Y184/18)+IF(INDEX('Tournament Setup'!$AO:$AO,MATCH($A184,'Tournament Setup'!$A:$A,0))&lt;=MOD($Y184,18),1,0)))</f>
      </c>
      <c r="AL184" t="e">
        <f>IF(OR(OR($A184="",$D184=""),R184=""),"",R184-(INT($Y184/18)+IF(INDEX('Tournament Setup'!$AP:$AP,MATCH($A184,'Tournament Setup'!$A:$A,0))&lt;=MOD($Y184,18),1,0)))</f>
      </c>
      <c r="AM184" t="e">
        <f>IF(OR(OR($A184="",$D184=""),S184=""),"",S184-(INT($Y184/18)+IF(INDEX('Tournament Setup'!$AQ:$AQ,MATCH($A184,'Tournament Setup'!$A:$A,0))&lt;=MOD($Y184,18),1,0)))</f>
      </c>
      <c r="AN184" t="e">
        <f>IF(OR(OR($A184="",$D184=""),T184=""),"",T184-(INT($Y184/18)+IF(INDEX('Tournament Setup'!$AR:$AR,MATCH($A184,'Tournament Setup'!$A:$A,0))&lt;=MOD($Y184,18),1,0)))</f>
      </c>
      <c r="AO184" t="e">
        <f>IF(OR(OR($A184="",$D184=""),U184=""),"",U184-(INT($Y184/18)+IF(INDEX('Tournament Setup'!$AS:$AS,MATCH($A184,'Tournament Setup'!$A:$A,0))&lt;=MOD($Y184,18),1,0)))</f>
      </c>
      <c r="AP184" t="e">
        <f>IF(OR(OR($A184="",$D184=""),V184=""),"",V184-(INT($Y184/18)+IF(INDEX('Tournament Setup'!$AT:$AT,MATCH($A184,'Tournament Setup'!$A:$A,0))&lt;=MOD($Y184,18),1,0)))</f>
      </c>
      <c r="AQ184" t="e">
        <f>IF(OR(OR($A184="",$D184=""),W184=""),"",W184-(INT($Y184/18)+IF(INDEX('Tournament Setup'!$AU:$AU,MATCH($A184,'Tournament Setup'!$A:$A,0))&lt;=MOD($Y184,18),1,0)))</f>
      </c>
    </row>
    <row r="185">
      <c r="X185" t="e">
        <f>IF(OR($A185="",$D185=""),"",SUM(F185:W185))</f>
      </c>
      <c r="Y185" t="e">
        <f>IF(OR($A185="",$D185=""),"",IF(INDEX('Tournament Setup'!$F:$F,MATCH($A185,'Tournament Setup'!$A:$A,0))="Net",ROUND(($E185-_xlfn.MINIFS($E$2:$E$401,$A$2:$A$401,$A185,$B$2:$B$401,$B185))*INDEX('Tournament Setup'!$G:$G,MATCH($A185,'Tournament Setup'!$A:$A,0))/100,0),0))</f>
      </c>
      <c r="Z185" t="e">
        <f>IF(OR(OR($A185="",$D185=""),F185=""),"",F185-(INT($Y185/18)+IF(INDEX('Tournament Setup'!$AD:$AD,MATCH($A185,'Tournament Setup'!$A:$A,0))&lt;=MOD($Y185,18),1,0)))</f>
      </c>
      <c r="AA185" t="e">
        <f>IF(OR(OR($A185="",$D185=""),G185=""),"",G185-(INT($Y185/18)+IF(INDEX('Tournament Setup'!$AE:$AE,MATCH($A185,'Tournament Setup'!$A:$A,0))&lt;=MOD($Y185,18),1,0)))</f>
      </c>
      <c r="AB185" t="e">
        <f>IF(OR(OR($A185="",$D185=""),H185=""),"",H185-(INT($Y185/18)+IF(INDEX('Tournament Setup'!$AF:$AF,MATCH($A185,'Tournament Setup'!$A:$A,0))&lt;=MOD($Y185,18),1,0)))</f>
      </c>
      <c r="AC185" t="e">
        <f>IF(OR(OR($A185="",$D185=""),I185=""),"",I185-(INT($Y185/18)+IF(INDEX('Tournament Setup'!$AG:$AG,MATCH($A185,'Tournament Setup'!$A:$A,0))&lt;=MOD($Y185,18),1,0)))</f>
      </c>
      <c r="AD185" t="e">
        <f>IF(OR(OR($A185="",$D185=""),J185=""),"",J185-(INT($Y185/18)+IF(INDEX('Tournament Setup'!$AH:$AH,MATCH($A185,'Tournament Setup'!$A:$A,0))&lt;=MOD($Y185,18),1,0)))</f>
      </c>
      <c r="AE185" t="e">
        <f>IF(OR(OR($A185="",$D185=""),K185=""),"",K185-(INT($Y185/18)+IF(INDEX('Tournament Setup'!$AI:$AI,MATCH($A185,'Tournament Setup'!$A:$A,0))&lt;=MOD($Y185,18),1,0)))</f>
      </c>
      <c r="AF185" t="e">
        <f>IF(OR(OR($A185="",$D185=""),L185=""),"",L185-(INT($Y185/18)+IF(INDEX('Tournament Setup'!$AJ:$AJ,MATCH($A185,'Tournament Setup'!$A:$A,0))&lt;=MOD($Y185,18),1,0)))</f>
      </c>
      <c r="AG185" t="e">
        <f>IF(OR(OR($A185="",$D185=""),M185=""),"",M185-(INT($Y185/18)+IF(INDEX('Tournament Setup'!$AK:$AK,MATCH($A185,'Tournament Setup'!$A:$A,0))&lt;=MOD($Y185,18),1,0)))</f>
      </c>
      <c r="AH185" t="e">
        <f>IF(OR(OR($A185="",$D185=""),N185=""),"",N185-(INT($Y185/18)+IF(INDEX('Tournament Setup'!$AL:$AL,MATCH($A185,'Tournament Setup'!$A:$A,0))&lt;=MOD($Y185,18),1,0)))</f>
      </c>
      <c r="AI185" t="e">
        <f>IF(OR(OR($A185="",$D185=""),O185=""),"",O185-(INT($Y185/18)+IF(INDEX('Tournament Setup'!$AM:$AM,MATCH($A185,'Tournament Setup'!$A:$A,0))&lt;=MOD($Y185,18),1,0)))</f>
      </c>
      <c r="AJ185" t="e">
        <f>IF(OR(OR($A185="",$D185=""),P185=""),"",P185-(INT($Y185/18)+IF(INDEX('Tournament Setup'!$AN:$AN,MATCH($A185,'Tournament Setup'!$A:$A,0))&lt;=MOD($Y185,18),1,0)))</f>
      </c>
      <c r="AK185" t="e">
        <f>IF(OR(OR($A185="",$D185=""),Q185=""),"",Q185-(INT($Y185/18)+IF(INDEX('Tournament Setup'!$AO:$AO,MATCH($A185,'Tournament Setup'!$A:$A,0))&lt;=MOD($Y185,18),1,0)))</f>
      </c>
      <c r="AL185" t="e">
        <f>IF(OR(OR($A185="",$D185=""),R185=""),"",R185-(INT($Y185/18)+IF(INDEX('Tournament Setup'!$AP:$AP,MATCH($A185,'Tournament Setup'!$A:$A,0))&lt;=MOD($Y185,18),1,0)))</f>
      </c>
      <c r="AM185" t="e">
        <f>IF(OR(OR($A185="",$D185=""),S185=""),"",S185-(INT($Y185/18)+IF(INDEX('Tournament Setup'!$AQ:$AQ,MATCH($A185,'Tournament Setup'!$A:$A,0))&lt;=MOD($Y185,18),1,0)))</f>
      </c>
      <c r="AN185" t="e">
        <f>IF(OR(OR($A185="",$D185=""),T185=""),"",T185-(INT($Y185/18)+IF(INDEX('Tournament Setup'!$AR:$AR,MATCH($A185,'Tournament Setup'!$A:$A,0))&lt;=MOD($Y185,18),1,0)))</f>
      </c>
      <c r="AO185" t="e">
        <f>IF(OR(OR($A185="",$D185=""),U185=""),"",U185-(INT($Y185/18)+IF(INDEX('Tournament Setup'!$AS:$AS,MATCH($A185,'Tournament Setup'!$A:$A,0))&lt;=MOD($Y185,18),1,0)))</f>
      </c>
      <c r="AP185" t="e">
        <f>IF(OR(OR($A185="",$D185=""),V185=""),"",V185-(INT($Y185/18)+IF(INDEX('Tournament Setup'!$AT:$AT,MATCH($A185,'Tournament Setup'!$A:$A,0))&lt;=MOD($Y185,18),1,0)))</f>
      </c>
      <c r="AQ185" t="e">
        <f>IF(OR(OR($A185="",$D185=""),W185=""),"",W185-(INT($Y185/18)+IF(INDEX('Tournament Setup'!$AU:$AU,MATCH($A185,'Tournament Setup'!$A:$A,0))&lt;=MOD($Y185,18),1,0)))</f>
      </c>
    </row>
    <row r="186">
      <c r="X186" t="e">
        <f>IF(OR($A186="",$D186=""),"",SUM(F186:W186))</f>
      </c>
      <c r="Y186" t="e">
        <f>IF(OR($A186="",$D186=""),"",IF(INDEX('Tournament Setup'!$F:$F,MATCH($A186,'Tournament Setup'!$A:$A,0))="Net",ROUND(($E186-_xlfn.MINIFS($E$2:$E$401,$A$2:$A$401,$A186,$B$2:$B$401,$B186))*INDEX('Tournament Setup'!$G:$G,MATCH($A186,'Tournament Setup'!$A:$A,0))/100,0),0))</f>
      </c>
      <c r="Z186" t="e">
        <f>IF(OR(OR($A186="",$D186=""),F186=""),"",F186-(INT($Y186/18)+IF(INDEX('Tournament Setup'!$AD:$AD,MATCH($A186,'Tournament Setup'!$A:$A,0))&lt;=MOD($Y186,18),1,0)))</f>
      </c>
      <c r="AA186" t="e">
        <f>IF(OR(OR($A186="",$D186=""),G186=""),"",G186-(INT($Y186/18)+IF(INDEX('Tournament Setup'!$AE:$AE,MATCH($A186,'Tournament Setup'!$A:$A,0))&lt;=MOD($Y186,18),1,0)))</f>
      </c>
      <c r="AB186" t="e">
        <f>IF(OR(OR($A186="",$D186=""),H186=""),"",H186-(INT($Y186/18)+IF(INDEX('Tournament Setup'!$AF:$AF,MATCH($A186,'Tournament Setup'!$A:$A,0))&lt;=MOD($Y186,18),1,0)))</f>
      </c>
      <c r="AC186" t="e">
        <f>IF(OR(OR($A186="",$D186=""),I186=""),"",I186-(INT($Y186/18)+IF(INDEX('Tournament Setup'!$AG:$AG,MATCH($A186,'Tournament Setup'!$A:$A,0))&lt;=MOD($Y186,18),1,0)))</f>
      </c>
      <c r="AD186" t="e">
        <f>IF(OR(OR($A186="",$D186=""),J186=""),"",J186-(INT($Y186/18)+IF(INDEX('Tournament Setup'!$AH:$AH,MATCH($A186,'Tournament Setup'!$A:$A,0))&lt;=MOD($Y186,18),1,0)))</f>
      </c>
      <c r="AE186" t="e">
        <f>IF(OR(OR($A186="",$D186=""),K186=""),"",K186-(INT($Y186/18)+IF(INDEX('Tournament Setup'!$AI:$AI,MATCH($A186,'Tournament Setup'!$A:$A,0))&lt;=MOD($Y186,18),1,0)))</f>
      </c>
      <c r="AF186" t="e">
        <f>IF(OR(OR($A186="",$D186=""),L186=""),"",L186-(INT($Y186/18)+IF(INDEX('Tournament Setup'!$AJ:$AJ,MATCH($A186,'Tournament Setup'!$A:$A,0))&lt;=MOD($Y186,18),1,0)))</f>
      </c>
      <c r="AG186" t="e">
        <f>IF(OR(OR($A186="",$D186=""),M186=""),"",M186-(INT($Y186/18)+IF(INDEX('Tournament Setup'!$AK:$AK,MATCH($A186,'Tournament Setup'!$A:$A,0))&lt;=MOD($Y186,18),1,0)))</f>
      </c>
      <c r="AH186" t="e">
        <f>IF(OR(OR($A186="",$D186=""),N186=""),"",N186-(INT($Y186/18)+IF(INDEX('Tournament Setup'!$AL:$AL,MATCH($A186,'Tournament Setup'!$A:$A,0))&lt;=MOD($Y186,18),1,0)))</f>
      </c>
      <c r="AI186" t="e">
        <f>IF(OR(OR($A186="",$D186=""),O186=""),"",O186-(INT($Y186/18)+IF(INDEX('Tournament Setup'!$AM:$AM,MATCH($A186,'Tournament Setup'!$A:$A,0))&lt;=MOD($Y186,18),1,0)))</f>
      </c>
      <c r="AJ186" t="e">
        <f>IF(OR(OR($A186="",$D186=""),P186=""),"",P186-(INT($Y186/18)+IF(INDEX('Tournament Setup'!$AN:$AN,MATCH($A186,'Tournament Setup'!$A:$A,0))&lt;=MOD($Y186,18),1,0)))</f>
      </c>
      <c r="AK186" t="e">
        <f>IF(OR(OR($A186="",$D186=""),Q186=""),"",Q186-(INT($Y186/18)+IF(INDEX('Tournament Setup'!$AO:$AO,MATCH($A186,'Tournament Setup'!$A:$A,0))&lt;=MOD($Y186,18),1,0)))</f>
      </c>
      <c r="AL186" t="e">
        <f>IF(OR(OR($A186="",$D186=""),R186=""),"",R186-(INT($Y186/18)+IF(INDEX('Tournament Setup'!$AP:$AP,MATCH($A186,'Tournament Setup'!$A:$A,0))&lt;=MOD($Y186,18),1,0)))</f>
      </c>
      <c r="AM186" t="e">
        <f>IF(OR(OR($A186="",$D186=""),S186=""),"",S186-(INT($Y186/18)+IF(INDEX('Tournament Setup'!$AQ:$AQ,MATCH($A186,'Tournament Setup'!$A:$A,0))&lt;=MOD($Y186,18),1,0)))</f>
      </c>
      <c r="AN186" t="e">
        <f>IF(OR(OR($A186="",$D186=""),T186=""),"",T186-(INT($Y186/18)+IF(INDEX('Tournament Setup'!$AR:$AR,MATCH($A186,'Tournament Setup'!$A:$A,0))&lt;=MOD($Y186,18),1,0)))</f>
      </c>
      <c r="AO186" t="e">
        <f>IF(OR(OR($A186="",$D186=""),U186=""),"",U186-(INT($Y186/18)+IF(INDEX('Tournament Setup'!$AS:$AS,MATCH($A186,'Tournament Setup'!$A:$A,0))&lt;=MOD($Y186,18),1,0)))</f>
      </c>
      <c r="AP186" t="e">
        <f>IF(OR(OR($A186="",$D186=""),V186=""),"",V186-(INT($Y186/18)+IF(INDEX('Tournament Setup'!$AT:$AT,MATCH($A186,'Tournament Setup'!$A:$A,0))&lt;=MOD($Y186,18),1,0)))</f>
      </c>
      <c r="AQ186" t="e">
        <f>IF(OR(OR($A186="",$D186=""),W186=""),"",W186-(INT($Y186/18)+IF(INDEX('Tournament Setup'!$AU:$AU,MATCH($A186,'Tournament Setup'!$A:$A,0))&lt;=MOD($Y186,18),1,0)))</f>
      </c>
    </row>
    <row r="187">
      <c r="X187" t="e">
        <f>IF(OR($A187="",$D187=""),"",SUM(F187:W187))</f>
      </c>
      <c r="Y187" t="e">
        <f>IF(OR($A187="",$D187=""),"",IF(INDEX('Tournament Setup'!$F:$F,MATCH($A187,'Tournament Setup'!$A:$A,0))="Net",ROUND(($E187-_xlfn.MINIFS($E$2:$E$401,$A$2:$A$401,$A187,$B$2:$B$401,$B187))*INDEX('Tournament Setup'!$G:$G,MATCH($A187,'Tournament Setup'!$A:$A,0))/100,0),0))</f>
      </c>
      <c r="Z187" t="e">
        <f>IF(OR(OR($A187="",$D187=""),F187=""),"",F187-(INT($Y187/18)+IF(INDEX('Tournament Setup'!$AD:$AD,MATCH($A187,'Tournament Setup'!$A:$A,0))&lt;=MOD($Y187,18),1,0)))</f>
      </c>
      <c r="AA187" t="e">
        <f>IF(OR(OR($A187="",$D187=""),G187=""),"",G187-(INT($Y187/18)+IF(INDEX('Tournament Setup'!$AE:$AE,MATCH($A187,'Tournament Setup'!$A:$A,0))&lt;=MOD($Y187,18),1,0)))</f>
      </c>
      <c r="AB187" t="e">
        <f>IF(OR(OR($A187="",$D187=""),H187=""),"",H187-(INT($Y187/18)+IF(INDEX('Tournament Setup'!$AF:$AF,MATCH($A187,'Tournament Setup'!$A:$A,0))&lt;=MOD($Y187,18),1,0)))</f>
      </c>
      <c r="AC187" t="e">
        <f>IF(OR(OR($A187="",$D187=""),I187=""),"",I187-(INT($Y187/18)+IF(INDEX('Tournament Setup'!$AG:$AG,MATCH($A187,'Tournament Setup'!$A:$A,0))&lt;=MOD($Y187,18),1,0)))</f>
      </c>
      <c r="AD187" t="e">
        <f>IF(OR(OR($A187="",$D187=""),J187=""),"",J187-(INT($Y187/18)+IF(INDEX('Tournament Setup'!$AH:$AH,MATCH($A187,'Tournament Setup'!$A:$A,0))&lt;=MOD($Y187,18),1,0)))</f>
      </c>
      <c r="AE187" t="e">
        <f>IF(OR(OR($A187="",$D187=""),K187=""),"",K187-(INT($Y187/18)+IF(INDEX('Tournament Setup'!$AI:$AI,MATCH($A187,'Tournament Setup'!$A:$A,0))&lt;=MOD($Y187,18),1,0)))</f>
      </c>
      <c r="AF187" t="e">
        <f>IF(OR(OR($A187="",$D187=""),L187=""),"",L187-(INT($Y187/18)+IF(INDEX('Tournament Setup'!$AJ:$AJ,MATCH($A187,'Tournament Setup'!$A:$A,0))&lt;=MOD($Y187,18),1,0)))</f>
      </c>
      <c r="AG187" t="e">
        <f>IF(OR(OR($A187="",$D187=""),M187=""),"",M187-(INT($Y187/18)+IF(INDEX('Tournament Setup'!$AK:$AK,MATCH($A187,'Tournament Setup'!$A:$A,0))&lt;=MOD($Y187,18),1,0)))</f>
      </c>
      <c r="AH187" t="e">
        <f>IF(OR(OR($A187="",$D187=""),N187=""),"",N187-(INT($Y187/18)+IF(INDEX('Tournament Setup'!$AL:$AL,MATCH($A187,'Tournament Setup'!$A:$A,0))&lt;=MOD($Y187,18),1,0)))</f>
      </c>
      <c r="AI187" t="e">
        <f>IF(OR(OR($A187="",$D187=""),O187=""),"",O187-(INT($Y187/18)+IF(INDEX('Tournament Setup'!$AM:$AM,MATCH($A187,'Tournament Setup'!$A:$A,0))&lt;=MOD($Y187,18),1,0)))</f>
      </c>
      <c r="AJ187" t="e">
        <f>IF(OR(OR($A187="",$D187=""),P187=""),"",P187-(INT($Y187/18)+IF(INDEX('Tournament Setup'!$AN:$AN,MATCH($A187,'Tournament Setup'!$A:$A,0))&lt;=MOD($Y187,18),1,0)))</f>
      </c>
      <c r="AK187" t="e">
        <f>IF(OR(OR($A187="",$D187=""),Q187=""),"",Q187-(INT($Y187/18)+IF(INDEX('Tournament Setup'!$AO:$AO,MATCH($A187,'Tournament Setup'!$A:$A,0))&lt;=MOD($Y187,18),1,0)))</f>
      </c>
      <c r="AL187" t="e">
        <f>IF(OR(OR($A187="",$D187=""),R187=""),"",R187-(INT($Y187/18)+IF(INDEX('Tournament Setup'!$AP:$AP,MATCH($A187,'Tournament Setup'!$A:$A,0))&lt;=MOD($Y187,18),1,0)))</f>
      </c>
      <c r="AM187" t="e">
        <f>IF(OR(OR($A187="",$D187=""),S187=""),"",S187-(INT($Y187/18)+IF(INDEX('Tournament Setup'!$AQ:$AQ,MATCH($A187,'Tournament Setup'!$A:$A,0))&lt;=MOD($Y187,18),1,0)))</f>
      </c>
      <c r="AN187" t="e">
        <f>IF(OR(OR($A187="",$D187=""),T187=""),"",T187-(INT($Y187/18)+IF(INDEX('Tournament Setup'!$AR:$AR,MATCH($A187,'Tournament Setup'!$A:$A,0))&lt;=MOD($Y187,18),1,0)))</f>
      </c>
      <c r="AO187" t="e">
        <f>IF(OR(OR($A187="",$D187=""),U187=""),"",U187-(INT($Y187/18)+IF(INDEX('Tournament Setup'!$AS:$AS,MATCH($A187,'Tournament Setup'!$A:$A,0))&lt;=MOD($Y187,18),1,0)))</f>
      </c>
      <c r="AP187" t="e">
        <f>IF(OR(OR($A187="",$D187=""),V187=""),"",V187-(INT($Y187/18)+IF(INDEX('Tournament Setup'!$AT:$AT,MATCH($A187,'Tournament Setup'!$A:$A,0))&lt;=MOD($Y187,18),1,0)))</f>
      </c>
      <c r="AQ187" t="e">
        <f>IF(OR(OR($A187="",$D187=""),W187=""),"",W187-(INT($Y187/18)+IF(INDEX('Tournament Setup'!$AU:$AU,MATCH($A187,'Tournament Setup'!$A:$A,0))&lt;=MOD($Y187,18),1,0)))</f>
      </c>
    </row>
    <row r="188">
      <c r="X188" t="e">
        <f>IF(OR($A188="",$D188=""),"",SUM(F188:W188))</f>
      </c>
      <c r="Y188" t="e">
        <f>IF(OR($A188="",$D188=""),"",IF(INDEX('Tournament Setup'!$F:$F,MATCH($A188,'Tournament Setup'!$A:$A,0))="Net",ROUND(($E188-_xlfn.MINIFS($E$2:$E$401,$A$2:$A$401,$A188,$B$2:$B$401,$B188))*INDEX('Tournament Setup'!$G:$G,MATCH($A188,'Tournament Setup'!$A:$A,0))/100,0),0))</f>
      </c>
      <c r="Z188" t="e">
        <f>IF(OR(OR($A188="",$D188=""),F188=""),"",F188-(INT($Y188/18)+IF(INDEX('Tournament Setup'!$AD:$AD,MATCH($A188,'Tournament Setup'!$A:$A,0))&lt;=MOD($Y188,18),1,0)))</f>
      </c>
      <c r="AA188" t="e">
        <f>IF(OR(OR($A188="",$D188=""),G188=""),"",G188-(INT($Y188/18)+IF(INDEX('Tournament Setup'!$AE:$AE,MATCH($A188,'Tournament Setup'!$A:$A,0))&lt;=MOD($Y188,18),1,0)))</f>
      </c>
      <c r="AB188" t="e">
        <f>IF(OR(OR($A188="",$D188=""),H188=""),"",H188-(INT($Y188/18)+IF(INDEX('Tournament Setup'!$AF:$AF,MATCH($A188,'Tournament Setup'!$A:$A,0))&lt;=MOD($Y188,18),1,0)))</f>
      </c>
      <c r="AC188" t="e">
        <f>IF(OR(OR($A188="",$D188=""),I188=""),"",I188-(INT($Y188/18)+IF(INDEX('Tournament Setup'!$AG:$AG,MATCH($A188,'Tournament Setup'!$A:$A,0))&lt;=MOD($Y188,18),1,0)))</f>
      </c>
      <c r="AD188" t="e">
        <f>IF(OR(OR($A188="",$D188=""),J188=""),"",J188-(INT($Y188/18)+IF(INDEX('Tournament Setup'!$AH:$AH,MATCH($A188,'Tournament Setup'!$A:$A,0))&lt;=MOD($Y188,18),1,0)))</f>
      </c>
      <c r="AE188" t="e">
        <f>IF(OR(OR($A188="",$D188=""),K188=""),"",K188-(INT($Y188/18)+IF(INDEX('Tournament Setup'!$AI:$AI,MATCH($A188,'Tournament Setup'!$A:$A,0))&lt;=MOD($Y188,18),1,0)))</f>
      </c>
      <c r="AF188" t="e">
        <f>IF(OR(OR($A188="",$D188=""),L188=""),"",L188-(INT($Y188/18)+IF(INDEX('Tournament Setup'!$AJ:$AJ,MATCH($A188,'Tournament Setup'!$A:$A,0))&lt;=MOD($Y188,18),1,0)))</f>
      </c>
      <c r="AG188" t="e">
        <f>IF(OR(OR($A188="",$D188=""),M188=""),"",M188-(INT($Y188/18)+IF(INDEX('Tournament Setup'!$AK:$AK,MATCH($A188,'Tournament Setup'!$A:$A,0))&lt;=MOD($Y188,18),1,0)))</f>
      </c>
      <c r="AH188" t="e">
        <f>IF(OR(OR($A188="",$D188=""),N188=""),"",N188-(INT($Y188/18)+IF(INDEX('Tournament Setup'!$AL:$AL,MATCH($A188,'Tournament Setup'!$A:$A,0))&lt;=MOD($Y188,18),1,0)))</f>
      </c>
      <c r="AI188" t="e">
        <f>IF(OR(OR($A188="",$D188=""),O188=""),"",O188-(INT($Y188/18)+IF(INDEX('Tournament Setup'!$AM:$AM,MATCH($A188,'Tournament Setup'!$A:$A,0))&lt;=MOD($Y188,18),1,0)))</f>
      </c>
      <c r="AJ188" t="e">
        <f>IF(OR(OR($A188="",$D188=""),P188=""),"",P188-(INT($Y188/18)+IF(INDEX('Tournament Setup'!$AN:$AN,MATCH($A188,'Tournament Setup'!$A:$A,0))&lt;=MOD($Y188,18),1,0)))</f>
      </c>
      <c r="AK188" t="e">
        <f>IF(OR(OR($A188="",$D188=""),Q188=""),"",Q188-(INT($Y188/18)+IF(INDEX('Tournament Setup'!$AO:$AO,MATCH($A188,'Tournament Setup'!$A:$A,0))&lt;=MOD($Y188,18),1,0)))</f>
      </c>
      <c r="AL188" t="e">
        <f>IF(OR(OR($A188="",$D188=""),R188=""),"",R188-(INT($Y188/18)+IF(INDEX('Tournament Setup'!$AP:$AP,MATCH($A188,'Tournament Setup'!$A:$A,0))&lt;=MOD($Y188,18),1,0)))</f>
      </c>
      <c r="AM188" t="e">
        <f>IF(OR(OR($A188="",$D188=""),S188=""),"",S188-(INT($Y188/18)+IF(INDEX('Tournament Setup'!$AQ:$AQ,MATCH($A188,'Tournament Setup'!$A:$A,0))&lt;=MOD($Y188,18),1,0)))</f>
      </c>
      <c r="AN188" t="e">
        <f>IF(OR(OR($A188="",$D188=""),T188=""),"",T188-(INT($Y188/18)+IF(INDEX('Tournament Setup'!$AR:$AR,MATCH($A188,'Tournament Setup'!$A:$A,0))&lt;=MOD($Y188,18),1,0)))</f>
      </c>
      <c r="AO188" t="e">
        <f>IF(OR(OR($A188="",$D188=""),U188=""),"",U188-(INT($Y188/18)+IF(INDEX('Tournament Setup'!$AS:$AS,MATCH($A188,'Tournament Setup'!$A:$A,0))&lt;=MOD($Y188,18),1,0)))</f>
      </c>
      <c r="AP188" t="e">
        <f>IF(OR(OR($A188="",$D188=""),V188=""),"",V188-(INT($Y188/18)+IF(INDEX('Tournament Setup'!$AT:$AT,MATCH($A188,'Tournament Setup'!$A:$A,0))&lt;=MOD($Y188,18),1,0)))</f>
      </c>
      <c r="AQ188" t="e">
        <f>IF(OR(OR($A188="",$D188=""),W188=""),"",W188-(INT($Y188/18)+IF(INDEX('Tournament Setup'!$AU:$AU,MATCH($A188,'Tournament Setup'!$A:$A,0))&lt;=MOD($Y188,18),1,0)))</f>
      </c>
    </row>
    <row r="189">
      <c r="X189" t="e">
        <f>IF(OR($A189="",$D189=""),"",SUM(F189:W189))</f>
      </c>
      <c r="Y189" t="e">
        <f>IF(OR($A189="",$D189=""),"",IF(INDEX('Tournament Setup'!$F:$F,MATCH($A189,'Tournament Setup'!$A:$A,0))="Net",ROUND(($E189-_xlfn.MINIFS($E$2:$E$401,$A$2:$A$401,$A189,$B$2:$B$401,$B189))*INDEX('Tournament Setup'!$G:$G,MATCH($A189,'Tournament Setup'!$A:$A,0))/100,0),0))</f>
      </c>
      <c r="Z189" t="e">
        <f>IF(OR(OR($A189="",$D189=""),F189=""),"",F189-(INT($Y189/18)+IF(INDEX('Tournament Setup'!$AD:$AD,MATCH($A189,'Tournament Setup'!$A:$A,0))&lt;=MOD($Y189,18),1,0)))</f>
      </c>
      <c r="AA189" t="e">
        <f>IF(OR(OR($A189="",$D189=""),G189=""),"",G189-(INT($Y189/18)+IF(INDEX('Tournament Setup'!$AE:$AE,MATCH($A189,'Tournament Setup'!$A:$A,0))&lt;=MOD($Y189,18),1,0)))</f>
      </c>
      <c r="AB189" t="e">
        <f>IF(OR(OR($A189="",$D189=""),H189=""),"",H189-(INT($Y189/18)+IF(INDEX('Tournament Setup'!$AF:$AF,MATCH($A189,'Tournament Setup'!$A:$A,0))&lt;=MOD($Y189,18),1,0)))</f>
      </c>
      <c r="AC189" t="e">
        <f>IF(OR(OR($A189="",$D189=""),I189=""),"",I189-(INT($Y189/18)+IF(INDEX('Tournament Setup'!$AG:$AG,MATCH($A189,'Tournament Setup'!$A:$A,0))&lt;=MOD($Y189,18),1,0)))</f>
      </c>
      <c r="AD189" t="e">
        <f>IF(OR(OR($A189="",$D189=""),J189=""),"",J189-(INT($Y189/18)+IF(INDEX('Tournament Setup'!$AH:$AH,MATCH($A189,'Tournament Setup'!$A:$A,0))&lt;=MOD($Y189,18),1,0)))</f>
      </c>
      <c r="AE189" t="e">
        <f>IF(OR(OR($A189="",$D189=""),K189=""),"",K189-(INT($Y189/18)+IF(INDEX('Tournament Setup'!$AI:$AI,MATCH($A189,'Tournament Setup'!$A:$A,0))&lt;=MOD($Y189,18),1,0)))</f>
      </c>
      <c r="AF189" t="e">
        <f>IF(OR(OR($A189="",$D189=""),L189=""),"",L189-(INT($Y189/18)+IF(INDEX('Tournament Setup'!$AJ:$AJ,MATCH($A189,'Tournament Setup'!$A:$A,0))&lt;=MOD($Y189,18),1,0)))</f>
      </c>
      <c r="AG189" t="e">
        <f>IF(OR(OR($A189="",$D189=""),M189=""),"",M189-(INT($Y189/18)+IF(INDEX('Tournament Setup'!$AK:$AK,MATCH($A189,'Tournament Setup'!$A:$A,0))&lt;=MOD($Y189,18),1,0)))</f>
      </c>
      <c r="AH189" t="e">
        <f>IF(OR(OR($A189="",$D189=""),N189=""),"",N189-(INT($Y189/18)+IF(INDEX('Tournament Setup'!$AL:$AL,MATCH($A189,'Tournament Setup'!$A:$A,0))&lt;=MOD($Y189,18),1,0)))</f>
      </c>
      <c r="AI189" t="e">
        <f>IF(OR(OR($A189="",$D189=""),O189=""),"",O189-(INT($Y189/18)+IF(INDEX('Tournament Setup'!$AM:$AM,MATCH($A189,'Tournament Setup'!$A:$A,0))&lt;=MOD($Y189,18),1,0)))</f>
      </c>
      <c r="AJ189" t="e">
        <f>IF(OR(OR($A189="",$D189=""),P189=""),"",P189-(INT($Y189/18)+IF(INDEX('Tournament Setup'!$AN:$AN,MATCH($A189,'Tournament Setup'!$A:$A,0))&lt;=MOD($Y189,18),1,0)))</f>
      </c>
      <c r="AK189" t="e">
        <f>IF(OR(OR($A189="",$D189=""),Q189=""),"",Q189-(INT($Y189/18)+IF(INDEX('Tournament Setup'!$AO:$AO,MATCH($A189,'Tournament Setup'!$A:$A,0))&lt;=MOD($Y189,18),1,0)))</f>
      </c>
      <c r="AL189" t="e">
        <f>IF(OR(OR($A189="",$D189=""),R189=""),"",R189-(INT($Y189/18)+IF(INDEX('Tournament Setup'!$AP:$AP,MATCH($A189,'Tournament Setup'!$A:$A,0))&lt;=MOD($Y189,18),1,0)))</f>
      </c>
      <c r="AM189" t="e">
        <f>IF(OR(OR($A189="",$D189=""),S189=""),"",S189-(INT($Y189/18)+IF(INDEX('Tournament Setup'!$AQ:$AQ,MATCH($A189,'Tournament Setup'!$A:$A,0))&lt;=MOD($Y189,18),1,0)))</f>
      </c>
      <c r="AN189" t="e">
        <f>IF(OR(OR($A189="",$D189=""),T189=""),"",T189-(INT($Y189/18)+IF(INDEX('Tournament Setup'!$AR:$AR,MATCH($A189,'Tournament Setup'!$A:$A,0))&lt;=MOD($Y189,18),1,0)))</f>
      </c>
      <c r="AO189" t="e">
        <f>IF(OR(OR($A189="",$D189=""),U189=""),"",U189-(INT($Y189/18)+IF(INDEX('Tournament Setup'!$AS:$AS,MATCH($A189,'Tournament Setup'!$A:$A,0))&lt;=MOD($Y189,18),1,0)))</f>
      </c>
      <c r="AP189" t="e">
        <f>IF(OR(OR($A189="",$D189=""),V189=""),"",V189-(INT($Y189/18)+IF(INDEX('Tournament Setup'!$AT:$AT,MATCH($A189,'Tournament Setup'!$A:$A,0))&lt;=MOD($Y189,18),1,0)))</f>
      </c>
      <c r="AQ189" t="e">
        <f>IF(OR(OR($A189="",$D189=""),W189=""),"",W189-(INT($Y189/18)+IF(INDEX('Tournament Setup'!$AU:$AU,MATCH($A189,'Tournament Setup'!$A:$A,0))&lt;=MOD($Y189,18),1,0)))</f>
      </c>
    </row>
    <row r="190">
      <c r="X190" t="e">
        <f>IF(OR($A190="",$D190=""),"",SUM(F190:W190))</f>
      </c>
      <c r="Y190" t="e">
        <f>IF(OR($A190="",$D190=""),"",IF(INDEX('Tournament Setup'!$F:$F,MATCH($A190,'Tournament Setup'!$A:$A,0))="Net",ROUND(($E190-_xlfn.MINIFS($E$2:$E$401,$A$2:$A$401,$A190,$B$2:$B$401,$B190))*INDEX('Tournament Setup'!$G:$G,MATCH($A190,'Tournament Setup'!$A:$A,0))/100,0),0))</f>
      </c>
      <c r="Z190" t="e">
        <f>IF(OR(OR($A190="",$D190=""),F190=""),"",F190-(INT($Y190/18)+IF(INDEX('Tournament Setup'!$AD:$AD,MATCH($A190,'Tournament Setup'!$A:$A,0))&lt;=MOD($Y190,18),1,0)))</f>
      </c>
      <c r="AA190" t="e">
        <f>IF(OR(OR($A190="",$D190=""),G190=""),"",G190-(INT($Y190/18)+IF(INDEX('Tournament Setup'!$AE:$AE,MATCH($A190,'Tournament Setup'!$A:$A,0))&lt;=MOD($Y190,18),1,0)))</f>
      </c>
      <c r="AB190" t="e">
        <f>IF(OR(OR($A190="",$D190=""),H190=""),"",H190-(INT($Y190/18)+IF(INDEX('Tournament Setup'!$AF:$AF,MATCH($A190,'Tournament Setup'!$A:$A,0))&lt;=MOD($Y190,18),1,0)))</f>
      </c>
      <c r="AC190" t="e">
        <f>IF(OR(OR($A190="",$D190=""),I190=""),"",I190-(INT($Y190/18)+IF(INDEX('Tournament Setup'!$AG:$AG,MATCH($A190,'Tournament Setup'!$A:$A,0))&lt;=MOD($Y190,18),1,0)))</f>
      </c>
      <c r="AD190" t="e">
        <f>IF(OR(OR($A190="",$D190=""),J190=""),"",J190-(INT($Y190/18)+IF(INDEX('Tournament Setup'!$AH:$AH,MATCH($A190,'Tournament Setup'!$A:$A,0))&lt;=MOD($Y190,18),1,0)))</f>
      </c>
      <c r="AE190" t="e">
        <f>IF(OR(OR($A190="",$D190=""),K190=""),"",K190-(INT($Y190/18)+IF(INDEX('Tournament Setup'!$AI:$AI,MATCH($A190,'Tournament Setup'!$A:$A,0))&lt;=MOD($Y190,18),1,0)))</f>
      </c>
      <c r="AF190" t="e">
        <f>IF(OR(OR($A190="",$D190=""),L190=""),"",L190-(INT($Y190/18)+IF(INDEX('Tournament Setup'!$AJ:$AJ,MATCH($A190,'Tournament Setup'!$A:$A,0))&lt;=MOD($Y190,18),1,0)))</f>
      </c>
      <c r="AG190" t="e">
        <f>IF(OR(OR($A190="",$D190=""),M190=""),"",M190-(INT($Y190/18)+IF(INDEX('Tournament Setup'!$AK:$AK,MATCH($A190,'Tournament Setup'!$A:$A,0))&lt;=MOD($Y190,18),1,0)))</f>
      </c>
      <c r="AH190" t="e">
        <f>IF(OR(OR($A190="",$D190=""),N190=""),"",N190-(INT($Y190/18)+IF(INDEX('Tournament Setup'!$AL:$AL,MATCH($A190,'Tournament Setup'!$A:$A,0))&lt;=MOD($Y190,18),1,0)))</f>
      </c>
      <c r="AI190" t="e">
        <f>IF(OR(OR($A190="",$D190=""),O190=""),"",O190-(INT($Y190/18)+IF(INDEX('Tournament Setup'!$AM:$AM,MATCH($A190,'Tournament Setup'!$A:$A,0))&lt;=MOD($Y190,18),1,0)))</f>
      </c>
      <c r="AJ190" t="e">
        <f>IF(OR(OR($A190="",$D190=""),P190=""),"",P190-(INT($Y190/18)+IF(INDEX('Tournament Setup'!$AN:$AN,MATCH($A190,'Tournament Setup'!$A:$A,0))&lt;=MOD($Y190,18),1,0)))</f>
      </c>
      <c r="AK190" t="e">
        <f>IF(OR(OR($A190="",$D190=""),Q190=""),"",Q190-(INT($Y190/18)+IF(INDEX('Tournament Setup'!$AO:$AO,MATCH($A190,'Tournament Setup'!$A:$A,0))&lt;=MOD($Y190,18),1,0)))</f>
      </c>
      <c r="AL190" t="e">
        <f>IF(OR(OR($A190="",$D190=""),R190=""),"",R190-(INT($Y190/18)+IF(INDEX('Tournament Setup'!$AP:$AP,MATCH($A190,'Tournament Setup'!$A:$A,0))&lt;=MOD($Y190,18),1,0)))</f>
      </c>
      <c r="AM190" t="e">
        <f>IF(OR(OR($A190="",$D190=""),S190=""),"",S190-(INT($Y190/18)+IF(INDEX('Tournament Setup'!$AQ:$AQ,MATCH($A190,'Tournament Setup'!$A:$A,0))&lt;=MOD($Y190,18),1,0)))</f>
      </c>
      <c r="AN190" t="e">
        <f>IF(OR(OR($A190="",$D190=""),T190=""),"",T190-(INT($Y190/18)+IF(INDEX('Tournament Setup'!$AR:$AR,MATCH($A190,'Tournament Setup'!$A:$A,0))&lt;=MOD($Y190,18),1,0)))</f>
      </c>
      <c r="AO190" t="e">
        <f>IF(OR(OR($A190="",$D190=""),U190=""),"",U190-(INT($Y190/18)+IF(INDEX('Tournament Setup'!$AS:$AS,MATCH($A190,'Tournament Setup'!$A:$A,0))&lt;=MOD($Y190,18),1,0)))</f>
      </c>
      <c r="AP190" t="e">
        <f>IF(OR(OR($A190="",$D190=""),V190=""),"",V190-(INT($Y190/18)+IF(INDEX('Tournament Setup'!$AT:$AT,MATCH($A190,'Tournament Setup'!$A:$A,0))&lt;=MOD($Y190,18),1,0)))</f>
      </c>
      <c r="AQ190" t="e">
        <f>IF(OR(OR($A190="",$D190=""),W190=""),"",W190-(INT($Y190/18)+IF(INDEX('Tournament Setup'!$AU:$AU,MATCH($A190,'Tournament Setup'!$A:$A,0))&lt;=MOD($Y190,18),1,0)))</f>
      </c>
    </row>
    <row r="191">
      <c r="X191" t="e">
        <f>IF(OR($A191="",$D191=""),"",SUM(F191:W191))</f>
      </c>
      <c r="Y191" t="e">
        <f>IF(OR($A191="",$D191=""),"",IF(INDEX('Tournament Setup'!$F:$F,MATCH($A191,'Tournament Setup'!$A:$A,0))="Net",ROUND(($E191-_xlfn.MINIFS($E$2:$E$401,$A$2:$A$401,$A191,$B$2:$B$401,$B191))*INDEX('Tournament Setup'!$G:$G,MATCH($A191,'Tournament Setup'!$A:$A,0))/100,0),0))</f>
      </c>
      <c r="Z191" t="e">
        <f>IF(OR(OR($A191="",$D191=""),F191=""),"",F191-(INT($Y191/18)+IF(INDEX('Tournament Setup'!$AD:$AD,MATCH($A191,'Tournament Setup'!$A:$A,0))&lt;=MOD($Y191,18),1,0)))</f>
      </c>
      <c r="AA191" t="e">
        <f>IF(OR(OR($A191="",$D191=""),G191=""),"",G191-(INT($Y191/18)+IF(INDEX('Tournament Setup'!$AE:$AE,MATCH($A191,'Tournament Setup'!$A:$A,0))&lt;=MOD($Y191,18),1,0)))</f>
      </c>
      <c r="AB191" t="e">
        <f>IF(OR(OR($A191="",$D191=""),H191=""),"",H191-(INT($Y191/18)+IF(INDEX('Tournament Setup'!$AF:$AF,MATCH($A191,'Tournament Setup'!$A:$A,0))&lt;=MOD($Y191,18),1,0)))</f>
      </c>
      <c r="AC191" t="e">
        <f>IF(OR(OR($A191="",$D191=""),I191=""),"",I191-(INT($Y191/18)+IF(INDEX('Tournament Setup'!$AG:$AG,MATCH($A191,'Tournament Setup'!$A:$A,0))&lt;=MOD($Y191,18),1,0)))</f>
      </c>
      <c r="AD191" t="e">
        <f>IF(OR(OR($A191="",$D191=""),J191=""),"",J191-(INT($Y191/18)+IF(INDEX('Tournament Setup'!$AH:$AH,MATCH($A191,'Tournament Setup'!$A:$A,0))&lt;=MOD($Y191,18),1,0)))</f>
      </c>
      <c r="AE191" t="e">
        <f>IF(OR(OR($A191="",$D191=""),K191=""),"",K191-(INT($Y191/18)+IF(INDEX('Tournament Setup'!$AI:$AI,MATCH($A191,'Tournament Setup'!$A:$A,0))&lt;=MOD($Y191,18),1,0)))</f>
      </c>
      <c r="AF191" t="e">
        <f>IF(OR(OR($A191="",$D191=""),L191=""),"",L191-(INT($Y191/18)+IF(INDEX('Tournament Setup'!$AJ:$AJ,MATCH($A191,'Tournament Setup'!$A:$A,0))&lt;=MOD($Y191,18),1,0)))</f>
      </c>
      <c r="AG191" t="e">
        <f>IF(OR(OR($A191="",$D191=""),M191=""),"",M191-(INT($Y191/18)+IF(INDEX('Tournament Setup'!$AK:$AK,MATCH($A191,'Tournament Setup'!$A:$A,0))&lt;=MOD($Y191,18),1,0)))</f>
      </c>
      <c r="AH191" t="e">
        <f>IF(OR(OR($A191="",$D191=""),N191=""),"",N191-(INT($Y191/18)+IF(INDEX('Tournament Setup'!$AL:$AL,MATCH($A191,'Tournament Setup'!$A:$A,0))&lt;=MOD($Y191,18),1,0)))</f>
      </c>
      <c r="AI191" t="e">
        <f>IF(OR(OR($A191="",$D191=""),O191=""),"",O191-(INT($Y191/18)+IF(INDEX('Tournament Setup'!$AM:$AM,MATCH($A191,'Tournament Setup'!$A:$A,0))&lt;=MOD($Y191,18),1,0)))</f>
      </c>
      <c r="AJ191" t="e">
        <f>IF(OR(OR($A191="",$D191=""),P191=""),"",P191-(INT($Y191/18)+IF(INDEX('Tournament Setup'!$AN:$AN,MATCH($A191,'Tournament Setup'!$A:$A,0))&lt;=MOD($Y191,18),1,0)))</f>
      </c>
      <c r="AK191" t="e">
        <f>IF(OR(OR($A191="",$D191=""),Q191=""),"",Q191-(INT($Y191/18)+IF(INDEX('Tournament Setup'!$AO:$AO,MATCH($A191,'Tournament Setup'!$A:$A,0))&lt;=MOD($Y191,18),1,0)))</f>
      </c>
      <c r="AL191" t="e">
        <f>IF(OR(OR($A191="",$D191=""),R191=""),"",R191-(INT($Y191/18)+IF(INDEX('Tournament Setup'!$AP:$AP,MATCH($A191,'Tournament Setup'!$A:$A,0))&lt;=MOD($Y191,18),1,0)))</f>
      </c>
      <c r="AM191" t="e">
        <f>IF(OR(OR($A191="",$D191=""),S191=""),"",S191-(INT($Y191/18)+IF(INDEX('Tournament Setup'!$AQ:$AQ,MATCH($A191,'Tournament Setup'!$A:$A,0))&lt;=MOD($Y191,18),1,0)))</f>
      </c>
      <c r="AN191" t="e">
        <f>IF(OR(OR($A191="",$D191=""),T191=""),"",T191-(INT($Y191/18)+IF(INDEX('Tournament Setup'!$AR:$AR,MATCH($A191,'Tournament Setup'!$A:$A,0))&lt;=MOD($Y191,18),1,0)))</f>
      </c>
      <c r="AO191" t="e">
        <f>IF(OR(OR($A191="",$D191=""),U191=""),"",U191-(INT($Y191/18)+IF(INDEX('Tournament Setup'!$AS:$AS,MATCH($A191,'Tournament Setup'!$A:$A,0))&lt;=MOD($Y191,18),1,0)))</f>
      </c>
      <c r="AP191" t="e">
        <f>IF(OR(OR($A191="",$D191=""),V191=""),"",V191-(INT($Y191/18)+IF(INDEX('Tournament Setup'!$AT:$AT,MATCH($A191,'Tournament Setup'!$A:$A,0))&lt;=MOD($Y191,18),1,0)))</f>
      </c>
      <c r="AQ191" t="e">
        <f>IF(OR(OR($A191="",$D191=""),W191=""),"",W191-(INT($Y191/18)+IF(INDEX('Tournament Setup'!$AU:$AU,MATCH($A191,'Tournament Setup'!$A:$A,0))&lt;=MOD($Y191,18),1,0)))</f>
      </c>
    </row>
    <row r="192">
      <c r="X192" t="e">
        <f>IF(OR($A192="",$D192=""),"",SUM(F192:W192))</f>
      </c>
      <c r="Y192" t="e">
        <f>IF(OR($A192="",$D192=""),"",IF(INDEX('Tournament Setup'!$F:$F,MATCH($A192,'Tournament Setup'!$A:$A,0))="Net",ROUND(($E192-_xlfn.MINIFS($E$2:$E$401,$A$2:$A$401,$A192,$B$2:$B$401,$B192))*INDEX('Tournament Setup'!$G:$G,MATCH($A192,'Tournament Setup'!$A:$A,0))/100,0),0))</f>
      </c>
      <c r="Z192" t="e">
        <f>IF(OR(OR($A192="",$D192=""),F192=""),"",F192-(INT($Y192/18)+IF(INDEX('Tournament Setup'!$AD:$AD,MATCH($A192,'Tournament Setup'!$A:$A,0))&lt;=MOD($Y192,18),1,0)))</f>
      </c>
      <c r="AA192" t="e">
        <f>IF(OR(OR($A192="",$D192=""),G192=""),"",G192-(INT($Y192/18)+IF(INDEX('Tournament Setup'!$AE:$AE,MATCH($A192,'Tournament Setup'!$A:$A,0))&lt;=MOD($Y192,18),1,0)))</f>
      </c>
      <c r="AB192" t="e">
        <f>IF(OR(OR($A192="",$D192=""),H192=""),"",H192-(INT($Y192/18)+IF(INDEX('Tournament Setup'!$AF:$AF,MATCH($A192,'Tournament Setup'!$A:$A,0))&lt;=MOD($Y192,18),1,0)))</f>
      </c>
      <c r="AC192" t="e">
        <f>IF(OR(OR($A192="",$D192=""),I192=""),"",I192-(INT($Y192/18)+IF(INDEX('Tournament Setup'!$AG:$AG,MATCH($A192,'Tournament Setup'!$A:$A,0))&lt;=MOD($Y192,18),1,0)))</f>
      </c>
      <c r="AD192" t="e">
        <f>IF(OR(OR($A192="",$D192=""),J192=""),"",J192-(INT($Y192/18)+IF(INDEX('Tournament Setup'!$AH:$AH,MATCH($A192,'Tournament Setup'!$A:$A,0))&lt;=MOD($Y192,18),1,0)))</f>
      </c>
      <c r="AE192" t="e">
        <f>IF(OR(OR($A192="",$D192=""),K192=""),"",K192-(INT($Y192/18)+IF(INDEX('Tournament Setup'!$AI:$AI,MATCH($A192,'Tournament Setup'!$A:$A,0))&lt;=MOD($Y192,18),1,0)))</f>
      </c>
      <c r="AF192" t="e">
        <f>IF(OR(OR($A192="",$D192=""),L192=""),"",L192-(INT($Y192/18)+IF(INDEX('Tournament Setup'!$AJ:$AJ,MATCH($A192,'Tournament Setup'!$A:$A,0))&lt;=MOD($Y192,18),1,0)))</f>
      </c>
      <c r="AG192" t="e">
        <f>IF(OR(OR($A192="",$D192=""),M192=""),"",M192-(INT($Y192/18)+IF(INDEX('Tournament Setup'!$AK:$AK,MATCH($A192,'Tournament Setup'!$A:$A,0))&lt;=MOD($Y192,18),1,0)))</f>
      </c>
      <c r="AH192" t="e">
        <f>IF(OR(OR($A192="",$D192=""),N192=""),"",N192-(INT($Y192/18)+IF(INDEX('Tournament Setup'!$AL:$AL,MATCH($A192,'Tournament Setup'!$A:$A,0))&lt;=MOD($Y192,18),1,0)))</f>
      </c>
      <c r="AI192" t="e">
        <f>IF(OR(OR($A192="",$D192=""),O192=""),"",O192-(INT($Y192/18)+IF(INDEX('Tournament Setup'!$AM:$AM,MATCH($A192,'Tournament Setup'!$A:$A,0))&lt;=MOD($Y192,18),1,0)))</f>
      </c>
      <c r="AJ192" t="e">
        <f>IF(OR(OR($A192="",$D192=""),P192=""),"",P192-(INT($Y192/18)+IF(INDEX('Tournament Setup'!$AN:$AN,MATCH($A192,'Tournament Setup'!$A:$A,0))&lt;=MOD($Y192,18),1,0)))</f>
      </c>
      <c r="AK192" t="e">
        <f>IF(OR(OR($A192="",$D192=""),Q192=""),"",Q192-(INT($Y192/18)+IF(INDEX('Tournament Setup'!$AO:$AO,MATCH($A192,'Tournament Setup'!$A:$A,0))&lt;=MOD($Y192,18),1,0)))</f>
      </c>
      <c r="AL192" t="e">
        <f>IF(OR(OR($A192="",$D192=""),R192=""),"",R192-(INT($Y192/18)+IF(INDEX('Tournament Setup'!$AP:$AP,MATCH($A192,'Tournament Setup'!$A:$A,0))&lt;=MOD($Y192,18),1,0)))</f>
      </c>
      <c r="AM192" t="e">
        <f>IF(OR(OR($A192="",$D192=""),S192=""),"",S192-(INT($Y192/18)+IF(INDEX('Tournament Setup'!$AQ:$AQ,MATCH($A192,'Tournament Setup'!$A:$A,0))&lt;=MOD($Y192,18),1,0)))</f>
      </c>
      <c r="AN192" t="e">
        <f>IF(OR(OR($A192="",$D192=""),T192=""),"",T192-(INT($Y192/18)+IF(INDEX('Tournament Setup'!$AR:$AR,MATCH($A192,'Tournament Setup'!$A:$A,0))&lt;=MOD($Y192,18),1,0)))</f>
      </c>
      <c r="AO192" t="e">
        <f>IF(OR(OR($A192="",$D192=""),U192=""),"",U192-(INT($Y192/18)+IF(INDEX('Tournament Setup'!$AS:$AS,MATCH($A192,'Tournament Setup'!$A:$A,0))&lt;=MOD($Y192,18),1,0)))</f>
      </c>
      <c r="AP192" t="e">
        <f>IF(OR(OR($A192="",$D192=""),V192=""),"",V192-(INT($Y192/18)+IF(INDEX('Tournament Setup'!$AT:$AT,MATCH($A192,'Tournament Setup'!$A:$A,0))&lt;=MOD($Y192,18),1,0)))</f>
      </c>
      <c r="AQ192" t="e">
        <f>IF(OR(OR($A192="",$D192=""),W192=""),"",W192-(INT($Y192/18)+IF(INDEX('Tournament Setup'!$AU:$AU,MATCH($A192,'Tournament Setup'!$A:$A,0))&lt;=MOD($Y192,18),1,0)))</f>
      </c>
    </row>
    <row r="193">
      <c r="X193" t="e">
        <f>IF(OR($A193="",$D193=""),"",SUM(F193:W193))</f>
      </c>
      <c r="Y193" t="e">
        <f>IF(OR($A193="",$D193=""),"",IF(INDEX('Tournament Setup'!$F:$F,MATCH($A193,'Tournament Setup'!$A:$A,0))="Net",ROUND(($E193-_xlfn.MINIFS($E$2:$E$401,$A$2:$A$401,$A193,$B$2:$B$401,$B193))*INDEX('Tournament Setup'!$G:$G,MATCH($A193,'Tournament Setup'!$A:$A,0))/100,0),0))</f>
      </c>
      <c r="Z193" t="e">
        <f>IF(OR(OR($A193="",$D193=""),F193=""),"",F193-(INT($Y193/18)+IF(INDEX('Tournament Setup'!$AD:$AD,MATCH($A193,'Tournament Setup'!$A:$A,0))&lt;=MOD($Y193,18),1,0)))</f>
      </c>
      <c r="AA193" t="e">
        <f>IF(OR(OR($A193="",$D193=""),G193=""),"",G193-(INT($Y193/18)+IF(INDEX('Tournament Setup'!$AE:$AE,MATCH($A193,'Tournament Setup'!$A:$A,0))&lt;=MOD($Y193,18),1,0)))</f>
      </c>
      <c r="AB193" t="e">
        <f>IF(OR(OR($A193="",$D193=""),H193=""),"",H193-(INT($Y193/18)+IF(INDEX('Tournament Setup'!$AF:$AF,MATCH($A193,'Tournament Setup'!$A:$A,0))&lt;=MOD($Y193,18),1,0)))</f>
      </c>
      <c r="AC193" t="e">
        <f>IF(OR(OR($A193="",$D193=""),I193=""),"",I193-(INT($Y193/18)+IF(INDEX('Tournament Setup'!$AG:$AG,MATCH($A193,'Tournament Setup'!$A:$A,0))&lt;=MOD($Y193,18),1,0)))</f>
      </c>
      <c r="AD193" t="e">
        <f>IF(OR(OR($A193="",$D193=""),J193=""),"",J193-(INT($Y193/18)+IF(INDEX('Tournament Setup'!$AH:$AH,MATCH($A193,'Tournament Setup'!$A:$A,0))&lt;=MOD($Y193,18),1,0)))</f>
      </c>
      <c r="AE193" t="e">
        <f>IF(OR(OR($A193="",$D193=""),K193=""),"",K193-(INT($Y193/18)+IF(INDEX('Tournament Setup'!$AI:$AI,MATCH($A193,'Tournament Setup'!$A:$A,0))&lt;=MOD($Y193,18),1,0)))</f>
      </c>
      <c r="AF193" t="e">
        <f>IF(OR(OR($A193="",$D193=""),L193=""),"",L193-(INT($Y193/18)+IF(INDEX('Tournament Setup'!$AJ:$AJ,MATCH($A193,'Tournament Setup'!$A:$A,0))&lt;=MOD($Y193,18),1,0)))</f>
      </c>
      <c r="AG193" t="e">
        <f>IF(OR(OR($A193="",$D193=""),M193=""),"",M193-(INT($Y193/18)+IF(INDEX('Tournament Setup'!$AK:$AK,MATCH($A193,'Tournament Setup'!$A:$A,0))&lt;=MOD($Y193,18),1,0)))</f>
      </c>
      <c r="AH193" t="e">
        <f>IF(OR(OR($A193="",$D193=""),N193=""),"",N193-(INT($Y193/18)+IF(INDEX('Tournament Setup'!$AL:$AL,MATCH($A193,'Tournament Setup'!$A:$A,0))&lt;=MOD($Y193,18),1,0)))</f>
      </c>
      <c r="AI193" t="e">
        <f>IF(OR(OR($A193="",$D193=""),O193=""),"",O193-(INT($Y193/18)+IF(INDEX('Tournament Setup'!$AM:$AM,MATCH($A193,'Tournament Setup'!$A:$A,0))&lt;=MOD($Y193,18),1,0)))</f>
      </c>
      <c r="AJ193" t="e">
        <f>IF(OR(OR($A193="",$D193=""),P193=""),"",P193-(INT($Y193/18)+IF(INDEX('Tournament Setup'!$AN:$AN,MATCH($A193,'Tournament Setup'!$A:$A,0))&lt;=MOD($Y193,18),1,0)))</f>
      </c>
      <c r="AK193" t="e">
        <f>IF(OR(OR($A193="",$D193=""),Q193=""),"",Q193-(INT($Y193/18)+IF(INDEX('Tournament Setup'!$AO:$AO,MATCH($A193,'Tournament Setup'!$A:$A,0))&lt;=MOD($Y193,18),1,0)))</f>
      </c>
      <c r="AL193" t="e">
        <f>IF(OR(OR($A193="",$D193=""),R193=""),"",R193-(INT($Y193/18)+IF(INDEX('Tournament Setup'!$AP:$AP,MATCH($A193,'Tournament Setup'!$A:$A,0))&lt;=MOD($Y193,18),1,0)))</f>
      </c>
      <c r="AM193" t="e">
        <f>IF(OR(OR($A193="",$D193=""),S193=""),"",S193-(INT($Y193/18)+IF(INDEX('Tournament Setup'!$AQ:$AQ,MATCH($A193,'Tournament Setup'!$A:$A,0))&lt;=MOD($Y193,18),1,0)))</f>
      </c>
      <c r="AN193" t="e">
        <f>IF(OR(OR($A193="",$D193=""),T193=""),"",T193-(INT($Y193/18)+IF(INDEX('Tournament Setup'!$AR:$AR,MATCH($A193,'Tournament Setup'!$A:$A,0))&lt;=MOD($Y193,18),1,0)))</f>
      </c>
      <c r="AO193" t="e">
        <f>IF(OR(OR($A193="",$D193=""),U193=""),"",U193-(INT($Y193/18)+IF(INDEX('Tournament Setup'!$AS:$AS,MATCH($A193,'Tournament Setup'!$A:$A,0))&lt;=MOD($Y193,18),1,0)))</f>
      </c>
      <c r="AP193" t="e">
        <f>IF(OR(OR($A193="",$D193=""),V193=""),"",V193-(INT($Y193/18)+IF(INDEX('Tournament Setup'!$AT:$AT,MATCH($A193,'Tournament Setup'!$A:$A,0))&lt;=MOD($Y193,18),1,0)))</f>
      </c>
      <c r="AQ193" t="e">
        <f>IF(OR(OR($A193="",$D193=""),W193=""),"",W193-(INT($Y193/18)+IF(INDEX('Tournament Setup'!$AU:$AU,MATCH($A193,'Tournament Setup'!$A:$A,0))&lt;=MOD($Y193,18),1,0)))</f>
      </c>
    </row>
    <row r="194">
      <c r="X194" t="e">
        <f>IF(OR($A194="",$D194=""),"",SUM(F194:W194))</f>
      </c>
      <c r="Y194" t="e">
        <f>IF(OR($A194="",$D194=""),"",IF(INDEX('Tournament Setup'!$F:$F,MATCH($A194,'Tournament Setup'!$A:$A,0))="Net",ROUND(($E194-_xlfn.MINIFS($E$2:$E$401,$A$2:$A$401,$A194,$B$2:$B$401,$B194))*INDEX('Tournament Setup'!$G:$G,MATCH($A194,'Tournament Setup'!$A:$A,0))/100,0),0))</f>
      </c>
      <c r="Z194" t="e">
        <f>IF(OR(OR($A194="",$D194=""),F194=""),"",F194-(INT($Y194/18)+IF(INDEX('Tournament Setup'!$AD:$AD,MATCH($A194,'Tournament Setup'!$A:$A,0))&lt;=MOD($Y194,18),1,0)))</f>
      </c>
      <c r="AA194" t="e">
        <f>IF(OR(OR($A194="",$D194=""),G194=""),"",G194-(INT($Y194/18)+IF(INDEX('Tournament Setup'!$AE:$AE,MATCH($A194,'Tournament Setup'!$A:$A,0))&lt;=MOD($Y194,18),1,0)))</f>
      </c>
      <c r="AB194" t="e">
        <f>IF(OR(OR($A194="",$D194=""),H194=""),"",H194-(INT($Y194/18)+IF(INDEX('Tournament Setup'!$AF:$AF,MATCH($A194,'Tournament Setup'!$A:$A,0))&lt;=MOD($Y194,18),1,0)))</f>
      </c>
      <c r="AC194" t="e">
        <f>IF(OR(OR($A194="",$D194=""),I194=""),"",I194-(INT($Y194/18)+IF(INDEX('Tournament Setup'!$AG:$AG,MATCH($A194,'Tournament Setup'!$A:$A,0))&lt;=MOD($Y194,18),1,0)))</f>
      </c>
      <c r="AD194" t="e">
        <f>IF(OR(OR($A194="",$D194=""),J194=""),"",J194-(INT($Y194/18)+IF(INDEX('Tournament Setup'!$AH:$AH,MATCH($A194,'Tournament Setup'!$A:$A,0))&lt;=MOD($Y194,18),1,0)))</f>
      </c>
      <c r="AE194" t="e">
        <f>IF(OR(OR($A194="",$D194=""),K194=""),"",K194-(INT($Y194/18)+IF(INDEX('Tournament Setup'!$AI:$AI,MATCH($A194,'Tournament Setup'!$A:$A,0))&lt;=MOD($Y194,18),1,0)))</f>
      </c>
      <c r="AF194" t="e">
        <f>IF(OR(OR($A194="",$D194=""),L194=""),"",L194-(INT($Y194/18)+IF(INDEX('Tournament Setup'!$AJ:$AJ,MATCH($A194,'Tournament Setup'!$A:$A,0))&lt;=MOD($Y194,18),1,0)))</f>
      </c>
      <c r="AG194" t="e">
        <f>IF(OR(OR($A194="",$D194=""),M194=""),"",M194-(INT($Y194/18)+IF(INDEX('Tournament Setup'!$AK:$AK,MATCH($A194,'Tournament Setup'!$A:$A,0))&lt;=MOD($Y194,18),1,0)))</f>
      </c>
      <c r="AH194" t="e">
        <f>IF(OR(OR($A194="",$D194=""),N194=""),"",N194-(INT($Y194/18)+IF(INDEX('Tournament Setup'!$AL:$AL,MATCH($A194,'Tournament Setup'!$A:$A,0))&lt;=MOD($Y194,18),1,0)))</f>
      </c>
      <c r="AI194" t="e">
        <f>IF(OR(OR($A194="",$D194=""),O194=""),"",O194-(INT($Y194/18)+IF(INDEX('Tournament Setup'!$AM:$AM,MATCH($A194,'Tournament Setup'!$A:$A,0))&lt;=MOD($Y194,18),1,0)))</f>
      </c>
      <c r="AJ194" t="e">
        <f>IF(OR(OR($A194="",$D194=""),P194=""),"",P194-(INT($Y194/18)+IF(INDEX('Tournament Setup'!$AN:$AN,MATCH($A194,'Tournament Setup'!$A:$A,0))&lt;=MOD($Y194,18),1,0)))</f>
      </c>
      <c r="AK194" t="e">
        <f>IF(OR(OR($A194="",$D194=""),Q194=""),"",Q194-(INT($Y194/18)+IF(INDEX('Tournament Setup'!$AO:$AO,MATCH($A194,'Tournament Setup'!$A:$A,0))&lt;=MOD($Y194,18),1,0)))</f>
      </c>
      <c r="AL194" t="e">
        <f>IF(OR(OR($A194="",$D194=""),R194=""),"",R194-(INT($Y194/18)+IF(INDEX('Tournament Setup'!$AP:$AP,MATCH($A194,'Tournament Setup'!$A:$A,0))&lt;=MOD($Y194,18),1,0)))</f>
      </c>
      <c r="AM194" t="e">
        <f>IF(OR(OR($A194="",$D194=""),S194=""),"",S194-(INT($Y194/18)+IF(INDEX('Tournament Setup'!$AQ:$AQ,MATCH($A194,'Tournament Setup'!$A:$A,0))&lt;=MOD($Y194,18),1,0)))</f>
      </c>
      <c r="AN194" t="e">
        <f>IF(OR(OR($A194="",$D194=""),T194=""),"",T194-(INT($Y194/18)+IF(INDEX('Tournament Setup'!$AR:$AR,MATCH($A194,'Tournament Setup'!$A:$A,0))&lt;=MOD($Y194,18),1,0)))</f>
      </c>
      <c r="AO194" t="e">
        <f>IF(OR(OR($A194="",$D194=""),U194=""),"",U194-(INT($Y194/18)+IF(INDEX('Tournament Setup'!$AS:$AS,MATCH($A194,'Tournament Setup'!$A:$A,0))&lt;=MOD($Y194,18),1,0)))</f>
      </c>
      <c r="AP194" t="e">
        <f>IF(OR(OR($A194="",$D194=""),V194=""),"",V194-(INT($Y194/18)+IF(INDEX('Tournament Setup'!$AT:$AT,MATCH($A194,'Tournament Setup'!$A:$A,0))&lt;=MOD($Y194,18),1,0)))</f>
      </c>
      <c r="AQ194" t="e">
        <f>IF(OR(OR($A194="",$D194=""),W194=""),"",W194-(INT($Y194/18)+IF(INDEX('Tournament Setup'!$AU:$AU,MATCH($A194,'Tournament Setup'!$A:$A,0))&lt;=MOD($Y194,18),1,0)))</f>
      </c>
    </row>
    <row r="195">
      <c r="X195" t="e">
        <f>IF(OR($A195="",$D195=""),"",SUM(F195:W195))</f>
      </c>
      <c r="Y195" t="e">
        <f>IF(OR($A195="",$D195=""),"",IF(INDEX('Tournament Setup'!$F:$F,MATCH($A195,'Tournament Setup'!$A:$A,0))="Net",ROUND(($E195-_xlfn.MINIFS($E$2:$E$401,$A$2:$A$401,$A195,$B$2:$B$401,$B195))*INDEX('Tournament Setup'!$G:$G,MATCH($A195,'Tournament Setup'!$A:$A,0))/100,0),0))</f>
      </c>
      <c r="Z195" t="e">
        <f>IF(OR(OR($A195="",$D195=""),F195=""),"",F195-(INT($Y195/18)+IF(INDEX('Tournament Setup'!$AD:$AD,MATCH($A195,'Tournament Setup'!$A:$A,0))&lt;=MOD($Y195,18),1,0)))</f>
      </c>
      <c r="AA195" t="e">
        <f>IF(OR(OR($A195="",$D195=""),G195=""),"",G195-(INT($Y195/18)+IF(INDEX('Tournament Setup'!$AE:$AE,MATCH($A195,'Tournament Setup'!$A:$A,0))&lt;=MOD($Y195,18),1,0)))</f>
      </c>
      <c r="AB195" t="e">
        <f>IF(OR(OR($A195="",$D195=""),H195=""),"",H195-(INT($Y195/18)+IF(INDEX('Tournament Setup'!$AF:$AF,MATCH($A195,'Tournament Setup'!$A:$A,0))&lt;=MOD($Y195,18),1,0)))</f>
      </c>
      <c r="AC195" t="e">
        <f>IF(OR(OR($A195="",$D195=""),I195=""),"",I195-(INT($Y195/18)+IF(INDEX('Tournament Setup'!$AG:$AG,MATCH($A195,'Tournament Setup'!$A:$A,0))&lt;=MOD($Y195,18),1,0)))</f>
      </c>
      <c r="AD195" t="e">
        <f>IF(OR(OR($A195="",$D195=""),J195=""),"",J195-(INT($Y195/18)+IF(INDEX('Tournament Setup'!$AH:$AH,MATCH($A195,'Tournament Setup'!$A:$A,0))&lt;=MOD($Y195,18),1,0)))</f>
      </c>
      <c r="AE195" t="e">
        <f>IF(OR(OR($A195="",$D195=""),K195=""),"",K195-(INT($Y195/18)+IF(INDEX('Tournament Setup'!$AI:$AI,MATCH($A195,'Tournament Setup'!$A:$A,0))&lt;=MOD($Y195,18),1,0)))</f>
      </c>
      <c r="AF195" t="e">
        <f>IF(OR(OR($A195="",$D195=""),L195=""),"",L195-(INT($Y195/18)+IF(INDEX('Tournament Setup'!$AJ:$AJ,MATCH($A195,'Tournament Setup'!$A:$A,0))&lt;=MOD($Y195,18),1,0)))</f>
      </c>
      <c r="AG195" t="e">
        <f>IF(OR(OR($A195="",$D195=""),M195=""),"",M195-(INT($Y195/18)+IF(INDEX('Tournament Setup'!$AK:$AK,MATCH($A195,'Tournament Setup'!$A:$A,0))&lt;=MOD($Y195,18),1,0)))</f>
      </c>
      <c r="AH195" t="e">
        <f>IF(OR(OR($A195="",$D195=""),N195=""),"",N195-(INT($Y195/18)+IF(INDEX('Tournament Setup'!$AL:$AL,MATCH($A195,'Tournament Setup'!$A:$A,0))&lt;=MOD($Y195,18),1,0)))</f>
      </c>
      <c r="AI195" t="e">
        <f>IF(OR(OR($A195="",$D195=""),O195=""),"",O195-(INT($Y195/18)+IF(INDEX('Tournament Setup'!$AM:$AM,MATCH($A195,'Tournament Setup'!$A:$A,0))&lt;=MOD($Y195,18),1,0)))</f>
      </c>
      <c r="AJ195" t="e">
        <f>IF(OR(OR($A195="",$D195=""),P195=""),"",P195-(INT($Y195/18)+IF(INDEX('Tournament Setup'!$AN:$AN,MATCH($A195,'Tournament Setup'!$A:$A,0))&lt;=MOD($Y195,18),1,0)))</f>
      </c>
      <c r="AK195" t="e">
        <f>IF(OR(OR($A195="",$D195=""),Q195=""),"",Q195-(INT($Y195/18)+IF(INDEX('Tournament Setup'!$AO:$AO,MATCH($A195,'Tournament Setup'!$A:$A,0))&lt;=MOD($Y195,18),1,0)))</f>
      </c>
      <c r="AL195" t="e">
        <f>IF(OR(OR($A195="",$D195=""),R195=""),"",R195-(INT($Y195/18)+IF(INDEX('Tournament Setup'!$AP:$AP,MATCH($A195,'Tournament Setup'!$A:$A,0))&lt;=MOD($Y195,18),1,0)))</f>
      </c>
      <c r="AM195" t="e">
        <f>IF(OR(OR($A195="",$D195=""),S195=""),"",S195-(INT($Y195/18)+IF(INDEX('Tournament Setup'!$AQ:$AQ,MATCH($A195,'Tournament Setup'!$A:$A,0))&lt;=MOD($Y195,18),1,0)))</f>
      </c>
      <c r="AN195" t="e">
        <f>IF(OR(OR($A195="",$D195=""),T195=""),"",T195-(INT($Y195/18)+IF(INDEX('Tournament Setup'!$AR:$AR,MATCH($A195,'Tournament Setup'!$A:$A,0))&lt;=MOD($Y195,18),1,0)))</f>
      </c>
      <c r="AO195" t="e">
        <f>IF(OR(OR($A195="",$D195=""),U195=""),"",U195-(INT($Y195/18)+IF(INDEX('Tournament Setup'!$AS:$AS,MATCH($A195,'Tournament Setup'!$A:$A,0))&lt;=MOD($Y195,18),1,0)))</f>
      </c>
      <c r="AP195" t="e">
        <f>IF(OR(OR($A195="",$D195=""),V195=""),"",V195-(INT($Y195/18)+IF(INDEX('Tournament Setup'!$AT:$AT,MATCH($A195,'Tournament Setup'!$A:$A,0))&lt;=MOD($Y195,18),1,0)))</f>
      </c>
      <c r="AQ195" t="e">
        <f>IF(OR(OR($A195="",$D195=""),W195=""),"",W195-(INT($Y195/18)+IF(INDEX('Tournament Setup'!$AU:$AU,MATCH($A195,'Tournament Setup'!$A:$A,0))&lt;=MOD($Y195,18),1,0)))</f>
      </c>
    </row>
    <row r="196">
      <c r="X196" t="e">
        <f>IF(OR($A196="",$D196=""),"",SUM(F196:W196))</f>
      </c>
      <c r="Y196" t="e">
        <f>IF(OR($A196="",$D196=""),"",IF(INDEX('Tournament Setup'!$F:$F,MATCH($A196,'Tournament Setup'!$A:$A,0))="Net",ROUND(($E196-_xlfn.MINIFS($E$2:$E$401,$A$2:$A$401,$A196,$B$2:$B$401,$B196))*INDEX('Tournament Setup'!$G:$G,MATCH($A196,'Tournament Setup'!$A:$A,0))/100,0),0))</f>
      </c>
      <c r="Z196" t="e">
        <f>IF(OR(OR($A196="",$D196=""),F196=""),"",F196-(INT($Y196/18)+IF(INDEX('Tournament Setup'!$AD:$AD,MATCH($A196,'Tournament Setup'!$A:$A,0))&lt;=MOD($Y196,18),1,0)))</f>
      </c>
      <c r="AA196" t="e">
        <f>IF(OR(OR($A196="",$D196=""),G196=""),"",G196-(INT($Y196/18)+IF(INDEX('Tournament Setup'!$AE:$AE,MATCH($A196,'Tournament Setup'!$A:$A,0))&lt;=MOD($Y196,18),1,0)))</f>
      </c>
      <c r="AB196" t="e">
        <f>IF(OR(OR($A196="",$D196=""),H196=""),"",H196-(INT($Y196/18)+IF(INDEX('Tournament Setup'!$AF:$AF,MATCH($A196,'Tournament Setup'!$A:$A,0))&lt;=MOD($Y196,18),1,0)))</f>
      </c>
      <c r="AC196" t="e">
        <f>IF(OR(OR($A196="",$D196=""),I196=""),"",I196-(INT($Y196/18)+IF(INDEX('Tournament Setup'!$AG:$AG,MATCH($A196,'Tournament Setup'!$A:$A,0))&lt;=MOD($Y196,18),1,0)))</f>
      </c>
      <c r="AD196" t="e">
        <f>IF(OR(OR($A196="",$D196=""),J196=""),"",J196-(INT($Y196/18)+IF(INDEX('Tournament Setup'!$AH:$AH,MATCH($A196,'Tournament Setup'!$A:$A,0))&lt;=MOD($Y196,18),1,0)))</f>
      </c>
      <c r="AE196" t="e">
        <f>IF(OR(OR($A196="",$D196=""),K196=""),"",K196-(INT($Y196/18)+IF(INDEX('Tournament Setup'!$AI:$AI,MATCH($A196,'Tournament Setup'!$A:$A,0))&lt;=MOD($Y196,18),1,0)))</f>
      </c>
      <c r="AF196" t="e">
        <f>IF(OR(OR($A196="",$D196=""),L196=""),"",L196-(INT($Y196/18)+IF(INDEX('Tournament Setup'!$AJ:$AJ,MATCH($A196,'Tournament Setup'!$A:$A,0))&lt;=MOD($Y196,18),1,0)))</f>
      </c>
      <c r="AG196" t="e">
        <f>IF(OR(OR($A196="",$D196=""),M196=""),"",M196-(INT($Y196/18)+IF(INDEX('Tournament Setup'!$AK:$AK,MATCH($A196,'Tournament Setup'!$A:$A,0))&lt;=MOD($Y196,18),1,0)))</f>
      </c>
      <c r="AH196" t="e">
        <f>IF(OR(OR($A196="",$D196=""),N196=""),"",N196-(INT($Y196/18)+IF(INDEX('Tournament Setup'!$AL:$AL,MATCH($A196,'Tournament Setup'!$A:$A,0))&lt;=MOD($Y196,18),1,0)))</f>
      </c>
      <c r="AI196" t="e">
        <f>IF(OR(OR($A196="",$D196=""),O196=""),"",O196-(INT($Y196/18)+IF(INDEX('Tournament Setup'!$AM:$AM,MATCH($A196,'Tournament Setup'!$A:$A,0))&lt;=MOD($Y196,18),1,0)))</f>
      </c>
      <c r="AJ196" t="e">
        <f>IF(OR(OR($A196="",$D196=""),P196=""),"",P196-(INT($Y196/18)+IF(INDEX('Tournament Setup'!$AN:$AN,MATCH($A196,'Tournament Setup'!$A:$A,0))&lt;=MOD($Y196,18),1,0)))</f>
      </c>
      <c r="AK196" t="e">
        <f>IF(OR(OR($A196="",$D196=""),Q196=""),"",Q196-(INT($Y196/18)+IF(INDEX('Tournament Setup'!$AO:$AO,MATCH($A196,'Tournament Setup'!$A:$A,0))&lt;=MOD($Y196,18),1,0)))</f>
      </c>
      <c r="AL196" t="e">
        <f>IF(OR(OR($A196="",$D196=""),R196=""),"",R196-(INT($Y196/18)+IF(INDEX('Tournament Setup'!$AP:$AP,MATCH($A196,'Tournament Setup'!$A:$A,0))&lt;=MOD($Y196,18),1,0)))</f>
      </c>
      <c r="AM196" t="e">
        <f>IF(OR(OR($A196="",$D196=""),S196=""),"",S196-(INT($Y196/18)+IF(INDEX('Tournament Setup'!$AQ:$AQ,MATCH($A196,'Tournament Setup'!$A:$A,0))&lt;=MOD($Y196,18),1,0)))</f>
      </c>
      <c r="AN196" t="e">
        <f>IF(OR(OR($A196="",$D196=""),T196=""),"",T196-(INT($Y196/18)+IF(INDEX('Tournament Setup'!$AR:$AR,MATCH($A196,'Tournament Setup'!$A:$A,0))&lt;=MOD($Y196,18),1,0)))</f>
      </c>
      <c r="AO196" t="e">
        <f>IF(OR(OR($A196="",$D196=""),U196=""),"",U196-(INT($Y196/18)+IF(INDEX('Tournament Setup'!$AS:$AS,MATCH($A196,'Tournament Setup'!$A:$A,0))&lt;=MOD($Y196,18),1,0)))</f>
      </c>
      <c r="AP196" t="e">
        <f>IF(OR(OR($A196="",$D196=""),V196=""),"",V196-(INT($Y196/18)+IF(INDEX('Tournament Setup'!$AT:$AT,MATCH($A196,'Tournament Setup'!$A:$A,0))&lt;=MOD($Y196,18),1,0)))</f>
      </c>
      <c r="AQ196" t="e">
        <f>IF(OR(OR($A196="",$D196=""),W196=""),"",W196-(INT($Y196/18)+IF(INDEX('Tournament Setup'!$AU:$AU,MATCH($A196,'Tournament Setup'!$A:$A,0))&lt;=MOD($Y196,18),1,0)))</f>
      </c>
    </row>
    <row r="197">
      <c r="X197" t="e">
        <f>IF(OR($A197="",$D197=""),"",SUM(F197:W197))</f>
      </c>
      <c r="Y197" t="e">
        <f>IF(OR($A197="",$D197=""),"",IF(INDEX('Tournament Setup'!$F:$F,MATCH($A197,'Tournament Setup'!$A:$A,0))="Net",ROUND(($E197-_xlfn.MINIFS($E$2:$E$401,$A$2:$A$401,$A197,$B$2:$B$401,$B197))*INDEX('Tournament Setup'!$G:$G,MATCH($A197,'Tournament Setup'!$A:$A,0))/100,0),0))</f>
      </c>
      <c r="Z197" t="e">
        <f>IF(OR(OR($A197="",$D197=""),F197=""),"",F197-(INT($Y197/18)+IF(INDEX('Tournament Setup'!$AD:$AD,MATCH($A197,'Tournament Setup'!$A:$A,0))&lt;=MOD($Y197,18),1,0)))</f>
      </c>
      <c r="AA197" t="e">
        <f>IF(OR(OR($A197="",$D197=""),G197=""),"",G197-(INT($Y197/18)+IF(INDEX('Tournament Setup'!$AE:$AE,MATCH($A197,'Tournament Setup'!$A:$A,0))&lt;=MOD($Y197,18),1,0)))</f>
      </c>
      <c r="AB197" t="e">
        <f>IF(OR(OR($A197="",$D197=""),H197=""),"",H197-(INT($Y197/18)+IF(INDEX('Tournament Setup'!$AF:$AF,MATCH($A197,'Tournament Setup'!$A:$A,0))&lt;=MOD($Y197,18),1,0)))</f>
      </c>
      <c r="AC197" t="e">
        <f>IF(OR(OR($A197="",$D197=""),I197=""),"",I197-(INT($Y197/18)+IF(INDEX('Tournament Setup'!$AG:$AG,MATCH($A197,'Tournament Setup'!$A:$A,0))&lt;=MOD($Y197,18),1,0)))</f>
      </c>
      <c r="AD197" t="e">
        <f>IF(OR(OR($A197="",$D197=""),J197=""),"",J197-(INT($Y197/18)+IF(INDEX('Tournament Setup'!$AH:$AH,MATCH($A197,'Tournament Setup'!$A:$A,0))&lt;=MOD($Y197,18),1,0)))</f>
      </c>
      <c r="AE197" t="e">
        <f>IF(OR(OR($A197="",$D197=""),K197=""),"",K197-(INT($Y197/18)+IF(INDEX('Tournament Setup'!$AI:$AI,MATCH($A197,'Tournament Setup'!$A:$A,0))&lt;=MOD($Y197,18),1,0)))</f>
      </c>
      <c r="AF197" t="e">
        <f>IF(OR(OR($A197="",$D197=""),L197=""),"",L197-(INT($Y197/18)+IF(INDEX('Tournament Setup'!$AJ:$AJ,MATCH($A197,'Tournament Setup'!$A:$A,0))&lt;=MOD($Y197,18),1,0)))</f>
      </c>
      <c r="AG197" t="e">
        <f>IF(OR(OR($A197="",$D197=""),M197=""),"",M197-(INT($Y197/18)+IF(INDEX('Tournament Setup'!$AK:$AK,MATCH($A197,'Tournament Setup'!$A:$A,0))&lt;=MOD($Y197,18),1,0)))</f>
      </c>
      <c r="AH197" t="e">
        <f>IF(OR(OR($A197="",$D197=""),N197=""),"",N197-(INT($Y197/18)+IF(INDEX('Tournament Setup'!$AL:$AL,MATCH($A197,'Tournament Setup'!$A:$A,0))&lt;=MOD($Y197,18),1,0)))</f>
      </c>
      <c r="AI197" t="e">
        <f>IF(OR(OR($A197="",$D197=""),O197=""),"",O197-(INT($Y197/18)+IF(INDEX('Tournament Setup'!$AM:$AM,MATCH($A197,'Tournament Setup'!$A:$A,0))&lt;=MOD($Y197,18),1,0)))</f>
      </c>
      <c r="AJ197" t="e">
        <f>IF(OR(OR($A197="",$D197=""),P197=""),"",P197-(INT($Y197/18)+IF(INDEX('Tournament Setup'!$AN:$AN,MATCH($A197,'Tournament Setup'!$A:$A,0))&lt;=MOD($Y197,18),1,0)))</f>
      </c>
      <c r="AK197" t="e">
        <f>IF(OR(OR($A197="",$D197=""),Q197=""),"",Q197-(INT($Y197/18)+IF(INDEX('Tournament Setup'!$AO:$AO,MATCH($A197,'Tournament Setup'!$A:$A,0))&lt;=MOD($Y197,18),1,0)))</f>
      </c>
      <c r="AL197" t="e">
        <f>IF(OR(OR($A197="",$D197=""),R197=""),"",R197-(INT($Y197/18)+IF(INDEX('Tournament Setup'!$AP:$AP,MATCH($A197,'Tournament Setup'!$A:$A,0))&lt;=MOD($Y197,18),1,0)))</f>
      </c>
      <c r="AM197" t="e">
        <f>IF(OR(OR($A197="",$D197=""),S197=""),"",S197-(INT($Y197/18)+IF(INDEX('Tournament Setup'!$AQ:$AQ,MATCH($A197,'Tournament Setup'!$A:$A,0))&lt;=MOD($Y197,18),1,0)))</f>
      </c>
      <c r="AN197" t="e">
        <f>IF(OR(OR($A197="",$D197=""),T197=""),"",T197-(INT($Y197/18)+IF(INDEX('Tournament Setup'!$AR:$AR,MATCH($A197,'Tournament Setup'!$A:$A,0))&lt;=MOD($Y197,18),1,0)))</f>
      </c>
      <c r="AO197" t="e">
        <f>IF(OR(OR($A197="",$D197=""),U197=""),"",U197-(INT($Y197/18)+IF(INDEX('Tournament Setup'!$AS:$AS,MATCH($A197,'Tournament Setup'!$A:$A,0))&lt;=MOD($Y197,18),1,0)))</f>
      </c>
      <c r="AP197" t="e">
        <f>IF(OR(OR($A197="",$D197=""),V197=""),"",V197-(INT($Y197/18)+IF(INDEX('Tournament Setup'!$AT:$AT,MATCH($A197,'Tournament Setup'!$A:$A,0))&lt;=MOD($Y197,18),1,0)))</f>
      </c>
      <c r="AQ197" t="e">
        <f>IF(OR(OR($A197="",$D197=""),W197=""),"",W197-(INT($Y197/18)+IF(INDEX('Tournament Setup'!$AU:$AU,MATCH($A197,'Tournament Setup'!$A:$A,0))&lt;=MOD($Y197,18),1,0)))</f>
      </c>
    </row>
    <row r="198">
      <c r="X198" t="e">
        <f>IF(OR($A198="",$D198=""),"",SUM(F198:W198))</f>
      </c>
      <c r="Y198" t="e">
        <f>IF(OR($A198="",$D198=""),"",IF(INDEX('Tournament Setup'!$F:$F,MATCH($A198,'Tournament Setup'!$A:$A,0))="Net",ROUND(($E198-_xlfn.MINIFS($E$2:$E$401,$A$2:$A$401,$A198,$B$2:$B$401,$B198))*INDEX('Tournament Setup'!$G:$G,MATCH($A198,'Tournament Setup'!$A:$A,0))/100,0),0))</f>
      </c>
      <c r="Z198" t="e">
        <f>IF(OR(OR($A198="",$D198=""),F198=""),"",F198-(INT($Y198/18)+IF(INDEX('Tournament Setup'!$AD:$AD,MATCH($A198,'Tournament Setup'!$A:$A,0))&lt;=MOD($Y198,18),1,0)))</f>
      </c>
      <c r="AA198" t="e">
        <f>IF(OR(OR($A198="",$D198=""),G198=""),"",G198-(INT($Y198/18)+IF(INDEX('Tournament Setup'!$AE:$AE,MATCH($A198,'Tournament Setup'!$A:$A,0))&lt;=MOD($Y198,18),1,0)))</f>
      </c>
      <c r="AB198" t="e">
        <f>IF(OR(OR($A198="",$D198=""),H198=""),"",H198-(INT($Y198/18)+IF(INDEX('Tournament Setup'!$AF:$AF,MATCH($A198,'Tournament Setup'!$A:$A,0))&lt;=MOD($Y198,18),1,0)))</f>
      </c>
      <c r="AC198" t="e">
        <f>IF(OR(OR($A198="",$D198=""),I198=""),"",I198-(INT($Y198/18)+IF(INDEX('Tournament Setup'!$AG:$AG,MATCH($A198,'Tournament Setup'!$A:$A,0))&lt;=MOD($Y198,18),1,0)))</f>
      </c>
      <c r="AD198" t="e">
        <f>IF(OR(OR($A198="",$D198=""),J198=""),"",J198-(INT($Y198/18)+IF(INDEX('Tournament Setup'!$AH:$AH,MATCH($A198,'Tournament Setup'!$A:$A,0))&lt;=MOD($Y198,18),1,0)))</f>
      </c>
      <c r="AE198" t="e">
        <f>IF(OR(OR($A198="",$D198=""),K198=""),"",K198-(INT($Y198/18)+IF(INDEX('Tournament Setup'!$AI:$AI,MATCH($A198,'Tournament Setup'!$A:$A,0))&lt;=MOD($Y198,18),1,0)))</f>
      </c>
      <c r="AF198" t="e">
        <f>IF(OR(OR($A198="",$D198=""),L198=""),"",L198-(INT($Y198/18)+IF(INDEX('Tournament Setup'!$AJ:$AJ,MATCH($A198,'Tournament Setup'!$A:$A,0))&lt;=MOD($Y198,18),1,0)))</f>
      </c>
      <c r="AG198" t="e">
        <f>IF(OR(OR($A198="",$D198=""),M198=""),"",M198-(INT($Y198/18)+IF(INDEX('Tournament Setup'!$AK:$AK,MATCH($A198,'Tournament Setup'!$A:$A,0))&lt;=MOD($Y198,18),1,0)))</f>
      </c>
      <c r="AH198" t="e">
        <f>IF(OR(OR($A198="",$D198=""),N198=""),"",N198-(INT($Y198/18)+IF(INDEX('Tournament Setup'!$AL:$AL,MATCH($A198,'Tournament Setup'!$A:$A,0))&lt;=MOD($Y198,18),1,0)))</f>
      </c>
      <c r="AI198" t="e">
        <f>IF(OR(OR($A198="",$D198=""),O198=""),"",O198-(INT($Y198/18)+IF(INDEX('Tournament Setup'!$AM:$AM,MATCH($A198,'Tournament Setup'!$A:$A,0))&lt;=MOD($Y198,18),1,0)))</f>
      </c>
      <c r="AJ198" t="e">
        <f>IF(OR(OR($A198="",$D198=""),P198=""),"",P198-(INT($Y198/18)+IF(INDEX('Tournament Setup'!$AN:$AN,MATCH($A198,'Tournament Setup'!$A:$A,0))&lt;=MOD($Y198,18),1,0)))</f>
      </c>
      <c r="AK198" t="e">
        <f>IF(OR(OR($A198="",$D198=""),Q198=""),"",Q198-(INT($Y198/18)+IF(INDEX('Tournament Setup'!$AO:$AO,MATCH($A198,'Tournament Setup'!$A:$A,0))&lt;=MOD($Y198,18),1,0)))</f>
      </c>
      <c r="AL198" t="e">
        <f>IF(OR(OR($A198="",$D198=""),R198=""),"",R198-(INT($Y198/18)+IF(INDEX('Tournament Setup'!$AP:$AP,MATCH($A198,'Tournament Setup'!$A:$A,0))&lt;=MOD($Y198,18),1,0)))</f>
      </c>
      <c r="AM198" t="e">
        <f>IF(OR(OR($A198="",$D198=""),S198=""),"",S198-(INT($Y198/18)+IF(INDEX('Tournament Setup'!$AQ:$AQ,MATCH($A198,'Tournament Setup'!$A:$A,0))&lt;=MOD($Y198,18),1,0)))</f>
      </c>
      <c r="AN198" t="e">
        <f>IF(OR(OR($A198="",$D198=""),T198=""),"",T198-(INT($Y198/18)+IF(INDEX('Tournament Setup'!$AR:$AR,MATCH($A198,'Tournament Setup'!$A:$A,0))&lt;=MOD($Y198,18),1,0)))</f>
      </c>
      <c r="AO198" t="e">
        <f>IF(OR(OR($A198="",$D198=""),U198=""),"",U198-(INT($Y198/18)+IF(INDEX('Tournament Setup'!$AS:$AS,MATCH($A198,'Tournament Setup'!$A:$A,0))&lt;=MOD($Y198,18),1,0)))</f>
      </c>
      <c r="AP198" t="e">
        <f>IF(OR(OR($A198="",$D198=""),V198=""),"",V198-(INT($Y198/18)+IF(INDEX('Tournament Setup'!$AT:$AT,MATCH($A198,'Tournament Setup'!$A:$A,0))&lt;=MOD($Y198,18),1,0)))</f>
      </c>
      <c r="AQ198" t="e">
        <f>IF(OR(OR($A198="",$D198=""),W198=""),"",W198-(INT($Y198/18)+IF(INDEX('Tournament Setup'!$AU:$AU,MATCH($A198,'Tournament Setup'!$A:$A,0))&lt;=MOD($Y198,18),1,0)))</f>
      </c>
    </row>
    <row r="199">
      <c r="X199" t="e">
        <f>IF(OR($A199="",$D199=""),"",SUM(F199:W199))</f>
      </c>
      <c r="Y199" t="e">
        <f>IF(OR($A199="",$D199=""),"",IF(INDEX('Tournament Setup'!$F:$F,MATCH($A199,'Tournament Setup'!$A:$A,0))="Net",ROUND(($E199-_xlfn.MINIFS($E$2:$E$401,$A$2:$A$401,$A199,$B$2:$B$401,$B199))*INDEX('Tournament Setup'!$G:$G,MATCH($A199,'Tournament Setup'!$A:$A,0))/100,0),0))</f>
      </c>
      <c r="Z199" t="e">
        <f>IF(OR(OR($A199="",$D199=""),F199=""),"",F199-(INT($Y199/18)+IF(INDEX('Tournament Setup'!$AD:$AD,MATCH($A199,'Tournament Setup'!$A:$A,0))&lt;=MOD($Y199,18),1,0)))</f>
      </c>
      <c r="AA199" t="e">
        <f>IF(OR(OR($A199="",$D199=""),G199=""),"",G199-(INT($Y199/18)+IF(INDEX('Tournament Setup'!$AE:$AE,MATCH($A199,'Tournament Setup'!$A:$A,0))&lt;=MOD($Y199,18),1,0)))</f>
      </c>
      <c r="AB199" t="e">
        <f>IF(OR(OR($A199="",$D199=""),H199=""),"",H199-(INT($Y199/18)+IF(INDEX('Tournament Setup'!$AF:$AF,MATCH($A199,'Tournament Setup'!$A:$A,0))&lt;=MOD($Y199,18),1,0)))</f>
      </c>
      <c r="AC199" t="e">
        <f>IF(OR(OR($A199="",$D199=""),I199=""),"",I199-(INT($Y199/18)+IF(INDEX('Tournament Setup'!$AG:$AG,MATCH($A199,'Tournament Setup'!$A:$A,0))&lt;=MOD($Y199,18),1,0)))</f>
      </c>
      <c r="AD199" t="e">
        <f>IF(OR(OR($A199="",$D199=""),J199=""),"",J199-(INT($Y199/18)+IF(INDEX('Tournament Setup'!$AH:$AH,MATCH($A199,'Tournament Setup'!$A:$A,0))&lt;=MOD($Y199,18),1,0)))</f>
      </c>
      <c r="AE199" t="e">
        <f>IF(OR(OR($A199="",$D199=""),K199=""),"",K199-(INT($Y199/18)+IF(INDEX('Tournament Setup'!$AI:$AI,MATCH($A199,'Tournament Setup'!$A:$A,0))&lt;=MOD($Y199,18),1,0)))</f>
      </c>
      <c r="AF199" t="e">
        <f>IF(OR(OR($A199="",$D199=""),L199=""),"",L199-(INT($Y199/18)+IF(INDEX('Tournament Setup'!$AJ:$AJ,MATCH($A199,'Tournament Setup'!$A:$A,0))&lt;=MOD($Y199,18),1,0)))</f>
      </c>
      <c r="AG199" t="e">
        <f>IF(OR(OR($A199="",$D199=""),M199=""),"",M199-(INT($Y199/18)+IF(INDEX('Tournament Setup'!$AK:$AK,MATCH($A199,'Tournament Setup'!$A:$A,0))&lt;=MOD($Y199,18),1,0)))</f>
      </c>
      <c r="AH199" t="e">
        <f>IF(OR(OR($A199="",$D199=""),N199=""),"",N199-(INT($Y199/18)+IF(INDEX('Tournament Setup'!$AL:$AL,MATCH($A199,'Tournament Setup'!$A:$A,0))&lt;=MOD($Y199,18),1,0)))</f>
      </c>
      <c r="AI199" t="e">
        <f>IF(OR(OR($A199="",$D199=""),O199=""),"",O199-(INT($Y199/18)+IF(INDEX('Tournament Setup'!$AM:$AM,MATCH($A199,'Tournament Setup'!$A:$A,0))&lt;=MOD($Y199,18),1,0)))</f>
      </c>
      <c r="AJ199" t="e">
        <f>IF(OR(OR($A199="",$D199=""),P199=""),"",P199-(INT($Y199/18)+IF(INDEX('Tournament Setup'!$AN:$AN,MATCH($A199,'Tournament Setup'!$A:$A,0))&lt;=MOD($Y199,18),1,0)))</f>
      </c>
      <c r="AK199" t="e">
        <f>IF(OR(OR($A199="",$D199=""),Q199=""),"",Q199-(INT($Y199/18)+IF(INDEX('Tournament Setup'!$AO:$AO,MATCH($A199,'Tournament Setup'!$A:$A,0))&lt;=MOD($Y199,18),1,0)))</f>
      </c>
      <c r="AL199" t="e">
        <f>IF(OR(OR($A199="",$D199=""),R199=""),"",R199-(INT($Y199/18)+IF(INDEX('Tournament Setup'!$AP:$AP,MATCH($A199,'Tournament Setup'!$A:$A,0))&lt;=MOD($Y199,18),1,0)))</f>
      </c>
      <c r="AM199" t="e">
        <f>IF(OR(OR($A199="",$D199=""),S199=""),"",S199-(INT($Y199/18)+IF(INDEX('Tournament Setup'!$AQ:$AQ,MATCH($A199,'Tournament Setup'!$A:$A,0))&lt;=MOD($Y199,18),1,0)))</f>
      </c>
      <c r="AN199" t="e">
        <f>IF(OR(OR($A199="",$D199=""),T199=""),"",T199-(INT($Y199/18)+IF(INDEX('Tournament Setup'!$AR:$AR,MATCH($A199,'Tournament Setup'!$A:$A,0))&lt;=MOD($Y199,18),1,0)))</f>
      </c>
      <c r="AO199" t="e">
        <f>IF(OR(OR($A199="",$D199=""),U199=""),"",U199-(INT($Y199/18)+IF(INDEX('Tournament Setup'!$AS:$AS,MATCH($A199,'Tournament Setup'!$A:$A,0))&lt;=MOD($Y199,18),1,0)))</f>
      </c>
      <c r="AP199" t="e">
        <f>IF(OR(OR($A199="",$D199=""),V199=""),"",V199-(INT($Y199/18)+IF(INDEX('Tournament Setup'!$AT:$AT,MATCH($A199,'Tournament Setup'!$A:$A,0))&lt;=MOD($Y199,18),1,0)))</f>
      </c>
      <c r="AQ199" t="e">
        <f>IF(OR(OR($A199="",$D199=""),W199=""),"",W199-(INT($Y199/18)+IF(INDEX('Tournament Setup'!$AU:$AU,MATCH($A199,'Tournament Setup'!$A:$A,0))&lt;=MOD($Y199,18),1,0)))</f>
      </c>
    </row>
    <row r="200">
      <c r="X200" t="e">
        <f>IF(OR($A200="",$D200=""),"",SUM(F200:W200))</f>
      </c>
      <c r="Y200" t="e">
        <f>IF(OR($A200="",$D200=""),"",IF(INDEX('Tournament Setup'!$F:$F,MATCH($A200,'Tournament Setup'!$A:$A,0))="Net",ROUND(($E200-_xlfn.MINIFS($E$2:$E$401,$A$2:$A$401,$A200,$B$2:$B$401,$B200))*INDEX('Tournament Setup'!$G:$G,MATCH($A200,'Tournament Setup'!$A:$A,0))/100,0),0))</f>
      </c>
      <c r="Z200" t="e">
        <f>IF(OR(OR($A200="",$D200=""),F200=""),"",F200-(INT($Y200/18)+IF(INDEX('Tournament Setup'!$AD:$AD,MATCH($A200,'Tournament Setup'!$A:$A,0))&lt;=MOD($Y200,18),1,0)))</f>
      </c>
      <c r="AA200" t="e">
        <f>IF(OR(OR($A200="",$D200=""),G200=""),"",G200-(INT($Y200/18)+IF(INDEX('Tournament Setup'!$AE:$AE,MATCH($A200,'Tournament Setup'!$A:$A,0))&lt;=MOD($Y200,18),1,0)))</f>
      </c>
      <c r="AB200" t="e">
        <f>IF(OR(OR($A200="",$D200=""),H200=""),"",H200-(INT($Y200/18)+IF(INDEX('Tournament Setup'!$AF:$AF,MATCH($A200,'Tournament Setup'!$A:$A,0))&lt;=MOD($Y200,18),1,0)))</f>
      </c>
      <c r="AC200" t="e">
        <f>IF(OR(OR($A200="",$D200=""),I200=""),"",I200-(INT($Y200/18)+IF(INDEX('Tournament Setup'!$AG:$AG,MATCH($A200,'Tournament Setup'!$A:$A,0))&lt;=MOD($Y200,18),1,0)))</f>
      </c>
      <c r="AD200" t="e">
        <f>IF(OR(OR($A200="",$D200=""),J200=""),"",J200-(INT($Y200/18)+IF(INDEX('Tournament Setup'!$AH:$AH,MATCH($A200,'Tournament Setup'!$A:$A,0))&lt;=MOD($Y200,18),1,0)))</f>
      </c>
      <c r="AE200" t="e">
        <f>IF(OR(OR($A200="",$D200=""),K200=""),"",K200-(INT($Y200/18)+IF(INDEX('Tournament Setup'!$AI:$AI,MATCH($A200,'Tournament Setup'!$A:$A,0))&lt;=MOD($Y200,18),1,0)))</f>
      </c>
      <c r="AF200" t="e">
        <f>IF(OR(OR($A200="",$D200=""),L200=""),"",L200-(INT($Y200/18)+IF(INDEX('Tournament Setup'!$AJ:$AJ,MATCH($A200,'Tournament Setup'!$A:$A,0))&lt;=MOD($Y200,18),1,0)))</f>
      </c>
      <c r="AG200" t="e">
        <f>IF(OR(OR($A200="",$D200=""),M200=""),"",M200-(INT($Y200/18)+IF(INDEX('Tournament Setup'!$AK:$AK,MATCH($A200,'Tournament Setup'!$A:$A,0))&lt;=MOD($Y200,18),1,0)))</f>
      </c>
      <c r="AH200" t="e">
        <f>IF(OR(OR($A200="",$D200=""),N200=""),"",N200-(INT($Y200/18)+IF(INDEX('Tournament Setup'!$AL:$AL,MATCH($A200,'Tournament Setup'!$A:$A,0))&lt;=MOD($Y200,18),1,0)))</f>
      </c>
      <c r="AI200" t="e">
        <f>IF(OR(OR($A200="",$D200=""),O200=""),"",O200-(INT($Y200/18)+IF(INDEX('Tournament Setup'!$AM:$AM,MATCH($A200,'Tournament Setup'!$A:$A,0))&lt;=MOD($Y200,18),1,0)))</f>
      </c>
      <c r="AJ200" t="e">
        <f>IF(OR(OR($A200="",$D200=""),P200=""),"",P200-(INT($Y200/18)+IF(INDEX('Tournament Setup'!$AN:$AN,MATCH($A200,'Tournament Setup'!$A:$A,0))&lt;=MOD($Y200,18),1,0)))</f>
      </c>
      <c r="AK200" t="e">
        <f>IF(OR(OR($A200="",$D200=""),Q200=""),"",Q200-(INT($Y200/18)+IF(INDEX('Tournament Setup'!$AO:$AO,MATCH($A200,'Tournament Setup'!$A:$A,0))&lt;=MOD($Y200,18),1,0)))</f>
      </c>
      <c r="AL200" t="e">
        <f>IF(OR(OR($A200="",$D200=""),R200=""),"",R200-(INT($Y200/18)+IF(INDEX('Tournament Setup'!$AP:$AP,MATCH($A200,'Tournament Setup'!$A:$A,0))&lt;=MOD($Y200,18),1,0)))</f>
      </c>
      <c r="AM200" t="e">
        <f>IF(OR(OR($A200="",$D200=""),S200=""),"",S200-(INT($Y200/18)+IF(INDEX('Tournament Setup'!$AQ:$AQ,MATCH($A200,'Tournament Setup'!$A:$A,0))&lt;=MOD($Y200,18),1,0)))</f>
      </c>
      <c r="AN200" t="e">
        <f>IF(OR(OR($A200="",$D200=""),T200=""),"",T200-(INT($Y200/18)+IF(INDEX('Tournament Setup'!$AR:$AR,MATCH($A200,'Tournament Setup'!$A:$A,0))&lt;=MOD($Y200,18),1,0)))</f>
      </c>
      <c r="AO200" t="e">
        <f>IF(OR(OR($A200="",$D200=""),U200=""),"",U200-(INT($Y200/18)+IF(INDEX('Tournament Setup'!$AS:$AS,MATCH($A200,'Tournament Setup'!$A:$A,0))&lt;=MOD($Y200,18),1,0)))</f>
      </c>
      <c r="AP200" t="e">
        <f>IF(OR(OR($A200="",$D200=""),V200=""),"",V200-(INT($Y200/18)+IF(INDEX('Tournament Setup'!$AT:$AT,MATCH($A200,'Tournament Setup'!$A:$A,0))&lt;=MOD($Y200,18),1,0)))</f>
      </c>
      <c r="AQ200" t="e">
        <f>IF(OR(OR($A200="",$D200=""),W200=""),"",W200-(INT($Y200/18)+IF(INDEX('Tournament Setup'!$AU:$AU,MATCH($A200,'Tournament Setup'!$A:$A,0))&lt;=MOD($Y200,18),1,0)))</f>
      </c>
    </row>
    <row r="201">
      <c r="X201" t="e">
        <f>IF(OR($A201="",$D201=""),"",SUM(F201:W201))</f>
      </c>
      <c r="Y201" t="e">
        <f>IF(OR($A201="",$D201=""),"",IF(INDEX('Tournament Setup'!$F:$F,MATCH($A201,'Tournament Setup'!$A:$A,0))="Net",ROUND(($E201-_xlfn.MINIFS($E$2:$E$401,$A$2:$A$401,$A201,$B$2:$B$401,$B201))*INDEX('Tournament Setup'!$G:$G,MATCH($A201,'Tournament Setup'!$A:$A,0))/100,0),0))</f>
      </c>
      <c r="Z201" t="e">
        <f>IF(OR(OR($A201="",$D201=""),F201=""),"",F201-(INT($Y201/18)+IF(INDEX('Tournament Setup'!$AD:$AD,MATCH($A201,'Tournament Setup'!$A:$A,0))&lt;=MOD($Y201,18),1,0)))</f>
      </c>
      <c r="AA201" t="e">
        <f>IF(OR(OR($A201="",$D201=""),G201=""),"",G201-(INT($Y201/18)+IF(INDEX('Tournament Setup'!$AE:$AE,MATCH($A201,'Tournament Setup'!$A:$A,0))&lt;=MOD($Y201,18),1,0)))</f>
      </c>
      <c r="AB201" t="e">
        <f>IF(OR(OR($A201="",$D201=""),H201=""),"",H201-(INT($Y201/18)+IF(INDEX('Tournament Setup'!$AF:$AF,MATCH($A201,'Tournament Setup'!$A:$A,0))&lt;=MOD($Y201,18),1,0)))</f>
      </c>
      <c r="AC201" t="e">
        <f>IF(OR(OR($A201="",$D201=""),I201=""),"",I201-(INT($Y201/18)+IF(INDEX('Tournament Setup'!$AG:$AG,MATCH($A201,'Tournament Setup'!$A:$A,0))&lt;=MOD($Y201,18),1,0)))</f>
      </c>
      <c r="AD201" t="e">
        <f>IF(OR(OR($A201="",$D201=""),J201=""),"",J201-(INT($Y201/18)+IF(INDEX('Tournament Setup'!$AH:$AH,MATCH($A201,'Tournament Setup'!$A:$A,0))&lt;=MOD($Y201,18),1,0)))</f>
      </c>
      <c r="AE201" t="e">
        <f>IF(OR(OR($A201="",$D201=""),K201=""),"",K201-(INT($Y201/18)+IF(INDEX('Tournament Setup'!$AI:$AI,MATCH($A201,'Tournament Setup'!$A:$A,0))&lt;=MOD($Y201,18),1,0)))</f>
      </c>
      <c r="AF201" t="e">
        <f>IF(OR(OR($A201="",$D201=""),L201=""),"",L201-(INT($Y201/18)+IF(INDEX('Tournament Setup'!$AJ:$AJ,MATCH($A201,'Tournament Setup'!$A:$A,0))&lt;=MOD($Y201,18),1,0)))</f>
      </c>
      <c r="AG201" t="e">
        <f>IF(OR(OR($A201="",$D201=""),M201=""),"",M201-(INT($Y201/18)+IF(INDEX('Tournament Setup'!$AK:$AK,MATCH($A201,'Tournament Setup'!$A:$A,0))&lt;=MOD($Y201,18),1,0)))</f>
      </c>
      <c r="AH201" t="e">
        <f>IF(OR(OR($A201="",$D201=""),N201=""),"",N201-(INT($Y201/18)+IF(INDEX('Tournament Setup'!$AL:$AL,MATCH($A201,'Tournament Setup'!$A:$A,0))&lt;=MOD($Y201,18),1,0)))</f>
      </c>
      <c r="AI201" t="e">
        <f>IF(OR(OR($A201="",$D201=""),O201=""),"",O201-(INT($Y201/18)+IF(INDEX('Tournament Setup'!$AM:$AM,MATCH($A201,'Tournament Setup'!$A:$A,0))&lt;=MOD($Y201,18),1,0)))</f>
      </c>
      <c r="AJ201" t="e">
        <f>IF(OR(OR($A201="",$D201=""),P201=""),"",P201-(INT($Y201/18)+IF(INDEX('Tournament Setup'!$AN:$AN,MATCH($A201,'Tournament Setup'!$A:$A,0))&lt;=MOD($Y201,18),1,0)))</f>
      </c>
      <c r="AK201" t="e">
        <f>IF(OR(OR($A201="",$D201=""),Q201=""),"",Q201-(INT($Y201/18)+IF(INDEX('Tournament Setup'!$AO:$AO,MATCH($A201,'Tournament Setup'!$A:$A,0))&lt;=MOD($Y201,18),1,0)))</f>
      </c>
      <c r="AL201" t="e">
        <f>IF(OR(OR($A201="",$D201=""),R201=""),"",R201-(INT($Y201/18)+IF(INDEX('Tournament Setup'!$AP:$AP,MATCH($A201,'Tournament Setup'!$A:$A,0))&lt;=MOD($Y201,18),1,0)))</f>
      </c>
      <c r="AM201" t="e">
        <f>IF(OR(OR($A201="",$D201=""),S201=""),"",S201-(INT($Y201/18)+IF(INDEX('Tournament Setup'!$AQ:$AQ,MATCH($A201,'Tournament Setup'!$A:$A,0))&lt;=MOD($Y201,18),1,0)))</f>
      </c>
      <c r="AN201" t="e">
        <f>IF(OR(OR($A201="",$D201=""),T201=""),"",T201-(INT($Y201/18)+IF(INDEX('Tournament Setup'!$AR:$AR,MATCH($A201,'Tournament Setup'!$A:$A,0))&lt;=MOD($Y201,18),1,0)))</f>
      </c>
      <c r="AO201" t="e">
        <f>IF(OR(OR($A201="",$D201=""),U201=""),"",U201-(INT($Y201/18)+IF(INDEX('Tournament Setup'!$AS:$AS,MATCH($A201,'Tournament Setup'!$A:$A,0))&lt;=MOD($Y201,18),1,0)))</f>
      </c>
      <c r="AP201" t="e">
        <f>IF(OR(OR($A201="",$D201=""),V201=""),"",V201-(INT($Y201/18)+IF(INDEX('Tournament Setup'!$AT:$AT,MATCH($A201,'Tournament Setup'!$A:$A,0))&lt;=MOD($Y201,18),1,0)))</f>
      </c>
      <c r="AQ201" t="e">
        <f>IF(OR(OR($A201="",$D201=""),W201=""),"",W201-(INT($Y201/18)+IF(INDEX('Tournament Setup'!$AU:$AU,MATCH($A201,'Tournament Setup'!$A:$A,0))&lt;=MOD($Y201,18),1,0)))</f>
      </c>
    </row>
    <row r="202">
      <c r="X202" t="e">
        <f>IF(OR($A202="",$D202=""),"",SUM(F202:W202))</f>
      </c>
      <c r="Y202" t="e">
        <f>IF(OR($A202="",$D202=""),"",IF(INDEX('Tournament Setup'!$F:$F,MATCH($A202,'Tournament Setup'!$A:$A,0))="Net",ROUND(($E202-_xlfn.MINIFS($E$2:$E$401,$A$2:$A$401,$A202,$B$2:$B$401,$B202))*INDEX('Tournament Setup'!$G:$G,MATCH($A202,'Tournament Setup'!$A:$A,0))/100,0),0))</f>
      </c>
      <c r="Z202" t="e">
        <f>IF(OR(OR($A202="",$D202=""),F202=""),"",F202-(INT($Y202/18)+IF(INDEX('Tournament Setup'!$AD:$AD,MATCH($A202,'Tournament Setup'!$A:$A,0))&lt;=MOD($Y202,18),1,0)))</f>
      </c>
      <c r="AA202" t="e">
        <f>IF(OR(OR($A202="",$D202=""),G202=""),"",G202-(INT($Y202/18)+IF(INDEX('Tournament Setup'!$AE:$AE,MATCH($A202,'Tournament Setup'!$A:$A,0))&lt;=MOD($Y202,18),1,0)))</f>
      </c>
      <c r="AB202" t="e">
        <f>IF(OR(OR($A202="",$D202=""),H202=""),"",H202-(INT($Y202/18)+IF(INDEX('Tournament Setup'!$AF:$AF,MATCH($A202,'Tournament Setup'!$A:$A,0))&lt;=MOD($Y202,18),1,0)))</f>
      </c>
      <c r="AC202" t="e">
        <f>IF(OR(OR($A202="",$D202=""),I202=""),"",I202-(INT($Y202/18)+IF(INDEX('Tournament Setup'!$AG:$AG,MATCH($A202,'Tournament Setup'!$A:$A,0))&lt;=MOD($Y202,18),1,0)))</f>
      </c>
      <c r="AD202" t="e">
        <f>IF(OR(OR($A202="",$D202=""),J202=""),"",J202-(INT($Y202/18)+IF(INDEX('Tournament Setup'!$AH:$AH,MATCH($A202,'Tournament Setup'!$A:$A,0))&lt;=MOD($Y202,18),1,0)))</f>
      </c>
      <c r="AE202" t="e">
        <f>IF(OR(OR($A202="",$D202=""),K202=""),"",K202-(INT($Y202/18)+IF(INDEX('Tournament Setup'!$AI:$AI,MATCH($A202,'Tournament Setup'!$A:$A,0))&lt;=MOD($Y202,18),1,0)))</f>
      </c>
      <c r="AF202" t="e">
        <f>IF(OR(OR($A202="",$D202=""),L202=""),"",L202-(INT($Y202/18)+IF(INDEX('Tournament Setup'!$AJ:$AJ,MATCH($A202,'Tournament Setup'!$A:$A,0))&lt;=MOD($Y202,18),1,0)))</f>
      </c>
      <c r="AG202" t="e">
        <f>IF(OR(OR($A202="",$D202=""),M202=""),"",M202-(INT($Y202/18)+IF(INDEX('Tournament Setup'!$AK:$AK,MATCH($A202,'Tournament Setup'!$A:$A,0))&lt;=MOD($Y202,18),1,0)))</f>
      </c>
      <c r="AH202" t="e">
        <f>IF(OR(OR($A202="",$D202=""),N202=""),"",N202-(INT($Y202/18)+IF(INDEX('Tournament Setup'!$AL:$AL,MATCH($A202,'Tournament Setup'!$A:$A,0))&lt;=MOD($Y202,18),1,0)))</f>
      </c>
      <c r="AI202" t="e">
        <f>IF(OR(OR($A202="",$D202=""),O202=""),"",O202-(INT($Y202/18)+IF(INDEX('Tournament Setup'!$AM:$AM,MATCH($A202,'Tournament Setup'!$A:$A,0))&lt;=MOD($Y202,18),1,0)))</f>
      </c>
      <c r="AJ202" t="e">
        <f>IF(OR(OR($A202="",$D202=""),P202=""),"",P202-(INT($Y202/18)+IF(INDEX('Tournament Setup'!$AN:$AN,MATCH($A202,'Tournament Setup'!$A:$A,0))&lt;=MOD($Y202,18),1,0)))</f>
      </c>
      <c r="AK202" t="e">
        <f>IF(OR(OR($A202="",$D202=""),Q202=""),"",Q202-(INT($Y202/18)+IF(INDEX('Tournament Setup'!$AO:$AO,MATCH($A202,'Tournament Setup'!$A:$A,0))&lt;=MOD($Y202,18),1,0)))</f>
      </c>
      <c r="AL202" t="e">
        <f>IF(OR(OR($A202="",$D202=""),R202=""),"",R202-(INT($Y202/18)+IF(INDEX('Tournament Setup'!$AP:$AP,MATCH($A202,'Tournament Setup'!$A:$A,0))&lt;=MOD($Y202,18),1,0)))</f>
      </c>
      <c r="AM202" t="e">
        <f>IF(OR(OR($A202="",$D202=""),S202=""),"",S202-(INT($Y202/18)+IF(INDEX('Tournament Setup'!$AQ:$AQ,MATCH($A202,'Tournament Setup'!$A:$A,0))&lt;=MOD($Y202,18),1,0)))</f>
      </c>
      <c r="AN202" t="e">
        <f>IF(OR(OR($A202="",$D202=""),T202=""),"",T202-(INT($Y202/18)+IF(INDEX('Tournament Setup'!$AR:$AR,MATCH($A202,'Tournament Setup'!$A:$A,0))&lt;=MOD($Y202,18),1,0)))</f>
      </c>
      <c r="AO202" t="e">
        <f>IF(OR(OR($A202="",$D202=""),U202=""),"",U202-(INT($Y202/18)+IF(INDEX('Tournament Setup'!$AS:$AS,MATCH($A202,'Tournament Setup'!$A:$A,0))&lt;=MOD($Y202,18),1,0)))</f>
      </c>
      <c r="AP202" t="e">
        <f>IF(OR(OR($A202="",$D202=""),V202=""),"",V202-(INT($Y202/18)+IF(INDEX('Tournament Setup'!$AT:$AT,MATCH($A202,'Tournament Setup'!$A:$A,0))&lt;=MOD($Y202,18),1,0)))</f>
      </c>
      <c r="AQ202" t="e">
        <f>IF(OR(OR($A202="",$D202=""),W202=""),"",W202-(INT($Y202/18)+IF(INDEX('Tournament Setup'!$AU:$AU,MATCH($A202,'Tournament Setup'!$A:$A,0))&lt;=MOD($Y202,18),1,0)))</f>
      </c>
    </row>
    <row r="203">
      <c r="X203" t="e">
        <f>IF(OR($A203="",$D203=""),"",SUM(F203:W203))</f>
      </c>
      <c r="Y203" t="e">
        <f>IF(OR($A203="",$D203=""),"",IF(INDEX('Tournament Setup'!$F:$F,MATCH($A203,'Tournament Setup'!$A:$A,0))="Net",ROUND(($E203-_xlfn.MINIFS($E$2:$E$401,$A$2:$A$401,$A203,$B$2:$B$401,$B203))*INDEX('Tournament Setup'!$G:$G,MATCH($A203,'Tournament Setup'!$A:$A,0))/100,0),0))</f>
      </c>
      <c r="Z203" t="e">
        <f>IF(OR(OR($A203="",$D203=""),F203=""),"",F203-(INT($Y203/18)+IF(INDEX('Tournament Setup'!$AD:$AD,MATCH($A203,'Tournament Setup'!$A:$A,0))&lt;=MOD($Y203,18),1,0)))</f>
      </c>
      <c r="AA203" t="e">
        <f>IF(OR(OR($A203="",$D203=""),G203=""),"",G203-(INT($Y203/18)+IF(INDEX('Tournament Setup'!$AE:$AE,MATCH($A203,'Tournament Setup'!$A:$A,0))&lt;=MOD($Y203,18),1,0)))</f>
      </c>
      <c r="AB203" t="e">
        <f>IF(OR(OR($A203="",$D203=""),H203=""),"",H203-(INT($Y203/18)+IF(INDEX('Tournament Setup'!$AF:$AF,MATCH($A203,'Tournament Setup'!$A:$A,0))&lt;=MOD($Y203,18),1,0)))</f>
      </c>
      <c r="AC203" t="e">
        <f>IF(OR(OR($A203="",$D203=""),I203=""),"",I203-(INT($Y203/18)+IF(INDEX('Tournament Setup'!$AG:$AG,MATCH($A203,'Tournament Setup'!$A:$A,0))&lt;=MOD($Y203,18),1,0)))</f>
      </c>
      <c r="AD203" t="e">
        <f>IF(OR(OR($A203="",$D203=""),J203=""),"",J203-(INT($Y203/18)+IF(INDEX('Tournament Setup'!$AH:$AH,MATCH($A203,'Tournament Setup'!$A:$A,0))&lt;=MOD($Y203,18),1,0)))</f>
      </c>
      <c r="AE203" t="e">
        <f>IF(OR(OR($A203="",$D203=""),K203=""),"",K203-(INT($Y203/18)+IF(INDEX('Tournament Setup'!$AI:$AI,MATCH($A203,'Tournament Setup'!$A:$A,0))&lt;=MOD($Y203,18),1,0)))</f>
      </c>
      <c r="AF203" t="e">
        <f>IF(OR(OR($A203="",$D203=""),L203=""),"",L203-(INT($Y203/18)+IF(INDEX('Tournament Setup'!$AJ:$AJ,MATCH($A203,'Tournament Setup'!$A:$A,0))&lt;=MOD($Y203,18),1,0)))</f>
      </c>
      <c r="AG203" t="e">
        <f>IF(OR(OR($A203="",$D203=""),M203=""),"",M203-(INT($Y203/18)+IF(INDEX('Tournament Setup'!$AK:$AK,MATCH($A203,'Tournament Setup'!$A:$A,0))&lt;=MOD($Y203,18),1,0)))</f>
      </c>
      <c r="AH203" t="e">
        <f>IF(OR(OR($A203="",$D203=""),N203=""),"",N203-(INT($Y203/18)+IF(INDEX('Tournament Setup'!$AL:$AL,MATCH($A203,'Tournament Setup'!$A:$A,0))&lt;=MOD($Y203,18),1,0)))</f>
      </c>
      <c r="AI203" t="e">
        <f>IF(OR(OR($A203="",$D203=""),O203=""),"",O203-(INT($Y203/18)+IF(INDEX('Tournament Setup'!$AM:$AM,MATCH($A203,'Tournament Setup'!$A:$A,0))&lt;=MOD($Y203,18),1,0)))</f>
      </c>
      <c r="AJ203" t="e">
        <f>IF(OR(OR($A203="",$D203=""),P203=""),"",P203-(INT($Y203/18)+IF(INDEX('Tournament Setup'!$AN:$AN,MATCH($A203,'Tournament Setup'!$A:$A,0))&lt;=MOD($Y203,18),1,0)))</f>
      </c>
      <c r="AK203" t="e">
        <f>IF(OR(OR($A203="",$D203=""),Q203=""),"",Q203-(INT($Y203/18)+IF(INDEX('Tournament Setup'!$AO:$AO,MATCH($A203,'Tournament Setup'!$A:$A,0))&lt;=MOD($Y203,18),1,0)))</f>
      </c>
      <c r="AL203" t="e">
        <f>IF(OR(OR($A203="",$D203=""),R203=""),"",R203-(INT($Y203/18)+IF(INDEX('Tournament Setup'!$AP:$AP,MATCH($A203,'Tournament Setup'!$A:$A,0))&lt;=MOD($Y203,18),1,0)))</f>
      </c>
      <c r="AM203" t="e">
        <f>IF(OR(OR($A203="",$D203=""),S203=""),"",S203-(INT($Y203/18)+IF(INDEX('Tournament Setup'!$AQ:$AQ,MATCH($A203,'Tournament Setup'!$A:$A,0))&lt;=MOD($Y203,18),1,0)))</f>
      </c>
      <c r="AN203" t="e">
        <f>IF(OR(OR($A203="",$D203=""),T203=""),"",T203-(INT($Y203/18)+IF(INDEX('Tournament Setup'!$AR:$AR,MATCH($A203,'Tournament Setup'!$A:$A,0))&lt;=MOD($Y203,18),1,0)))</f>
      </c>
      <c r="AO203" t="e">
        <f>IF(OR(OR($A203="",$D203=""),U203=""),"",U203-(INT($Y203/18)+IF(INDEX('Tournament Setup'!$AS:$AS,MATCH($A203,'Tournament Setup'!$A:$A,0))&lt;=MOD($Y203,18),1,0)))</f>
      </c>
      <c r="AP203" t="e">
        <f>IF(OR(OR($A203="",$D203=""),V203=""),"",V203-(INT($Y203/18)+IF(INDEX('Tournament Setup'!$AT:$AT,MATCH($A203,'Tournament Setup'!$A:$A,0))&lt;=MOD($Y203,18),1,0)))</f>
      </c>
      <c r="AQ203" t="e">
        <f>IF(OR(OR($A203="",$D203=""),W203=""),"",W203-(INT($Y203/18)+IF(INDEX('Tournament Setup'!$AU:$AU,MATCH($A203,'Tournament Setup'!$A:$A,0))&lt;=MOD($Y203,18),1,0)))</f>
      </c>
    </row>
    <row r="204">
      <c r="X204" t="e">
        <f>IF(OR($A204="",$D204=""),"",SUM(F204:W204))</f>
      </c>
      <c r="Y204" t="e">
        <f>IF(OR($A204="",$D204=""),"",IF(INDEX('Tournament Setup'!$F:$F,MATCH($A204,'Tournament Setup'!$A:$A,0))="Net",ROUND(($E204-_xlfn.MINIFS($E$2:$E$401,$A$2:$A$401,$A204,$B$2:$B$401,$B204))*INDEX('Tournament Setup'!$G:$G,MATCH($A204,'Tournament Setup'!$A:$A,0))/100,0),0))</f>
      </c>
      <c r="Z204" t="e">
        <f>IF(OR(OR($A204="",$D204=""),F204=""),"",F204-(INT($Y204/18)+IF(INDEX('Tournament Setup'!$AD:$AD,MATCH($A204,'Tournament Setup'!$A:$A,0))&lt;=MOD($Y204,18),1,0)))</f>
      </c>
      <c r="AA204" t="e">
        <f>IF(OR(OR($A204="",$D204=""),G204=""),"",G204-(INT($Y204/18)+IF(INDEX('Tournament Setup'!$AE:$AE,MATCH($A204,'Tournament Setup'!$A:$A,0))&lt;=MOD($Y204,18),1,0)))</f>
      </c>
      <c r="AB204" t="e">
        <f>IF(OR(OR($A204="",$D204=""),H204=""),"",H204-(INT($Y204/18)+IF(INDEX('Tournament Setup'!$AF:$AF,MATCH($A204,'Tournament Setup'!$A:$A,0))&lt;=MOD($Y204,18),1,0)))</f>
      </c>
      <c r="AC204" t="e">
        <f>IF(OR(OR($A204="",$D204=""),I204=""),"",I204-(INT($Y204/18)+IF(INDEX('Tournament Setup'!$AG:$AG,MATCH($A204,'Tournament Setup'!$A:$A,0))&lt;=MOD($Y204,18),1,0)))</f>
      </c>
      <c r="AD204" t="e">
        <f>IF(OR(OR($A204="",$D204=""),J204=""),"",J204-(INT($Y204/18)+IF(INDEX('Tournament Setup'!$AH:$AH,MATCH($A204,'Tournament Setup'!$A:$A,0))&lt;=MOD($Y204,18),1,0)))</f>
      </c>
      <c r="AE204" t="e">
        <f>IF(OR(OR($A204="",$D204=""),K204=""),"",K204-(INT($Y204/18)+IF(INDEX('Tournament Setup'!$AI:$AI,MATCH($A204,'Tournament Setup'!$A:$A,0))&lt;=MOD($Y204,18),1,0)))</f>
      </c>
      <c r="AF204" t="e">
        <f>IF(OR(OR($A204="",$D204=""),L204=""),"",L204-(INT($Y204/18)+IF(INDEX('Tournament Setup'!$AJ:$AJ,MATCH($A204,'Tournament Setup'!$A:$A,0))&lt;=MOD($Y204,18),1,0)))</f>
      </c>
      <c r="AG204" t="e">
        <f>IF(OR(OR($A204="",$D204=""),M204=""),"",M204-(INT($Y204/18)+IF(INDEX('Tournament Setup'!$AK:$AK,MATCH($A204,'Tournament Setup'!$A:$A,0))&lt;=MOD($Y204,18),1,0)))</f>
      </c>
      <c r="AH204" t="e">
        <f>IF(OR(OR($A204="",$D204=""),N204=""),"",N204-(INT($Y204/18)+IF(INDEX('Tournament Setup'!$AL:$AL,MATCH($A204,'Tournament Setup'!$A:$A,0))&lt;=MOD($Y204,18),1,0)))</f>
      </c>
      <c r="AI204" t="e">
        <f>IF(OR(OR($A204="",$D204=""),O204=""),"",O204-(INT($Y204/18)+IF(INDEX('Tournament Setup'!$AM:$AM,MATCH($A204,'Tournament Setup'!$A:$A,0))&lt;=MOD($Y204,18),1,0)))</f>
      </c>
      <c r="AJ204" t="e">
        <f>IF(OR(OR($A204="",$D204=""),P204=""),"",P204-(INT($Y204/18)+IF(INDEX('Tournament Setup'!$AN:$AN,MATCH($A204,'Tournament Setup'!$A:$A,0))&lt;=MOD($Y204,18),1,0)))</f>
      </c>
      <c r="AK204" t="e">
        <f>IF(OR(OR($A204="",$D204=""),Q204=""),"",Q204-(INT($Y204/18)+IF(INDEX('Tournament Setup'!$AO:$AO,MATCH($A204,'Tournament Setup'!$A:$A,0))&lt;=MOD($Y204,18),1,0)))</f>
      </c>
      <c r="AL204" t="e">
        <f>IF(OR(OR($A204="",$D204=""),R204=""),"",R204-(INT($Y204/18)+IF(INDEX('Tournament Setup'!$AP:$AP,MATCH($A204,'Tournament Setup'!$A:$A,0))&lt;=MOD($Y204,18),1,0)))</f>
      </c>
      <c r="AM204" t="e">
        <f>IF(OR(OR($A204="",$D204=""),S204=""),"",S204-(INT($Y204/18)+IF(INDEX('Tournament Setup'!$AQ:$AQ,MATCH($A204,'Tournament Setup'!$A:$A,0))&lt;=MOD($Y204,18),1,0)))</f>
      </c>
      <c r="AN204" t="e">
        <f>IF(OR(OR($A204="",$D204=""),T204=""),"",T204-(INT($Y204/18)+IF(INDEX('Tournament Setup'!$AR:$AR,MATCH($A204,'Tournament Setup'!$A:$A,0))&lt;=MOD($Y204,18),1,0)))</f>
      </c>
      <c r="AO204" t="e">
        <f>IF(OR(OR($A204="",$D204=""),U204=""),"",U204-(INT($Y204/18)+IF(INDEX('Tournament Setup'!$AS:$AS,MATCH($A204,'Tournament Setup'!$A:$A,0))&lt;=MOD($Y204,18),1,0)))</f>
      </c>
      <c r="AP204" t="e">
        <f>IF(OR(OR($A204="",$D204=""),V204=""),"",V204-(INT($Y204/18)+IF(INDEX('Tournament Setup'!$AT:$AT,MATCH($A204,'Tournament Setup'!$A:$A,0))&lt;=MOD($Y204,18),1,0)))</f>
      </c>
      <c r="AQ204" t="e">
        <f>IF(OR(OR($A204="",$D204=""),W204=""),"",W204-(INT($Y204/18)+IF(INDEX('Tournament Setup'!$AU:$AU,MATCH($A204,'Tournament Setup'!$A:$A,0))&lt;=MOD($Y204,18),1,0)))</f>
      </c>
    </row>
    <row r="205">
      <c r="X205" t="e">
        <f>IF(OR($A205="",$D205=""),"",SUM(F205:W205))</f>
      </c>
      <c r="Y205" t="e">
        <f>IF(OR($A205="",$D205=""),"",IF(INDEX('Tournament Setup'!$F:$F,MATCH($A205,'Tournament Setup'!$A:$A,0))="Net",ROUND(($E205-_xlfn.MINIFS($E$2:$E$401,$A$2:$A$401,$A205,$B$2:$B$401,$B205))*INDEX('Tournament Setup'!$G:$G,MATCH($A205,'Tournament Setup'!$A:$A,0))/100,0),0))</f>
      </c>
      <c r="Z205" t="e">
        <f>IF(OR(OR($A205="",$D205=""),F205=""),"",F205-(INT($Y205/18)+IF(INDEX('Tournament Setup'!$AD:$AD,MATCH($A205,'Tournament Setup'!$A:$A,0))&lt;=MOD($Y205,18),1,0)))</f>
      </c>
      <c r="AA205" t="e">
        <f>IF(OR(OR($A205="",$D205=""),G205=""),"",G205-(INT($Y205/18)+IF(INDEX('Tournament Setup'!$AE:$AE,MATCH($A205,'Tournament Setup'!$A:$A,0))&lt;=MOD($Y205,18),1,0)))</f>
      </c>
      <c r="AB205" t="e">
        <f>IF(OR(OR($A205="",$D205=""),H205=""),"",H205-(INT($Y205/18)+IF(INDEX('Tournament Setup'!$AF:$AF,MATCH($A205,'Tournament Setup'!$A:$A,0))&lt;=MOD($Y205,18),1,0)))</f>
      </c>
      <c r="AC205" t="e">
        <f>IF(OR(OR($A205="",$D205=""),I205=""),"",I205-(INT($Y205/18)+IF(INDEX('Tournament Setup'!$AG:$AG,MATCH($A205,'Tournament Setup'!$A:$A,0))&lt;=MOD($Y205,18),1,0)))</f>
      </c>
      <c r="AD205" t="e">
        <f>IF(OR(OR($A205="",$D205=""),J205=""),"",J205-(INT($Y205/18)+IF(INDEX('Tournament Setup'!$AH:$AH,MATCH($A205,'Tournament Setup'!$A:$A,0))&lt;=MOD($Y205,18),1,0)))</f>
      </c>
      <c r="AE205" t="e">
        <f>IF(OR(OR($A205="",$D205=""),K205=""),"",K205-(INT($Y205/18)+IF(INDEX('Tournament Setup'!$AI:$AI,MATCH($A205,'Tournament Setup'!$A:$A,0))&lt;=MOD($Y205,18),1,0)))</f>
      </c>
      <c r="AF205" t="e">
        <f>IF(OR(OR($A205="",$D205=""),L205=""),"",L205-(INT($Y205/18)+IF(INDEX('Tournament Setup'!$AJ:$AJ,MATCH($A205,'Tournament Setup'!$A:$A,0))&lt;=MOD($Y205,18),1,0)))</f>
      </c>
      <c r="AG205" t="e">
        <f>IF(OR(OR($A205="",$D205=""),M205=""),"",M205-(INT($Y205/18)+IF(INDEX('Tournament Setup'!$AK:$AK,MATCH($A205,'Tournament Setup'!$A:$A,0))&lt;=MOD($Y205,18),1,0)))</f>
      </c>
      <c r="AH205" t="e">
        <f>IF(OR(OR($A205="",$D205=""),N205=""),"",N205-(INT($Y205/18)+IF(INDEX('Tournament Setup'!$AL:$AL,MATCH($A205,'Tournament Setup'!$A:$A,0))&lt;=MOD($Y205,18),1,0)))</f>
      </c>
      <c r="AI205" t="e">
        <f>IF(OR(OR($A205="",$D205=""),O205=""),"",O205-(INT($Y205/18)+IF(INDEX('Tournament Setup'!$AM:$AM,MATCH($A205,'Tournament Setup'!$A:$A,0))&lt;=MOD($Y205,18),1,0)))</f>
      </c>
      <c r="AJ205" t="e">
        <f>IF(OR(OR($A205="",$D205=""),P205=""),"",P205-(INT($Y205/18)+IF(INDEX('Tournament Setup'!$AN:$AN,MATCH($A205,'Tournament Setup'!$A:$A,0))&lt;=MOD($Y205,18),1,0)))</f>
      </c>
      <c r="AK205" t="e">
        <f>IF(OR(OR($A205="",$D205=""),Q205=""),"",Q205-(INT($Y205/18)+IF(INDEX('Tournament Setup'!$AO:$AO,MATCH($A205,'Tournament Setup'!$A:$A,0))&lt;=MOD($Y205,18),1,0)))</f>
      </c>
      <c r="AL205" t="e">
        <f>IF(OR(OR($A205="",$D205=""),R205=""),"",R205-(INT($Y205/18)+IF(INDEX('Tournament Setup'!$AP:$AP,MATCH($A205,'Tournament Setup'!$A:$A,0))&lt;=MOD($Y205,18),1,0)))</f>
      </c>
      <c r="AM205" t="e">
        <f>IF(OR(OR($A205="",$D205=""),S205=""),"",S205-(INT($Y205/18)+IF(INDEX('Tournament Setup'!$AQ:$AQ,MATCH($A205,'Tournament Setup'!$A:$A,0))&lt;=MOD($Y205,18),1,0)))</f>
      </c>
      <c r="AN205" t="e">
        <f>IF(OR(OR($A205="",$D205=""),T205=""),"",T205-(INT($Y205/18)+IF(INDEX('Tournament Setup'!$AR:$AR,MATCH($A205,'Tournament Setup'!$A:$A,0))&lt;=MOD($Y205,18),1,0)))</f>
      </c>
      <c r="AO205" t="e">
        <f>IF(OR(OR($A205="",$D205=""),U205=""),"",U205-(INT($Y205/18)+IF(INDEX('Tournament Setup'!$AS:$AS,MATCH($A205,'Tournament Setup'!$A:$A,0))&lt;=MOD($Y205,18),1,0)))</f>
      </c>
      <c r="AP205" t="e">
        <f>IF(OR(OR($A205="",$D205=""),V205=""),"",V205-(INT($Y205/18)+IF(INDEX('Tournament Setup'!$AT:$AT,MATCH($A205,'Tournament Setup'!$A:$A,0))&lt;=MOD($Y205,18),1,0)))</f>
      </c>
      <c r="AQ205" t="e">
        <f>IF(OR(OR($A205="",$D205=""),W205=""),"",W205-(INT($Y205/18)+IF(INDEX('Tournament Setup'!$AU:$AU,MATCH($A205,'Tournament Setup'!$A:$A,0))&lt;=MOD($Y205,18),1,0)))</f>
      </c>
    </row>
    <row r="206">
      <c r="X206" t="e">
        <f>IF(OR($A206="",$D206=""),"",SUM(F206:W206))</f>
      </c>
      <c r="Y206" t="e">
        <f>IF(OR($A206="",$D206=""),"",IF(INDEX('Tournament Setup'!$F:$F,MATCH($A206,'Tournament Setup'!$A:$A,0))="Net",ROUND(($E206-_xlfn.MINIFS($E$2:$E$401,$A$2:$A$401,$A206,$B$2:$B$401,$B206))*INDEX('Tournament Setup'!$G:$G,MATCH($A206,'Tournament Setup'!$A:$A,0))/100,0),0))</f>
      </c>
      <c r="Z206" t="e">
        <f>IF(OR(OR($A206="",$D206=""),F206=""),"",F206-(INT($Y206/18)+IF(INDEX('Tournament Setup'!$AD:$AD,MATCH($A206,'Tournament Setup'!$A:$A,0))&lt;=MOD($Y206,18),1,0)))</f>
      </c>
      <c r="AA206" t="e">
        <f>IF(OR(OR($A206="",$D206=""),G206=""),"",G206-(INT($Y206/18)+IF(INDEX('Tournament Setup'!$AE:$AE,MATCH($A206,'Tournament Setup'!$A:$A,0))&lt;=MOD($Y206,18),1,0)))</f>
      </c>
      <c r="AB206" t="e">
        <f>IF(OR(OR($A206="",$D206=""),H206=""),"",H206-(INT($Y206/18)+IF(INDEX('Tournament Setup'!$AF:$AF,MATCH($A206,'Tournament Setup'!$A:$A,0))&lt;=MOD($Y206,18),1,0)))</f>
      </c>
      <c r="AC206" t="e">
        <f>IF(OR(OR($A206="",$D206=""),I206=""),"",I206-(INT($Y206/18)+IF(INDEX('Tournament Setup'!$AG:$AG,MATCH($A206,'Tournament Setup'!$A:$A,0))&lt;=MOD($Y206,18),1,0)))</f>
      </c>
      <c r="AD206" t="e">
        <f>IF(OR(OR($A206="",$D206=""),J206=""),"",J206-(INT($Y206/18)+IF(INDEX('Tournament Setup'!$AH:$AH,MATCH($A206,'Tournament Setup'!$A:$A,0))&lt;=MOD($Y206,18),1,0)))</f>
      </c>
      <c r="AE206" t="e">
        <f>IF(OR(OR($A206="",$D206=""),K206=""),"",K206-(INT($Y206/18)+IF(INDEX('Tournament Setup'!$AI:$AI,MATCH($A206,'Tournament Setup'!$A:$A,0))&lt;=MOD($Y206,18),1,0)))</f>
      </c>
      <c r="AF206" t="e">
        <f>IF(OR(OR($A206="",$D206=""),L206=""),"",L206-(INT($Y206/18)+IF(INDEX('Tournament Setup'!$AJ:$AJ,MATCH($A206,'Tournament Setup'!$A:$A,0))&lt;=MOD($Y206,18),1,0)))</f>
      </c>
      <c r="AG206" t="e">
        <f>IF(OR(OR($A206="",$D206=""),M206=""),"",M206-(INT($Y206/18)+IF(INDEX('Tournament Setup'!$AK:$AK,MATCH($A206,'Tournament Setup'!$A:$A,0))&lt;=MOD($Y206,18),1,0)))</f>
      </c>
      <c r="AH206" t="e">
        <f>IF(OR(OR($A206="",$D206=""),N206=""),"",N206-(INT($Y206/18)+IF(INDEX('Tournament Setup'!$AL:$AL,MATCH($A206,'Tournament Setup'!$A:$A,0))&lt;=MOD($Y206,18),1,0)))</f>
      </c>
      <c r="AI206" t="e">
        <f>IF(OR(OR($A206="",$D206=""),O206=""),"",O206-(INT($Y206/18)+IF(INDEX('Tournament Setup'!$AM:$AM,MATCH($A206,'Tournament Setup'!$A:$A,0))&lt;=MOD($Y206,18),1,0)))</f>
      </c>
      <c r="AJ206" t="e">
        <f>IF(OR(OR($A206="",$D206=""),P206=""),"",P206-(INT($Y206/18)+IF(INDEX('Tournament Setup'!$AN:$AN,MATCH($A206,'Tournament Setup'!$A:$A,0))&lt;=MOD($Y206,18),1,0)))</f>
      </c>
      <c r="AK206" t="e">
        <f>IF(OR(OR($A206="",$D206=""),Q206=""),"",Q206-(INT($Y206/18)+IF(INDEX('Tournament Setup'!$AO:$AO,MATCH($A206,'Tournament Setup'!$A:$A,0))&lt;=MOD($Y206,18),1,0)))</f>
      </c>
      <c r="AL206" t="e">
        <f>IF(OR(OR($A206="",$D206=""),R206=""),"",R206-(INT($Y206/18)+IF(INDEX('Tournament Setup'!$AP:$AP,MATCH($A206,'Tournament Setup'!$A:$A,0))&lt;=MOD($Y206,18),1,0)))</f>
      </c>
      <c r="AM206" t="e">
        <f>IF(OR(OR($A206="",$D206=""),S206=""),"",S206-(INT($Y206/18)+IF(INDEX('Tournament Setup'!$AQ:$AQ,MATCH($A206,'Tournament Setup'!$A:$A,0))&lt;=MOD($Y206,18),1,0)))</f>
      </c>
      <c r="AN206" t="e">
        <f>IF(OR(OR($A206="",$D206=""),T206=""),"",T206-(INT($Y206/18)+IF(INDEX('Tournament Setup'!$AR:$AR,MATCH($A206,'Tournament Setup'!$A:$A,0))&lt;=MOD($Y206,18),1,0)))</f>
      </c>
      <c r="AO206" t="e">
        <f>IF(OR(OR($A206="",$D206=""),U206=""),"",U206-(INT($Y206/18)+IF(INDEX('Tournament Setup'!$AS:$AS,MATCH($A206,'Tournament Setup'!$A:$A,0))&lt;=MOD($Y206,18),1,0)))</f>
      </c>
      <c r="AP206" t="e">
        <f>IF(OR(OR($A206="",$D206=""),V206=""),"",V206-(INT($Y206/18)+IF(INDEX('Tournament Setup'!$AT:$AT,MATCH($A206,'Tournament Setup'!$A:$A,0))&lt;=MOD($Y206,18),1,0)))</f>
      </c>
      <c r="AQ206" t="e">
        <f>IF(OR(OR($A206="",$D206=""),W206=""),"",W206-(INT($Y206/18)+IF(INDEX('Tournament Setup'!$AU:$AU,MATCH($A206,'Tournament Setup'!$A:$A,0))&lt;=MOD($Y206,18),1,0)))</f>
      </c>
    </row>
    <row r="207">
      <c r="X207" t="e">
        <f>IF(OR($A207="",$D207=""),"",SUM(F207:W207))</f>
      </c>
      <c r="Y207" t="e">
        <f>IF(OR($A207="",$D207=""),"",IF(INDEX('Tournament Setup'!$F:$F,MATCH($A207,'Tournament Setup'!$A:$A,0))="Net",ROUND(($E207-_xlfn.MINIFS($E$2:$E$401,$A$2:$A$401,$A207,$B$2:$B$401,$B207))*INDEX('Tournament Setup'!$G:$G,MATCH($A207,'Tournament Setup'!$A:$A,0))/100,0),0))</f>
      </c>
      <c r="Z207" t="e">
        <f>IF(OR(OR($A207="",$D207=""),F207=""),"",F207-(INT($Y207/18)+IF(INDEX('Tournament Setup'!$AD:$AD,MATCH($A207,'Tournament Setup'!$A:$A,0))&lt;=MOD($Y207,18),1,0)))</f>
      </c>
      <c r="AA207" t="e">
        <f>IF(OR(OR($A207="",$D207=""),G207=""),"",G207-(INT($Y207/18)+IF(INDEX('Tournament Setup'!$AE:$AE,MATCH($A207,'Tournament Setup'!$A:$A,0))&lt;=MOD($Y207,18),1,0)))</f>
      </c>
      <c r="AB207" t="e">
        <f>IF(OR(OR($A207="",$D207=""),H207=""),"",H207-(INT($Y207/18)+IF(INDEX('Tournament Setup'!$AF:$AF,MATCH($A207,'Tournament Setup'!$A:$A,0))&lt;=MOD($Y207,18),1,0)))</f>
      </c>
      <c r="AC207" t="e">
        <f>IF(OR(OR($A207="",$D207=""),I207=""),"",I207-(INT($Y207/18)+IF(INDEX('Tournament Setup'!$AG:$AG,MATCH($A207,'Tournament Setup'!$A:$A,0))&lt;=MOD($Y207,18),1,0)))</f>
      </c>
      <c r="AD207" t="e">
        <f>IF(OR(OR($A207="",$D207=""),J207=""),"",J207-(INT($Y207/18)+IF(INDEX('Tournament Setup'!$AH:$AH,MATCH($A207,'Tournament Setup'!$A:$A,0))&lt;=MOD($Y207,18),1,0)))</f>
      </c>
      <c r="AE207" t="e">
        <f>IF(OR(OR($A207="",$D207=""),K207=""),"",K207-(INT($Y207/18)+IF(INDEX('Tournament Setup'!$AI:$AI,MATCH($A207,'Tournament Setup'!$A:$A,0))&lt;=MOD($Y207,18),1,0)))</f>
      </c>
      <c r="AF207" t="e">
        <f>IF(OR(OR($A207="",$D207=""),L207=""),"",L207-(INT($Y207/18)+IF(INDEX('Tournament Setup'!$AJ:$AJ,MATCH($A207,'Tournament Setup'!$A:$A,0))&lt;=MOD($Y207,18),1,0)))</f>
      </c>
      <c r="AG207" t="e">
        <f>IF(OR(OR($A207="",$D207=""),M207=""),"",M207-(INT($Y207/18)+IF(INDEX('Tournament Setup'!$AK:$AK,MATCH($A207,'Tournament Setup'!$A:$A,0))&lt;=MOD($Y207,18),1,0)))</f>
      </c>
      <c r="AH207" t="e">
        <f>IF(OR(OR($A207="",$D207=""),N207=""),"",N207-(INT($Y207/18)+IF(INDEX('Tournament Setup'!$AL:$AL,MATCH($A207,'Tournament Setup'!$A:$A,0))&lt;=MOD($Y207,18),1,0)))</f>
      </c>
      <c r="AI207" t="e">
        <f>IF(OR(OR($A207="",$D207=""),O207=""),"",O207-(INT($Y207/18)+IF(INDEX('Tournament Setup'!$AM:$AM,MATCH($A207,'Tournament Setup'!$A:$A,0))&lt;=MOD($Y207,18),1,0)))</f>
      </c>
      <c r="AJ207" t="e">
        <f>IF(OR(OR($A207="",$D207=""),P207=""),"",P207-(INT($Y207/18)+IF(INDEX('Tournament Setup'!$AN:$AN,MATCH($A207,'Tournament Setup'!$A:$A,0))&lt;=MOD($Y207,18),1,0)))</f>
      </c>
      <c r="AK207" t="e">
        <f>IF(OR(OR($A207="",$D207=""),Q207=""),"",Q207-(INT($Y207/18)+IF(INDEX('Tournament Setup'!$AO:$AO,MATCH($A207,'Tournament Setup'!$A:$A,0))&lt;=MOD($Y207,18),1,0)))</f>
      </c>
      <c r="AL207" t="e">
        <f>IF(OR(OR($A207="",$D207=""),R207=""),"",R207-(INT($Y207/18)+IF(INDEX('Tournament Setup'!$AP:$AP,MATCH($A207,'Tournament Setup'!$A:$A,0))&lt;=MOD($Y207,18),1,0)))</f>
      </c>
      <c r="AM207" t="e">
        <f>IF(OR(OR($A207="",$D207=""),S207=""),"",S207-(INT($Y207/18)+IF(INDEX('Tournament Setup'!$AQ:$AQ,MATCH($A207,'Tournament Setup'!$A:$A,0))&lt;=MOD($Y207,18),1,0)))</f>
      </c>
      <c r="AN207" t="e">
        <f>IF(OR(OR($A207="",$D207=""),T207=""),"",T207-(INT($Y207/18)+IF(INDEX('Tournament Setup'!$AR:$AR,MATCH($A207,'Tournament Setup'!$A:$A,0))&lt;=MOD($Y207,18),1,0)))</f>
      </c>
      <c r="AO207" t="e">
        <f>IF(OR(OR($A207="",$D207=""),U207=""),"",U207-(INT($Y207/18)+IF(INDEX('Tournament Setup'!$AS:$AS,MATCH($A207,'Tournament Setup'!$A:$A,0))&lt;=MOD($Y207,18),1,0)))</f>
      </c>
      <c r="AP207" t="e">
        <f>IF(OR(OR($A207="",$D207=""),V207=""),"",V207-(INT($Y207/18)+IF(INDEX('Tournament Setup'!$AT:$AT,MATCH($A207,'Tournament Setup'!$A:$A,0))&lt;=MOD($Y207,18),1,0)))</f>
      </c>
      <c r="AQ207" t="e">
        <f>IF(OR(OR($A207="",$D207=""),W207=""),"",W207-(INT($Y207/18)+IF(INDEX('Tournament Setup'!$AU:$AU,MATCH($A207,'Tournament Setup'!$A:$A,0))&lt;=MOD($Y207,18),1,0)))</f>
      </c>
    </row>
    <row r="208">
      <c r="X208" t="e">
        <f>IF(OR($A208="",$D208=""),"",SUM(F208:W208))</f>
      </c>
      <c r="Y208" t="e">
        <f>IF(OR($A208="",$D208=""),"",IF(INDEX('Tournament Setup'!$F:$F,MATCH($A208,'Tournament Setup'!$A:$A,0))="Net",ROUND(($E208-_xlfn.MINIFS($E$2:$E$401,$A$2:$A$401,$A208,$B$2:$B$401,$B208))*INDEX('Tournament Setup'!$G:$G,MATCH($A208,'Tournament Setup'!$A:$A,0))/100,0),0))</f>
      </c>
      <c r="Z208" t="e">
        <f>IF(OR(OR($A208="",$D208=""),F208=""),"",F208-(INT($Y208/18)+IF(INDEX('Tournament Setup'!$AD:$AD,MATCH($A208,'Tournament Setup'!$A:$A,0))&lt;=MOD($Y208,18),1,0)))</f>
      </c>
      <c r="AA208" t="e">
        <f>IF(OR(OR($A208="",$D208=""),G208=""),"",G208-(INT($Y208/18)+IF(INDEX('Tournament Setup'!$AE:$AE,MATCH($A208,'Tournament Setup'!$A:$A,0))&lt;=MOD($Y208,18),1,0)))</f>
      </c>
      <c r="AB208" t="e">
        <f>IF(OR(OR($A208="",$D208=""),H208=""),"",H208-(INT($Y208/18)+IF(INDEX('Tournament Setup'!$AF:$AF,MATCH($A208,'Tournament Setup'!$A:$A,0))&lt;=MOD($Y208,18),1,0)))</f>
      </c>
      <c r="AC208" t="e">
        <f>IF(OR(OR($A208="",$D208=""),I208=""),"",I208-(INT($Y208/18)+IF(INDEX('Tournament Setup'!$AG:$AG,MATCH($A208,'Tournament Setup'!$A:$A,0))&lt;=MOD($Y208,18),1,0)))</f>
      </c>
      <c r="AD208" t="e">
        <f>IF(OR(OR($A208="",$D208=""),J208=""),"",J208-(INT($Y208/18)+IF(INDEX('Tournament Setup'!$AH:$AH,MATCH($A208,'Tournament Setup'!$A:$A,0))&lt;=MOD($Y208,18),1,0)))</f>
      </c>
      <c r="AE208" t="e">
        <f>IF(OR(OR($A208="",$D208=""),K208=""),"",K208-(INT($Y208/18)+IF(INDEX('Tournament Setup'!$AI:$AI,MATCH($A208,'Tournament Setup'!$A:$A,0))&lt;=MOD($Y208,18),1,0)))</f>
      </c>
      <c r="AF208" t="e">
        <f>IF(OR(OR($A208="",$D208=""),L208=""),"",L208-(INT($Y208/18)+IF(INDEX('Tournament Setup'!$AJ:$AJ,MATCH($A208,'Tournament Setup'!$A:$A,0))&lt;=MOD($Y208,18),1,0)))</f>
      </c>
      <c r="AG208" t="e">
        <f>IF(OR(OR($A208="",$D208=""),M208=""),"",M208-(INT($Y208/18)+IF(INDEX('Tournament Setup'!$AK:$AK,MATCH($A208,'Tournament Setup'!$A:$A,0))&lt;=MOD($Y208,18),1,0)))</f>
      </c>
      <c r="AH208" t="e">
        <f>IF(OR(OR($A208="",$D208=""),N208=""),"",N208-(INT($Y208/18)+IF(INDEX('Tournament Setup'!$AL:$AL,MATCH($A208,'Tournament Setup'!$A:$A,0))&lt;=MOD($Y208,18),1,0)))</f>
      </c>
      <c r="AI208" t="e">
        <f>IF(OR(OR($A208="",$D208=""),O208=""),"",O208-(INT($Y208/18)+IF(INDEX('Tournament Setup'!$AM:$AM,MATCH($A208,'Tournament Setup'!$A:$A,0))&lt;=MOD($Y208,18),1,0)))</f>
      </c>
      <c r="AJ208" t="e">
        <f>IF(OR(OR($A208="",$D208=""),P208=""),"",P208-(INT($Y208/18)+IF(INDEX('Tournament Setup'!$AN:$AN,MATCH($A208,'Tournament Setup'!$A:$A,0))&lt;=MOD($Y208,18),1,0)))</f>
      </c>
      <c r="AK208" t="e">
        <f>IF(OR(OR($A208="",$D208=""),Q208=""),"",Q208-(INT($Y208/18)+IF(INDEX('Tournament Setup'!$AO:$AO,MATCH($A208,'Tournament Setup'!$A:$A,0))&lt;=MOD($Y208,18),1,0)))</f>
      </c>
      <c r="AL208" t="e">
        <f>IF(OR(OR($A208="",$D208=""),R208=""),"",R208-(INT($Y208/18)+IF(INDEX('Tournament Setup'!$AP:$AP,MATCH($A208,'Tournament Setup'!$A:$A,0))&lt;=MOD($Y208,18),1,0)))</f>
      </c>
      <c r="AM208" t="e">
        <f>IF(OR(OR($A208="",$D208=""),S208=""),"",S208-(INT($Y208/18)+IF(INDEX('Tournament Setup'!$AQ:$AQ,MATCH($A208,'Tournament Setup'!$A:$A,0))&lt;=MOD($Y208,18),1,0)))</f>
      </c>
      <c r="AN208" t="e">
        <f>IF(OR(OR($A208="",$D208=""),T208=""),"",T208-(INT($Y208/18)+IF(INDEX('Tournament Setup'!$AR:$AR,MATCH($A208,'Tournament Setup'!$A:$A,0))&lt;=MOD($Y208,18),1,0)))</f>
      </c>
      <c r="AO208" t="e">
        <f>IF(OR(OR($A208="",$D208=""),U208=""),"",U208-(INT($Y208/18)+IF(INDEX('Tournament Setup'!$AS:$AS,MATCH($A208,'Tournament Setup'!$A:$A,0))&lt;=MOD($Y208,18),1,0)))</f>
      </c>
      <c r="AP208" t="e">
        <f>IF(OR(OR($A208="",$D208=""),V208=""),"",V208-(INT($Y208/18)+IF(INDEX('Tournament Setup'!$AT:$AT,MATCH($A208,'Tournament Setup'!$A:$A,0))&lt;=MOD($Y208,18),1,0)))</f>
      </c>
      <c r="AQ208" t="e">
        <f>IF(OR(OR($A208="",$D208=""),W208=""),"",W208-(INT($Y208/18)+IF(INDEX('Tournament Setup'!$AU:$AU,MATCH($A208,'Tournament Setup'!$A:$A,0))&lt;=MOD($Y208,18),1,0)))</f>
      </c>
    </row>
    <row r="209">
      <c r="X209" t="e">
        <f>IF(OR($A209="",$D209=""),"",SUM(F209:W209))</f>
      </c>
      <c r="Y209" t="e">
        <f>IF(OR($A209="",$D209=""),"",IF(INDEX('Tournament Setup'!$F:$F,MATCH($A209,'Tournament Setup'!$A:$A,0))="Net",ROUND(($E209-_xlfn.MINIFS($E$2:$E$401,$A$2:$A$401,$A209,$B$2:$B$401,$B209))*INDEX('Tournament Setup'!$G:$G,MATCH($A209,'Tournament Setup'!$A:$A,0))/100,0),0))</f>
      </c>
      <c r="Z209" t="e">
        <f>IF(OR(OR($A209="",$D209=""),F209=""),"",F209-(INT($Y209/18)+IF(INDEX('Tournament Setup'!$AD:$AD,MATCH($A209,'Tournament Setup'!$A:$A,0))&lt;=MOD($Y209,18),1,0)))</f>
      </c>
      <c r="AA209" t="e">
        <f>IF(OR(OR($A209="",$D209=""),G209=""),"",G209-(INT($Y209/18)+IF(INDEX('Tournament Setup'!$AE:$AE,MATCH($A209,'Tournament Setup'!$A:$A,0))&lt;=MOD($Y209,18),1,0)))</f>
      </c>
      <c r="AB209" t="e">
        <f>IF(OR(OR($A209="",$D209=""),H209=""),"",H209-(INT($Y209/18)+IF(INDEX('Tournament Setup'!$AF:$AF,MATCH($A209,'Tournament Setup'!$A:$A,0))&lt;=MOD($Y209,18),1,0)))</f>
      </c>
      <c r="AC209" t="e">
        <f>IF(OR(OR($A209="",$D209=""),I209=""),"",I209-(INT($Y209/18)+IF(INDEX('Tournament Setup'!$AG:$AG,MATCH($A209,'Tournament Setup'!$A:$A,0))&lt;=MOD($Y209,18),1,0)))</f>
      </c>
      <c r="AD209" t="e">
        <f>IF(OR(OR($A209="",$D209=""),J209=""),"",J209-(INT($Y209/18)+IF(INDEX('Tournament Setup'!$AH:$AH,MATCH($A209,'Tournament Setup'!$A:$A,0))&lt;=MOD($Y209,18),1,0)))</f>
      </c>
      <c r="AE209" t="e">
        <f>IF(OR(OR($A209="",$D209=""),K209=""),"",K209-(INT($Y209/18)+IF(INDEX('Tournament Setup'!$AI:$AI,MATCH($A209,'Tournament Setup'!$A:$A,0))&lt;=MOD($Y209,18),1,0)))</f>
      </c>
      <c r="AF209" t="e">
        <f>IF(OR(OR($A209="",$D209=""),L209=""),"",L209-(INT($Y209/18)+IF(INDEX('Tournament Setup'!$AJ:$AJ,MATCH($A209,'Tournament Setup'!$A:$A,0))&lt;=MOD($Y209,18),1,0)))</f>
      </c>
      <c r="AG209" t="e">
        <f>IF(OR(OR($A209="",$D209=""),M209=""),"",M209-(INT($Y209/18)+IF(INDEX('Tournament Setup'!$AK:$AK,MATCH($A209,'Tournament Setup'!$A:$A,0))&lt;=MOD($Y209,18),1,0)))</f>
      </c>
      <c r="AH209" t="e">
        <f>IF(OR(OR($A209="",$D209=""),N209=""),"",N209-(INT($Y209/18)+IF(INDEX('Tournament Setup'!$AL:$AL,MATCH($A209,'Tournament Setup'!$A:$A,0))&lt;=MOD($Y209,18),1,0)))</f>
      </c>
      <c r="AI209" t="e">
        <f>IF(OR(OR($A209="",$D209=""),O209=""),"",O209-(INT($Y209/18)+IF(INDEX('Tournament Setup'!$AM:$AM,MATCH($A209,'Tournament Setup'!$A:$A,0))&lt;=MOD($Y209,18),1,0)))</f>
      </c>
      <c r="AJ209" t="e">
        <f>IF(OR(OR($A209="",$D209=""),P209=""),"",P209-(INT($Y209/18)+IF(INDEX('Tournament Setup'!$AN:$AN,MATCH($A209,'Tournament Setup'!$A:$A,0))&lt;=MOD($Y209,18),1,0)))</f>
      </c>
      <c r="AK209" t="e">
        <f>IF(OR(OR($A209="",$D209=""),Q209=""),"",Q209-(INT($Y209/18)+IF(INDEX('Tournament Setup'!$AO:$AO,MATCH($A209,'Tournament Setup'!$A:$A,0))&lt;=MOD($Y209,18),1,0)))</f>
      </c>
      <c r="AL209" t="e">
        <f>IF(OR(OR($A209="",$D209=""),R209=""),"",R209-(INT($Y209/18)+IF(INDEX('Tournament Setup'!$AP:$AP,MATCH($A209,'Tournament Setup'!$A:$A,0))&lt;=MOD($Y209,18),1,0)))</f>
      </c>
      <c r="AM209" t="e">
        <f>IF(OR(OR($A209="",$D209=""),S209=""),"",S209-(INT($Y209/18)+IF(INDEX('Tournament Setup'!$AQ:$AQ,MATCH($A209,'Tournament Setup'!$A:$A,0))&lt;=MOD($Y209,18),1,0)))</f>
      </c>
      <c r="AN209" t="e">
        <f>IF(OR(OR($A209="",$D209=""),T209=""),"",T209-(INT($Y209/18)+IF(INDEX('Tournament Setup'!$AR:$AR,MATCH($A209,'Tournament Setup'!$A:$A,0))&lt;=MOD($Y209,18),1,0)))</f>
      </c>
      <c r="AO209" t="e">
        <f>IF(OR(OR($A209="",$D209=""),U209=""),"",U209-(INT($Y209/18)+IF(INDEX('Tournament Setup'!$AS:$AS,MATCH($A209,'Tournament Setup'!$A:$A,0))&lt;=MOD($Y209,18),1,0)))</f>
      </c>
      <c r="AP209" t="e">
        <f>IF(OR(OR($A209="",$D209=""),V209=""),"",V209-(INT($Y209/18)+IF(INDEX('Tournament Setup'!$AT:$AT,MATCH($A209,'Tournament Setup'!$A:$A,0))&lt;=MOD($Y209,18),1,0)))</f>
      </c>
      <c r="AQ209" t="e">
        <f>IF(OR(OR($A209="",$D209=""),W209=""),"",W209-(INT($Y209/18)+IF(INDEX('Tournament Setup'!$AU:$AU,MATCH($A209,'Tournament Setup'!$A:$A,0))&lt;=MOD($Y209,18),1,0)))</f>
      </c>
    </row>
    <row r="210">
      <c r="X210" t="e">
        <f>IF(OR($A210="",$D210=""),"",SUM(F210:W210))</f>
      </c>
      <c r="Y210" t="e">
        <f>IF(OR($A210="",$D210=""),"",IF(INDEX('Tournament Setup'!$F:$F,MATCH($A210,'Tournament Setup'!$A:$A,0))="Net",ROUND(($E210-_xlfn.MINIFS($E$2:$E$401,$A$2:$A$401,$A210,$B$2:$B$401,$B210))*INDEX('Tournament Setup'!$G:$G,MATCH($A210,'Tournament Setup'!$A:$A,0))/100,0),0))</f>
      </c>
      <c r="Z210" t="e">
        <f>IF(OR(OR($A210="",$D210=""),F210=""),"",F210-(INT($Y210/18)+IF(INDEX('Tournament Setup'!$AD:$AD,MATCH($A210,'Tournament Setup'!$A:$A,0))&lt;=MOD($Y210,18),1,0)))</f>
      </c>
      <c r="AA210" t="e">
        <f>IF(OR(OR($A210="",$D210=""),G210=""),"",G210-(INT($Y210/18)+IF(INDEX('Tournament Setup'!$AE:$AE,MATCH($A210,'Tournament Setup'!$A:$A,0))&lt;=MOD($Y210,18),1,0)))</f>
      </c>
      <c r="AB210" t="e">
        <f>IF(OR(OR($A210="",$D210=""),H210=""),"",H210-(INT($Y210/18)+IF(INDEX('Tournament Setup'!$AF:$AF,MATCH($A210,'Tournament Setup'!$A:$A,0))&lt;=MOD($Y210,18),1,0)))</f>
      </c>
      <c r="AC210" t="e">
        <f>IF(OR(OR($A210="",$D210=""),I210=""),"",I210-(INT($Y210/18)+IF(INDEX('Tournament Setup'!$AG:$AG,MATCH($A210,'Tournament Setup'!$A:$A,0))&lt;=MOD($Y210,18),1,0)))</f>
      </c>
      <c r="AD210" t="e">
        <f>IF(OR(OR($A210="",$D210=""),J210=""),"",J210-(INT($Y210/18)+IF(INDEX('Tournament Setup'!$AH:$AH,MATCH($A210,'Tournament Setup'!$A:$A,0))&lt;=MOD($Y210,18),1,0)))</f>
      </c>
      <c r="AE210" t="e">
        <f>IF(OR(OR($A210="",$D210=""),K210=""),"",K210-(INT($Y210/18)+IF(INDEX('Tournament Setup'!$AI:$AI,MATCH($A210,'Tournament Setup'!$A:$A,0))&lt;=MOD($Y210,18),1,0)))</f>
      </c>
      <c r="AF210" t="e">
        <f>IF(OR(OR($A210="",$D210=""),L210=""),"",L210-(INT($Y210/18)+IF(INDEX('Tournament Setup'!$AJ:$AJ,MATCH($A210,'Tournament Setup'!$A:$A,0))&lt;=MOD($Y210,18),1,0)))</f>
      </c>
      <c r="AG210" t="e">
        <f>IF(OR(OR($A210="",$D210=""),M210=""),"",M210-(INT($Y210/18)+IF(INDEX('Tournament Setup'!$AK:$AK,MATCH($A210,'Tournament Setup'!$A:$A,0))&lt;=MOD($Y210,18),1,0)))</f>
      </c>
      <c r="AH210" t="e">
        <f>IF(OR(OR($A210="",$D210=""),N210=""),"",N210-(INT($Y210/18)+IF(INDEX('Tournament Setup'!$AL:$AL,MATCH($A210,'Tournament Setup'!$A:$A,0))&lt;=MOD($Y210,18),1,0)))</f>
      </c>
      <c r="AI210" t="e">
        <f>IF(OR(OR($A210="",$D210=""),O210=""),"",O210-(INT($Y210/18)+IF(INDEX('Tournament Setup'!$AM:$AM,MATCH($A210,'Tournament Setup'!$A:$A,0))&lt;=MOD($Y210,18),1,0)))</f>
      </c>
      <c r="AJ210" t="e">
        <f>IF(OR(OR($A210="",$D210=""),P210=""),"",P210-(INT($Y210/18)+IF(INDEX('Tournament Setup'!$AN:$AN,MATCH($A210,'Tournament Setup'!$A:$A,0))&lt;=MOD($Y210,18),1,0)))</f>
      </c>
      <c r="AK210" t="e">
        <f>IF(OR(OR($A210="",$D210=""),Q210=""),"",Q210-(INT($Y210/18)+IF(INDEX('Tournament Setup'!$AO:$AO,MATCH($A210,'Tournament Setup'!$A:$A,0))&lt;=MOD($Y210,18),1,0)))</f>
      </c>
      <c r="AL210" t="e">
        <f>IF(OR(OR($A210="",$D210=""),R210=""),"",R210-(INT($Y210/18)+IF(INDEX('Tournament Setup'!$AP:$AP,MATCH($A210,'Tournament Setup'!$A:$A,0))&lt;=MOD($Y210,18),1,0)))</f>
      </c>
      <c r="AM210" t="e">
        <f>IF(OR(OR($A210="",$D210=""),S210=""),"",S210-(INT($Y210/18)+IF(INDEX('Tournament Setup'!$AQ:$AQ,MATCH($A210,'Tournament Setup'!$A:$A,0))&lt;=MOD($Y210,18),1,0)))</f>
      </c>
      <c r="AN210" t="e">
        <f>IF(OR(OR($A210="",$D210=""),T210=""),"",T210-(INT($Y210/18)+IF(INDEX('Tournament Setup'!$AR:$AR,MATCH($A210,'Tournament Setup'!$A:$A,0))&lt;=MOD($Y210,18),1,0)))</f>
      </c>
      <c r="AO210" t="e">
        <f>IF(OR(OR($A210="",$D210=""),U210=""),"",U210-(INT($Y210/18)+IF(INDEX('Tournament Setup'!$AS:$AS,MATCH($A210,'Tournament Setup'!$A:$A,0))&lt;=MOD($Y210,18),1,0)))</f>
      </c>
      <c r="AP210" t="e">
        <f>IF(OR(OR($A210="",$D210=""),V210=""),"",V210-(INT($Y210/18)+IF(INDEX('Tournament Setup'!$AT:$AT,MATCH($A210,'Tournament Setup'!$A:$A,0))&lt;=MOD($Y210,18),1,0)))</f>
      </c>
      <c r="AQ210" t="e">
        <f>IF(OR(OR($A210="",$D210=""),W210=""),"",W210-(INT($Y210/18)+IF(INDEX('Tournament Setup'!$AU:$AU,MATCH($A210,'Tournament Setup'!$A:$A,0))&lt;=MOD($Y210,18),1,0)))</f>
      </c>
    </row>
    <row r="211">
      <c r="X211" t="e">
        <f>IF(OR($A211="",$D211=""),"",SUM(F211:W211))</f>
      </c>
      <c r="Y211" t="e">
        <f>IF(OR($A211="",$D211=""),"",IF(INDEX('Tournament Setup'!$F:$F,MATCH($A211,'Tournament Setup'!$A:$A,0))="Net",ROUND(($E211-_xlfn.MINIFS($E$2:$E$401,$A$2:$A$401,$A211,$B$2:$B$401,$B211))*INDEX('Tournament Setup'!$G:$G,MATCH($A211,'Tournament Setup'!$A:$A,0))/100,0),0))</f>
      </c>
      <c r="Z211" t="e">
        <f>IF(OR(OR($A211="",$D211=""),F211=""),"",F211-(INT($Y211/18)+IF(INDEX('Tournament Setup'!$AD:$AD,MATCH($A211,'Tournament Setup'!$A:$A,0))&lt;=MOD($Y211,18),1,0)))</f>
      </c>
      <c r="AA211" t="e">
        <f>IF(OR(OR($A211="",$D211=""),G211=""),"",G211-(INT($Y211/18)+IF(INDEX('Tournament Setup'!$AE:$AE,MATCH($A211,'Tournament Setup'!$A:$A,0))&lt;=MOD($Y211,18),1,0)))</f>
      </c>
      <c r="AB211" t="e">
        <f>IF(OR(OR($A211="",$D211=""),H211=""),"",H211-(INT($Y211/18)+IF(INDEX('Tournament Setup'!$AF:$AF,MATCH($A211,'Tournament Setup'!$A:$A,0))&lt;=MOD($Y211,18),1,0)))</f>
      </c>
      <c r="AC211" t="e">
        <f>IF(OR(OR($A211="",$D211=""),I211=""),"",I211-(INT($Y211/18)+IF(INDEX('Tournament Setup'!$AG:$AG,MATCH($A211,'Tournament Setup'!$A:$A,0))&lt;=MOD($Y211,18),1,0)))</f>
      </c>
      <c r="AD211" t="e">
        <f>IF(OR(OR($A211="",$D211=""),J211=""),"",J211-(INT($Y211/18)+IF(INDEX('Tournament Setup'!$AH:$AH,MATCH($A211,'Tournament Setup'!$A:$A,0))&lt;=MOD($Y211,18),1,0)))</f>
      </c>
      <c r="AE211" t="e">
        <f>IF(OR(OR($A211="",$D211=""),K211=""),"",K211-(INT($Y211/18)+IF(INDEX('Tournament Setup'!$AI:$AI,MATCH($A211,'Tournament Setup'!$A:$A,0))&lt;=MOD($Y211,18),1,0)))</f>
      </c>
      <c r="AF211" t="e">
        <f>IF(OR(OR($A211="",$D211=""),L211=""),"",L211-(INT($Y211/18)+IF(INDEX('Tournament Setup'!$AJ:$AJ,MATCH($A211,'Tournament Setup'!$A:$A,0))&lt;=MOD($Y211,18),1,0)))</f>
      </c>
      <c r="AG211" t="e">
        <f>IF(OR(OR($A211="",$D211=""),M211=""),"",M211-(INT($Y211/18)+IF(INDEX('Tournament Setup'!$AK:$AK,MATCH($A211,'Tournament Setup'!$A:$A,0))&lt;=MOD($Y211,18),1,0)))</f>
      </c>
      <c r="AH211" t="e">
        <f>IF(OR(OR($A211="",$D211=""),N211=""),"",N211-(INT($Y211/18)+IF(INDEX('Tournament Setup'!$AL:$AL,MATCH($A211,'Tournament Setup'!$A:$A,0))&lt;=MOD($Y211,18),1,0)))</f>
      </c>
      <c r="AI211" t="e">
        <f>IF(OR(OR($A211="",$D211=""),O211=""),"",O211-(INT($Y211/18)+IF(INDEX('Tournament Setup'!$AM:$AM,MATCH($A211,'Tournament Setup'!$A:$A,0))&lt;=MOD($Y211,18),1,0)))</f>
      </c>
      <c r="AJ211" t="e">
        <f>IF(OR(OR($A211="",$D211=""),P211=""),"",P211-(INT($Y211/18)+IF(INDEX('Tournament Setup'!$AN:$AN,MATCH($A211,'Tournament Setup'!$A:$A,0))&lt;=MOD($Y211,18),1,0)))</f>
      </c>
      <c r="AK211" t="e">
        <f>IF(OR(OR($A211="",$D211=""),Q211=""),"",Q211-(INT($Y211/18)+IF(INDEX('Tournament Setup'!$AO:$AO,MATCH($A211,'Tournament Setup'!$A:$A,0))&lt;=MOD($Y211,18),1,0)))</f>
      </c>
      <c r="AL211" t="e">
        <f>IF(OR(OR($A211="",$D211=""),R211=""),"",R211-(INT($Y211/18)+IF(INDEX('Tournament Setup'!$AP:$AP,MATCH($A211,'Tournament Setup'!$A:$A,0))&lt;=MOD($Y211,18),1,0)))</f>
      </c>
      <c r="AM211" t="e">
        <f>IF(OR(OR($A211="",$D211=""),S211=""),"",S211-(INT($Y211/18)+IF(INDEX('Tournament Setup'!$AQ:$AQ,MATCH($A211,'Tournament Setup'!$A:$A,0))&lt;=MOD($Y211,18),1,0)))</f>
      </c>
      <c r="AN211" t="e">
        <f>IF(OR(OR($A211="",$D211=""),T211=""),"",T211-(INT($Y211/18)+IF(INDEX('Tournament Setup'!$AR:$AR,MATCH($A211,'Tournament Setup'!$A:$A,0))&lt;=MOD($Y211,18),1,0)))</f>
      </c>
      <c r="AO211" t="e">
        <f>IF(OR(OR($A211="",$D211=""),U211=""),"",U211-(INT($Y211/18)+IF(INDEX('Tournament Setup'!$AS:$AS,MATCH($A211,'Tournament Setup'!$A:$A,0))&lt;=MOD($Y211,18),1,0)))</f>
      </c>
      <c r="AP211" t="e">
        <f>IF(OR(OR($A211="",$D211=""),V211=""),"",V211-(INT($Y211/18)+IF(INDEX('Tournament Setup'!$AT:$AT,MATCH($A211,'Tournament Setup'!$A:$A,0))&lt;=MOD($Y211,18),1,0)))</f>
      </c>
      <c r="AQ211" t="e">
        <f>IF(OR(OR($A211="",$D211=""),W211=""),"",W211-(INT($Y211/18)+IF(INDEX('Tournament Setup'!$AU:$AU,MATCH($A211,'Tournament Setup'!$A:$A,0))&lt;=MOD($Y211,18),1,0)))</f>
      </c>
    </row>
    <row r="212">
      <c r="X212" t="e">
        <f>IF(OR($A212="",$D212=""),"",SUM(F212:W212))</f>
      </c>
      <c r="Y212" t="e">
        <f>IF(OR($A212="",$D212=""),"",IF(INDEX('Tournament Setup'!$F:$F,MATCH($A212,'Tournament Setup'!$A:$A,0))="Net",ROUND(($E212-_xlfn.MINIFS($E$2:$E$401,$A$2:$A$401,$A212,$B$2:$B$401,$B212))*INDEX('Tournament Setup'!$G:$G,MATCH($A212,'Tournament Setup'!$A:$A,0))/100,0),0))</f>
      </c>
      <c r="Z212" t="e">
        <f>IF(OR(OR($A212="",$D212=""),F212=""),"",F212-(INT($Y212/18)+IF(INDEX('Tournament Setup'!$AD:$AD,MATCH($A212,'Tournament Setup'!$A:$A,0))&lt;=MOD($Y212,18),1,0)))</f>
      </c>
      <c r="AA212" t="e">
        <f>IF(OR(OR($A212="",$D212=""),G212=""),"",G212-(INT($Y212/18)+IF(INDEX('Tournament Setup'!$AE:$AE,MATCH($A212,'Tournament Setup'!$A:$A,0))&lt;=MOD($Y212,18),1,0)))</f>
      </c>
      <c r="AB212" t="e">
        <f>IF(OR(OR($A212="",$D212=""),H212=""),"",H212-(INT($Y212/18)+IF(INDEX('Tournament Setup'!$AF:$AF,MATCH($A212,'Tournament Setup'!$A:$A,0))&lt;=MOD($Y212,18),1,0)))</f>
      </c>
      <c r="AC212" t="e">
        <f>IF(OR(OR($A212="",$D212=""),I212=""),"",I212-(INT($Y212/18)+IF(INDEX('Tournament Setup'!$AG:$AG,MATCH($A212,'Tournament Setup'!$A:$A,0))&lt;=MOD($Y212,18),1,0)))</f>
      </c>
      <c r="AD212" t="e">
        <f>IF(OR(OR($A212="",$D212=""),J212=""),"",J212-(INT($Y212/18)+IF(INDEX('Tournament Setup'!$AH:$AH,MATCH($A212,'Tournament Setup'!$A:$A,0))&lt;=MOD($Y212,18),1,0)))</f>
      </c>
      <c r="AE212" t="e">
        <f>IF(OR(OR($A212="",$D212=""),K212=""),"",K212-(INT($Y212/18)+IF(INDEX('Tournament Setup'!$AI:$AI,MATCH($A212,'Tournament Setup'!$A:$A,0))&lt;=MOD($Y212,18),1,0)))</f>
      </c>
      <c r="AF212" t="e">
        <f>IF(OR(OR($A212="",$D212=""),L212=""),"",L212-(INT($Y212/18)+IF(INDEX('Tournament Setup'!$AJ:$AJ,MATCH($A212,'Tournament Setup'!$A:$A,0))&lt;=MOD($Y212,18),1,0)))</f>
      </c>
      <c r="AG212" t="e">
        <f>IF(OR(OR($A212="",$D212=""),M212=""),"",M212-(INT($Y212/18)+IF(INDEX('Tournament Setup'!$AK:$AK,MATCH($A212,'Tournament Setup'!$A:$A,0))&lt;=MOD($Y212,18),1,0)))</f>
      </c>
      <c r="AH212" t="e">
        <f>IF(OR(OR($A212="",$D212=""),N212=""),"",N212-(INT($Y212/18)+IF(INDEX('Tournament Setup'!$AL:$AL,MATCH($A212,'Tournament Setup'!$A:$A,0))&lt;=MOD($Y212,18),1,0)))</f>
      </c>
      <c r="AI212" t="e">
        <f>IF(OR(OR($A212="",$D212=""),O212=""),"",O212-(INT($Y212/18)+IF(INDEX('Tournament Setup'!$AM:$AM,MATCH($A212,'Tournament Setup'!$A:$A,0))&lt;=MOD($Y212,18),1,0)))</f>
      </c>
      <c r="AJ212" t="e">
        <f>IF(OR(OR($A212="",$D212=""),P212=""),"",P212-(INT($Y212/18)+IF(INDEX('Tournament Setup'!$AN:$AN,MATCH($A212,'Tournament Setup'!$A:$A,0))&lt;=MOD($Y212,18),1,0)))</f>
      </c>
      <c r="AK212" t="e">
        <f>IF(OR(OR($A212="",$D212=""),Q212=""),"",Q212-(INT($Y212/18)+IF(INDEX('Tournament Setup'!$AO:$AO,MATCH($A212,'Tournament Setup'!$A:$A,0))&lt;=MOD($Y212,18),1,0)))</f>
      </c>
      <c r="AL212" t="e">
        <f>IF(OR(OR($A212="",$D212=""),R212=""),"",R212-(INT($Y212/18)+IF(INDEX('Tournament Setup'!$AP:$AP,MATCH($A212,'Tournament Setup'!$A:$A,0))&lt;=MOD($Y212,18),1,0)))</f>
      </c>
      <c r="AM212" t="e">
        <f>IF(OR(OR($A212="",$D212=""),S212=""),"",S212-(INT($Y212/18)+IF(INDEX('Tournament Setup'!$AQ:$AQ,MATCH($A212,'Tournament Setup'!$A:$A,0))&lt;=MOD($Y212,18),1,0)))</f>
      </c>
      <c r="AN212" t="e">
        <f>IF(OR(OR($A212="",$D212=""),T212=""),"",T212-(INT($Y212/18)+IF(INDEX('Tournament Setup'!$AR:$AR,MATCH($A212,'Tournament Setup'!$A:$A,0))&lt;=MOD($Y212,18),1,0)))</f>
      </c>
      <c r="AO212" t="e">
        <f>IF(OR(OR($A212="",$D212=""),U212=""),"",U212-(INT($Y212/18)+IF(INDEX('Tournament Setup'!$AS:$AS,MATCH($A212,'Tournament Setup'!$A:$A,0))&lt;=MOD($Y212,18),1,0)))</f>
      </c>
      <c r="AP212" t="e">
        <f>IF(OR(OR($A212="",$D212=""),V212=""),"",V212-(INT($Y212/18)+IF(INDEX('Tournament Setup'!$AT:$AT,MATCH($A212,'Tournament Setup'!$A:$A,0))&lt;=MOD($Y212,18),1,0)))</f>
      </c>
      <c r="AQ212" t="e">
        <f>IF(OR(OR($A212="",$D212=""),W212=""),"",W212-(INT($Y212/18)+IF(INDEX('Tournament Setup'!$AU:$AU,MATCH($A212,'Tournament Setup'!$A:$A,0))&lt;=MOD($Y212,18),1,0)))</f>
      </c>
    </row>
    <row r="213">
      <c r="X213" t="e">
        <f>IF(OR($A213="",$D213=""),"",SUM(F213:W213))</f>
      </c>
      <c r="Y213" t="e">
        <f>IF(OR($A213="",$D213=""),"",IF(INDEX('Tournament Setup'!$F:$F,MATCH($A213,'Tournament Setup'!$A:$A,0))="Net",ROUND(($E213-_xlfn.MINIFS($E$2:$E$401,$A$2:$A$401,$A213,$B$2:$B$401,$B213))*INDEX('Tournament Setup'!$G:$G,MATCH($A213,'Tournament Setup'!$A:$A,0))/100,0),0))</f>
      </c>
      <c r="Z213" t="e">
        <f>IF(OR(OR($A213="",$D213=""),F213=""),"",F213-(INT($Y213/18)+IF(INDEX('Tournament Setup'!$AD:$AD,MATCH($A213,'Tournament Setup'!$A:$A,0))&lt;=MOD($Y213,18),1,0)))</f>
      </c>
      <c r="AA213" t="e">
        <f>IF(OR(OR($A213="",$D213=""),G213=""),"",G213-(INT($Y213/18)+IF(INDEX('Tournament Setup'!$AE:$AE,MATCH($A213,'Tournament Setup'!$A:$A,0))&lt;=MOD($Y213,18),1,0)))</f>
      </c>
      <c r="AB213" t="e">
        <f>IF(OR(OR($A213="",$D213=""),H213=""),"",H213-(INT($Y213/18)+IF(INDEX('Tournament Setup'!$AF:$AF,MATCH($A213,'Tournament Setup'!$A:$A,0))&lt;=MOD($Y213,18),1,0)))</f>
      </c>
      <c r="AC213" t="e">
        <f>IF(OR(OR($A213="",$D213=""),I213=""),"",I213-(INT($Y213/18)+IF(INDEX('Tournament Setup'!$AG:$AG,MATCH($A213,'Tournament Setup'!$A:$A,0))&lt;=MOD($Y213,18),1,0)))</f>
      </c>
      <c r="AD213" t="e">
        <f>IF(OR(OR($A213="",$D213=""),J213=""),"",J213-(INT($Y213/18)+IF(INDEX('Tournament Setup'!$AH:$AH,MATCH($A213,'Tournament Setup'!$A:$A,0))&lt;=MOD($Y213,18),1,0)))</f>
      </c>
      <c r="AE213" t="e">
        <f>IF(OR(OR($A213="",$D213=""),K213=""),"",K213-(INT($Y213/18)+IF(INDEX('Tournament Setup'!$AI:$AI,MATCH($A213,'Tournament Setup'!$A:$A,0))&lt;=MOD($Y213,18),1,0)))</f>
      </c>
      <c r="AF213" t="e">
        <f>IF(OR(OR($A213="",$D213=""),L213=""),"",L213-(INT($Y213/18)+IF(INDEX('Tournament Setup'!$AJ:$AJ,MATCH($A213,'Tournament Setup'!$A:$A,0))&lt;=MOD($Y213,18),1,0)))</f>
      </c>
      <c r="AG213" t="e">
        <f>IF(OR(OR($A213="",$D213=""),M213=""),"",M213-(INT($Y213/18)+IF(INDEX('Tournament Setup'!$AK:$AK,MATCH($A213,'Tournament Setup'!$A:$A,0))&lt;=MOD($Y213,18),1,0)))</f>
      </c>
      <c r="AH213" t="e">
        <f>IF(OR(OR($A213="",$D213=""),N213=""),"",N213-(INT($Y213/18)+IF(INDEX('Tournament Setup'!$AL:$AL,MATCH($A213,'Tournament Setup'!$A:$A,0))&lt;=MOD($Y213,18),1,0)))</f>
      </c>
      <c r="AI213" t="e">
        <f>IF(OR(OR($A213="",$D213=""),O213=""),"",O213-(INT($Y213/18)+IF(INDEX('Tournament Setup'!$AM:$AM,MATCH($A213,'Tournament Setup'!$A:$A,0))&lt;=MOD($Y213,18),1,0)))</f>
      </c>
      <c r="AJ213" t="e">
        <f>IF(OR(OR($A213="",$D213=""),P213=""),"",P213-(INT($Y213/18)+IF(INDEX('Tournament Setup'!$AN:$AN,MATCH($A213,'Tournament Setup'!$A:$A,0))&lt;=MOD($Y213,18),1,0)))</f>
      </c>
      <c r="AK213" t="e">
        <f>IF(OR(OR($A213="",$D213=""),Q213=""),"",Q213-(INT($Y213/18)+IF(INDEX('Tournament Setup'!$AO:$AO,MATCH($A213,'Tournament Setup'!$A:$A,0))&lt;=MOD($Y213,18),1,0)))</f>
      </c>
      <c r="AL213" t="e">
        <f>IF(OR(OR($A213="",$D213=""),R213=""),"",R213-(INT($Y213/18)+IF(INDEX('Tournament Setup'!$AP:$AP,MATCH($A213,'Tournament Setup'!$A:$A,0))&lt;=MOD($Y213,18),1,0)))</f>
      </c>
      <c r="AM213" t="e">
        <f>IF(OR(OR($A213="",$D213=""),S213=""),"",S213-(INT($Y213/18)+IF(INDEX('Tournament Setup'!$AQ:$AQ,MATCH($A213,'Tournament Setup'!$A:$A,0))&lt;=MOD($Y213,18),1,0)))</f>
      </c>
      <c r="AN213" t="e">
        <f>IF(OR(OR($A213="",$D213=""),T213=""),"",T213-(INT($Y213/18)+IF(INDEX('Tournament Setup'!$AR:$AR,MATCH($A213,'Tournament Setup'!$A:$A,0))&lt;=MOD($Y213,18),1,0)))</f>
      </c>
      <c r="AO213" t="e">
        <f>IF(OR(OR($A213="",$D213=""),U213=""),"",U213-(INT($Y213/18)+IF(INDEX('Tournament Setup'!$AS:$AS,MATCH($A213,'Tournament Setup'!$A:$A,0))&lt;=MOD($Y213,18),1,0)))</f>
      </c>
      <c r="AP213" t="e">
        <f>IF(OR(OR($A213="",$D213=""),V213=""),"",V213-(INT($Y213/18)+IF(INDEX('Tournament Setup'!$AT:$AT,MATCH($A213,'Tournament Setup'!$A:$A,0))&lt;=MOD($Y213,18),1,0)))</f>
      </c>
      <c r="AQ213" t="e">
        <f>IF(OR(OR($A213="",$D213=""),W213=""),"",W213-(INT($Y213/18)+IF(INDEX('Tournament Setup'!$AU:$AU,MATCH($A213,'Tournament Setup'!$A:$A,0))&lt;=MOD($Y213,18),1,0)))</f>
      </c>
    </row>
    <row r="214">
      <c r="X214" t="e">
        <f>IF(OR($A214="",$D214=""),"",SUM(F214:W214))</f>
      </c>
      <c r="Y214" t="e">
        <f>IF(OR($A214="",$D214=""),"",IF(INDEX('Tournament Setup'!$F:$F,MATCH($A214,'Tournament Setup'!$A:$A,0))="Net",ROUND(($E214-_xlfn.MINIFS($E$2:$E$401,$A$2:$A$401,$A214,$B$2:$B$401,$B214))*INDEX('Tournament Setup'!$G:$G,MATCH($A214,'Tournament Setup'!$A:$A,0))/100,0),0))</f>
      </c>
      <c r="Z214" t="e">
        <f>IF(OR(OR($A214="",$D214=""),F214=""),"",F214-(INT($Y214/18)+IF(INDEX('Tournament Setup'!$AD:$AD,MATCH($A214,'Tournament Setup'!$A:$A,0))&lt;=MOD($Y214,18),1,0)))</f>
      </c>
      <c r="AA214" t="e">
        <f>IF(OR(OR($A214="",$D214=""),G214=""),"",G214-(INT($Y214/18)+IF(INDEX('Tournament Setup'!$AE:$AE,MATCH($A214,'Tournament Setup'!$A:$A,0))&lt;=MOD($Y214,18),1,0)))</f>
      </c>
      <c r="AB214" t="e">
        <f>IF(OR(OR($A214="",$D214=""),H214=""),"",H214-(INT($Y214/18)+IF(INDEX('Tournament Setup'!$AF:$AF,MATCH($A214,'Tournament Setup'!$A:$A,0))&lt;=MOD($Y214,18),1,0)))</f>
      </c>
      <c r="AC214" t="e">
        <f>IF(OR(OR($A214="",$D214=""),I214=""),"",I214-(INT($Y214/18)+IF(INDEX('Tournament Setup'!$AG:$AG,MATCH($A214,'Tournament Setup'!$A:$A,0))&lt;=MOD($Y214,18),1,0)))</f>
      </c>
      <c r="AD214" t="e">
        <f>IF(OR(OR($A214="",$D214=""),J214=""),"",J214-(INT($Y214/18)+IF(INDEX('Tournament Setup'!$AH:$AH,MATCH($A214,'Tournament Setup'!$A:$A,0))&lt;=MOD($Y214,18),1,0)))</f>
      </c>
      <c r="AE214" t="e">
        <f>IF(OR(OR($A214="",$D214=""),K214=""),"",K214-(INT($Y214/18)+IF(INDEX('Tournament Setup'!$AI:$AI,MATCH($A214,'Tournament Setup'!$A:$A,0))&lt;=MOD($Y214,18),1,0)))</f>
      </c>
      <c r="AF214" t="e">
        <f>IF(OR(OR($A214="",$D214=""),L214=""),"",L214-(INT($Y214/18)+IF(INDEX('Tournament Setup'!$AJ:$AJ,MATCH($A214,'Tournament Setup'!$A:$A,0))&lt;=MOD($Y214,18),1,0)))</f>
      </c>
      <c r="AG214" t="e">
        <f>IF(OR(OR($A214="",$D214=""),M214=""),"",M214-(INT($Y214/18)+IF(INDEX('Tournament Setup'!$AK:$AK,MATCH($A214,'Tournament Setup'!$A:$A,0))&lt;=MOD($Y214,18),1,0)))</f>
      </c>
      <c r="AH214" t="e">
        <f>IF(OR(OR($A214="",$D214=""),N214=""),"",N214-(INT($Y214/18)+IF(INDEX('Tournament Setup'!$AL:$AL,MATCH($A214,'Tournament Setup'!$A:$A,0))&lt;=MOD($Y214,18),1,0)))</f>
      </c>
      <c r="AI214" t="e">
        <f>IF(OR(OR($A214="",$D214=""),O214=""),"",O214-(INT($Y214/18)+IF(INDEX('Tournament Setup'!$AM:$AM,MATCH($A214,'Tournament Setup'!$A:$A,0))&lt;=MOD($Y214,18),1,0)))</f>
      </c>
      <c r="AJ214" t="e">
        <f>IF(OR(OR($A214="",$D214=""),P214=""),"",P214-(INT($Y214/18)+IF(INDEX('Tournament Setup'!$AN:$AN,MATCH($A214,'Tournament Setup'!$A:$A,0))&lt;=MOD($Y214,18),1,0)))</f>
      </c>
      <c r="AK214" t="e">
        <f>IF(OR(OR($A214="",$D214=""),Q214=""),"",Q214-(INT($Y214/18)+IF(INDEX('Tournament Setup'!$AO:$AO,MATCH($A214,'Tournament Setup'!$A:$A,0))&lt;=MOD($Y214,18),1,0)))</f>
      </c>
      <c r="AL214" t="e">
        <f>IF(OR(OR($A214="",$D214=""),R214=""),"",R214-(INT($Y214/18)+IF(INDEX('Tournament Setup'!$AP:$AP,MATCH($A214,'Tournament Setup'!$A:$A,0))&lt;=MOD($Y214,18),1,0)))</f>
      </c>
      <c r="AM214" t="e">
        <f>IF(OR(OR($A214="",$D214=""),S214=""),"",S214-(INT($Y214/18)+IF(INDEX('Tournament Setup'!$AQ:$AQ,MATCH($A214,'Tournament Setup'!$A:$A,0))&lt;=MOD($Y214,18),1,0)))</f>
      </c>
      <c r="AN214" t="e">
        <f>IF(OR(OR($A214="",$D214=""),T214=""),"",T214-(INT($Y214/18)+IF(INDEX('Tournament Setup'!$AR:$AR,MATCH($A214,'Tournament Setup'!$A:$A,0))&lt;=MOD($Y214,18),1,0)))</f>
      </c>
      <c r="AO214" t="e">
        <f>IF(OR(OR($A214="",$D214=""),U214=""),"",U214-(INT($Y214/18)+IF(INDEX('Tournament Setup'!$AS:$AS,MATCH($A214,'Tournament Setup'!$A:$A,0))&lt;=MOD($Y214,18),1,0)))</f>
      </c>
      <c r="AP214" t="e">
        <f>IF(OR(OR($A214="",$D214=""),V214=""),"",V214-(INT($Y214/18)+IF(INDEX('Tournament Setup'!$AT:$AT,MATCH($A214,'Tournament Setup'!$A:$A,0))&lt;=MOD($Y214,18),1,0)))</f>
      </c>
      <c r="AQ214" t="e">
        <f>IF(OR(OR($A214="",$D214=""),W214=""),"",W214-(INT($Y214/18)+IF(INDEX('Tournament Setup'!$AU:$AU,MATCH($A214,'Tournament Setup'!$A:$A,0))&lt;=MOD($Y214,18),1,0)))</f>
      </c>
    </row>
    <row r="215">
      <c r="X215" t="e">
        <f>IF(OR($A215="",$D215=""),"",SUM(F215:W215))</f>
      </c>
      <c r="Y215" t="e">
        <f>IF(OR($A215="",$D215=""),"",IF(INDEX('Tournament Setup'!$F:$F,MATCH($A215,'Tournament Setup'!$A:$A,0))="Net",ROUND(($E215-_xlfn.MINIFS($E$2:$E$401,$A$2:$A$401,$A215,$B$2:$B$401,$B215))*INDEX('Tournament Setup'!$G:$G,MATCH($A215,'Tournament Setup'!$A:$A,0))/100,0),0))</f>
      </c>
      <c r="Z215" t="e">
        <f>IF(OR(OR($A215="",$D215=""),F215=""),"",F215-(INT($Y215/18)+IF(INDEX('Tournament Setup'!$AD:$AD,MATCH($A215,'Tournament Setup'!$A:$A,0))&lt;=MOD($Y215,18),1,0)))</f>
      </c>
      <c r="AA215" t="e">
        <f>IF(OR(OR($A215="",$D215=""),G215=""),"",G215-(INT($Y215/18)+IF(INDEX('Tournament Setup'!$AE:$AE,MATCH($A215,'Tournament Setup'!$A:$A,0))&lt;=MOD($Y215,18),1,0)))</f>
      </c>
      <c r="AB215" t="e">
        <f>IF(OR(OR($A215="",$D215=""),H215=""),"",H215-(INT($Y215/18)+IF(INDEX('Tournament Setup'!$AF:$AF,MATCH($A215,'Tournament Setup'!$A:$A,0))&lt;=MOD($Y215,18),1,0)))</f>
      </c>
      <c r="AC215" t="e">
        <f>IF(OR(OR($A215="",$D215=""),I215=""),"",I215-(INT($Y215/18)+IF(INDEX('Tournament Setup'!$AG:$AG,MATCH($A215,'Tournament Setup'!$A:$A,0))&lt;=MOD($Y215,18),1,0)))</f>
      </c>
      <c r="AD215" t="e">
        <f>IF(OR(OR($A215="",$D215=""),J215=""),"",J215-(INT($Y215/18)+IF(INDEX('Tournament Setup'!$AH:$AH,MATCH($A215,'Tournament Setup'!$A:$A,0))&lt;=MOD($Y215,18),1,0)))</f>
      </c>
      <c r="AE215" t="e">
        <f>IF(OR(OR($A215="",$D215=""),K215=""),"",K215-(INT($Y215/18)+IF(INDEX('Tournament Setup'!$AI:$AI,MATCH($A215,'Tournament Setup'!$A:$A,0))&lt;=MOD($Y215,18),1,0)))</f>
      </c>
      <c r="AF215" t="e">
        <f>IF(OR(OR($A215="",$D215=""),L215=""),"",L215-(INT($Y215/18)+IF(INDEX('Tournament Setup'!$AJ:$AJ,MATCH($A215,'Tournament Setup'!$A:$A,0))&lt;=MOD($Y215,18),1,0)))</f>
      </c>
      <c r="AG215" t="e">
        <f>IF(OR(OR($A215="",$D215=""),M215=""),"",M215-(INT($Y215/18)+IF(INDEX('Tournament Setup'!$AK:$AK,MATCH($A215,'Tournament Setup'!$A:$A,0))&lt;=MOD($Y215,18),1,0)))</f>
      </c>
      <c r="AH215" t="e">
        <f>IF(OR(OR($A215="",$D215=""),N215=""),"",N215-(INT($Y215/18)+IF(INDEX('Tournament Setup'!$AL:$AL,MATCH($A215,'Tournament Setup'!$A:$A,0))&lt;=MOD($Y215,18),1,0)))</f>
      </c>
      <c r="AI215" t="e">
        <f>IF(OR(OR($A215="",$D215=""),O215=""),"",O215-(INT($Y215/18)+IF(INDEX('Tournament Setup'!$AM:$AM,MATCH($A215,'Tournament Setup'!$A:$A,0))&lt;=MOD($Y215,18),1,0)))</f>
      </c>
      <c r="AJ215" t="e">
        <f>IF(OR(OR($A215="",$D215=""),P215=""),"",P215-(INT($Y215/18)+IF(INDEX('Tournament Setup'!$AN:$AN,MATCH($A215,'Tournament Setup'!$A:$A,0))&lt;=MOD($Y215,18),1,0)))</f>
      </c>
      <c r="AK215" t="e">
        <f>IF(OR(OR($A215="",$D215=""),Q215=""),"",Q215-(INT($Y215/18)+IF(INDEX('Tournament Setup'!$AO:$AO,MATCH($A215,'Tournament Setup'!$A:$A,0))&lt;=MOD($Y215,18),1,0)))</f>
      </c>
      <c r="AL215" t="e">
        <f>IF(OR(OR($A215="",$D215=""),R215=""),"",R215-(INT($Y215/18)+IF(INDEX('Tournament Setup'!$AP:$AP,MATCH($A215,'Tournament Setup'!$A:$A,0))&lt;=MOD($Y215,18),1,0)))</f>
      </c>
      <c r="AM215" t="e">
        <f>IF(OR(OR($A215="",$D215=""),S215=""),"",S215-(INT($Y215/18)+IF(INDEX('Tournament Setup'!$AQ:$AQ,MATCH($A215,'Tournament Setup'!$A:$A,0))&lt;=MOD($Y215,18),1,0)))</f>
      </c>
      <c r="AN215" t="e">
        <f>IF(OR(OR($A215="",$D215=""),T215=""),"",T215-(INT($Y215/18)+IF(INDEX('Tournament Setup'!$AR:$AR,MATCH($A215,'Tournament Setup'!$A:$A,0))&lt;=MOD($Y215,18),1,0)))</f>
      </c>
      <c r="AO215" t="e">
        <f>IF(OR(OR($A215="",$D215=""),U215=""),"",U215-(INT($Y215/18)+IF(INDEX('Tournament Setup'!$AS:$AS,MATCH($A215,'Tournament Setup'!$A:$A,0))&lt;=MOD($Y215,18),1,0)))</f>
      </c>
      <c r="AP215" t="e">
        <f>IF(OR(OR($A215="",$D215=""),V215=""),"",V215-(INT($Y215/18)+IF(INDEX('Tournament Setup'!$AT:$AT,MATCH($A215,'Tournament Setup'!$A:$A,0))&lt;=MOD($Y215,18),1,0)))</f>
      </c>
      <c r="AQ215" t="e">
        <f>IF(OR(OR($A215="",$D215=""),W215=""),"",W215-(INT($Y215/18)+IF(INDEX('Tournament Setup'!$AU:$AU,MATCH($A215,'Tournament Setup'!$A:$A,0))&lt;=MOD($Y215,18),1,0)))</f>
      </c>
    </row>
    <row r="216">
      <c r="X216" t="e">
        <f>IF(OR($A216="",$D216=""),"",SUM(F216:W216))</f>
      </c>
      <c r="Y216" t="e">
        <f>IF(OR($A216="",$D216=""),"",IF(INDEX('Tournament Setup'!$F:$F,MATCH($A216,'Tournament Setup'!$A:$A,0))="Net",ROUND(($E216-_xlfn.MINIFS($E$2:$E$401,$A$2:$A$401,$A216,$B$2:$B$401,$B216))*INDEX('Tournament Setup'!$G:$G,MATCH($A216,'Tournament Setup'!$A:$A,0))/100,0),0))</f>
      </c>
      <c r="Z216" t="e">
        <f>IF(OR(OR($A216="",$D216=""),F216=""),"",F216-(INT($Y216/18)+IF(INDEX('Tournament Setup'!$AD:$AD,MATCH($A216,'Tournament Setup'!$A:$A,0))&lt;=MOD($Y216,18),1,0)))</f>
      </c>
      <c r="AA216" t="e">
        <f>IF(OR(OR($A216="",$D216=""),G216=""),"",G216-(INT($Y216/18)+IF(INDEX('Tournament Setup'!$AE:$AE,MATCH($A216,'Tournament Setup'!$A:$A,0))&lt;=MOD($Y216,18),1,0)))</f>
      </c>
      <c r="AB216" t="e">
        <f>IF(OR(OR($A216="",$D216=""),H216=""),"",H216-(INT($Y216/18)+IF(INDEX('Tournament Setup'!$AF:$AF,MATCH($A216,'Tournament Setup'!$A:$A,0))&lt;=MOD($Y216,18),1,0)))</f>
      </c>
      <c r="AC216" t="e">
        <f>IF(OR(OR($A216="",$D216=""),I216=""),"",I216-(INT($Y216/18)+IF(INDEX('Tournament Setup'!$AG:$AG,MATCH($A216,'Tournament Setup'!$A:$A,0))&lt;=MOD($Y216,18),1,0)))</f>
      </c>
      <c r="AD216" t="e">
        <f>IF(OR(OR($A216="",$D216=""),J216=""),"",J216-(INT($Y216/18)+IF(INDEX('Tournament Setup'!$AH:$AH,MATCH($A216,'Tournament Setup'!$A:$A,0))&lt;=MOD($Y216,18),1,0)))</f>
      </c>
      <c r="AE216" t="e">
        <f>IF(OR(OR($A216="",$D216=""),K216=""),"",K216-(INT($Y216/18)+IF(INDEX('Tournament Setup'!$AI:$AI,MATCH($A216,'Tournament Setup'!$A:$A,0))&lt;=MOD($Y216,18),1,0)))</f>
      </c>
      <c r="AF216" t="e">
        <f>IF(OR(OR($A216="",$D216=""),L216=""),"",L216-(INT($Y216/18)+IF(INDEX('Tournament Setup'!$AJ:$AJ,MATCH($A216,'Tournament Setup'!$A:$A,0))&lt;=MOD($Y216,18),1,0)))</f>
      </c>
      <c r="AG216" t="e">
        <f>IF(OR(OR($A216="",$D216=""),M216=""),"",M216-(INT($Y216/18)+IF(INDEX('Tournament Setup'!$AK:$AK,MATCH($A216,'Tournament Setup'!$A:$A,0))&lt;=MOD($Y216,18),1,0)))</f>
      </c>
      <c r="AH216" t="e">
        <f>IF(OR(OR($A216="",$D216=""),N216=""),"",N216-(INT($Y216/18)+IF(INDEX('Tournament Setup'!$AL:$AL,MATCH($A216,'Tournament Setup'!$A:$A,0))&lt;=MOD($Y216,18),1,0)))</f>
      </c>
      <c r="AI216" t="e">
        <f>IF(OR(OR($A216="",$D216=""),O216=""),"",O216-(INT($Y216/18)+IF(INDEX('Tournament Setup'!$AM:$AM,MATCH($A216,'Tournament Setup'!$A:$A,0))&lt;=MOD($Y216,18),1,0)))</f>
      </c>
      <c r="AJ216" t="e">
        <f>IF(OR(OR($A216="",$D216=""),P216=""),"",P216-(INT($Y216/18)+IF(INDEX('Tournament Setup'!$AN:$AN,MATCH($A216,'Tournament Setup'!$A:$A,0))&lt;=MOD($Y216,18),1,0)))</f>
      </c>
      <c r="AK216" t="e">
        <f>IF(OR(OR($A216="",$D216=""),Q216=""),"",Q216-(INT($Y216/18)+IF(INDEX('Tournament Setup'!$AO:$AO,MATCH($A216,'Tournament Setup'!$A:$A,0))&lt;=MOD($Y216,18),1,0)))</f>
      </c>
      <c r="AL216" t="e">
        <f>IF(OR(OR($A216="",$D216=""),R216=""),"",R216-(INT($Y216/18)+IF(INDEX('Tournament Setup'!$AP:$AP,MATCH($A216,'Tournament Setup'!$A:$A,0))&lt;=MOD($Y216,18),1,0)))</f>
      </c>
      <c r="AM216" t="e">
        <f>IF(OR(OR($A216="",$D216=""),S216=""),"",S216-(INT($Y216/18)+IF(INDEX('Tournament Setup'!$AQ:$AQ,MATCH($A216,'Tournament Setup'!$A:$A,0))&lt;=MOD($Y216,18),1,0)))</f>
      </c>
      <c r="AN216" t="e">
        <f>IF(OR(OR($A216="",$D216=""),T216=""),"",T216-(INT($Y216/18)+IF(INDEX('Tournament Setup'!$AR:$AR,MATCH($A216,'Tournament Setup'!$A:$A,0))&lt;=MOD($Y216,18),1,0)))</f>
      </c>
      <c r="AO216" t="e">
        <f>IF(OR(OR($A216="",$D216=""),U216=""),"",U216-(INT($Y216/18)+IF(INDEX('Tournament Setup'!$AS:$AS,MATCH($A216,'Tournament Setup'!$A:$A,0))&lt;=MOD($Y216,18),1,0)))</f>
      </c>
      <c r="AP216" t="e">
        <f>IF(OR(OR($A216="",$D216=""),V216=""),"",V216-(INT($Y216/18)+IF(INDEX('Tournament Setup'!$AT:$AT,MATCH($A216,'Tournament Setup'!$A:$A,0))&lt;=MOD($Y216,18),1,0)))</f>
      </c>
      <c r="AQ216" t="e">
        <f>IF(OR(OR($A216="",$D216=""),W216=""),"",W216-(INT($Y216/18)+IF(INDEX('Tournament Setup'!$AU:$AU,MATCH($A216,'Tournament Setup'!$A:$A,0))&lt;=MOD($Y216,18),1,0)))</f>
      </c>
    </row>
    <row r="217">
      <c r="X217" t="e">
        <f>IF(OR($A217="",$D217=""),"",SUM(F217:W217))</f>
      </c>
      <c r="Y217" t="e">
        <f>IF(OR($A217="",$D217=""),"",IF(INDEX('Tournament Setup'!$F:$F,MATCH($A217,'Tournament Setup'!$A:$A,0))="Net",ROUND(($E217-_xlfn.MINIFS($E$2:$E$401,$A$2:$A$401,$A217,$B$2:$B$401,$B217))*INDEX('Tournament Setup'!$G:$G,MATCH($A217,'Tournament Setup'!$A:$A,0))/100,0),0))</f>
      </c>
      <c r="Z217" t="e">
        <f>IF(OR(OR($A217="",$D217=""),F217=""),"",F217-(INT($Y217/18)+IF(INDEX('Tournament Setup'!$AD:$AD,MATCH($A217,'Tournament Setup'!$A:$A,0))&lt;=MOD($Y217,18),1,0)))</f>
      </c>
      <c r="AA217" t="e">
        <f>IF(OR(OR($A217="",$D217=""),G217=""),"",G217-(INT($Y217/18)+IF(INDEX('Tournament Setup'!$AE:$AE,MATCH($A217,'Tournament Setup'!$A:$A,0))&lt;=MOD($Y217,18),1,0)))</f>
      </c>
      <c r="AB217" t="e">
        <f>IF(OR(OR($A217="",$D217=""),H217=""),"",H217-(INT($Y217/18)+IF(INDEX('Tournament Setup'!$AF:$AF,MATCH($A217,'Tournament Setup'!$A:$A,0))&lt;=MOD($Y217,18),1,0)))</f>
      </c>
      <c r="AC217" t="e">
        <f>IF(OR(OR($A217="",$D217=""),I217=""),"",I217-(INT($Y217/18)+IF(INDEX('Tournament Setup'!$AG:$AG,MATCH($A217,'Tournament Setup'!$A:$A,0))&lt;=MOD($Y217,18),1,0)))</f>
      </c>
      <c r="AD217" t="e">
        <f>IF(OR(OR($A217="",$D217=""),J217=""),"",J217-(INT($Y217/18)+IF(INDEX('Tournament Setup'!$AH:$AH,MATCH($A217,'Tournament Setup'!$A:$A,0))&lt;=MOD($Y217,18),1,0)))</f>
      </c>
      <c r="AE217" t="e">
        <f>IF(OR(OR($A217="",$D217=""),K217=""),"",K217-(INT($Y217/18)+IF(INDEX('Tournament Setup'!$AI:$AI,MATCH($A217,'Tournament Setup'!$A:$A,0))&lt;=MOD($Y217,18),1,0)))</f>
      </c>
      <c r="AF217" t="e">
        <f>IF(OR(OR($A217="",$D217=""),L217=""),"",L217-(INT($Y217/18)+IF(INDEX('Tournament Setup'!$AJ:$AJ,MATCH($A217,'Tournament Setup'!$A:$A,0))&lt;=MOD($Y217,18),1,0)))</f>
      </c>
      <c r="AG217" t="e">
        <f>IF(OR(OR($A217="",$D217=""),M217=""),"",M217-(INT($Y217/18)+IF(INDEX('Tournament Setup'!$AK:$AK,MATCH($A217,'Tournament Setup'!$A:$A,0))&lt;=MOD($Y217,18),1,0)))</f>
      </c>
      <c r="AH217" t="e">
        <f>IF(OR(OR($A217="",$D217=""),N217=""),"",N217-(INT($Y217/18)+IF(INDEX('Tournament Setup'!$AL:$AL,MATCH($A217,'Tournament Setup'!$A:$A,0))&lt;=MOD($Y217,18),1,0)))</f>
      </c>
      <c r="AI217" t="e">
        <f>IF(OR(OR($A217="",$D217=""),O217=""),"",O217-(INT($Y217/18)+IF(INDEX('Tournament Setup'!$AM:$AM,MATCH($A217,'Tournament Setup'!$A:$A,0))&lt;=MOD($Y217,18),1,0)))</f>
      </c>
      <c r="AJ217" t="e">
        <f>IF(OR(OR($A217="",$D217=""),P217=""),"",P217-(INT($Y217/18)+IF(INDEX('Tournament Setup'!$AN:$AN,MATCH($A217,'Tournament Setup'!$A:$A,0))&lt;=MOD($Y217,18),1,0)))</f>
      </c>
      <c r="AK217" t="e">
        <f>IF(OR(OR($A217="",$D217=""),Q217=""),"",Q217-(INT($Y217/18)+IF(INDEX('Tournament Setup'!$AO:$AO,MATCH($A217,'Tournament Setup'!$A:$A,0))&lt;=MOD($Y217,18),1,0)))</f>
      </c>
      <c r="AL217" t="e">
        <f>IF(OR(OR($A217="",$D217=""),R217=""),"",R217-(INT($Y217/18)+IF(INDEX('Tournament Setup'!$AP:$AP,MATCH($A217,'Tournament Setup'!$A:$A,0))&lt;=MOD($Y217,18),1,0)))</f>
      </c>
      <c r="AM217" t="e">
        <f>IF(OR(OR($A217="",$D217=""),S217=""),"",S217-(INT($Y217/18)+IF(INDEX('Tournament Setup'!$AQ:$AQ,MATCH($A217,'Tournament Setup'!$A:$A,0))&lt;=MOD($Y217,18),1,0)))</f>
      </c>
      <c r="AN217" t="e">
        <f>IF(OR(OR($A217="",$D217=""),T217=""),"",T217-(INT($Y217/18)+IF(INDEX('Tournament Setup'!$AR:$AR,MATCH($A217,'Tournament Setup'!$A:$A,0))&lt;=MOD($Y217,18),1,0)))</f>
      </c>
      <c r="AO217" t="e">
        <f>IF(OR(OR($A217="",$D217=""),U217=""),"",U217-(INT($Y217/18)+IF(INDEX('Tournament Setup'!$AS:$AS,MATCH($A217,'Tournament Setup'!$A:$A,0))&lt;=MOD($Y217,18),1,0)))</f>
      </c>
      <c r="AP217" t="e">
        <f>IF(OR(OR($A217="",$D217=""),V217=""),"",V217-(INT($Y217/18)+IF(INDEX('Tournament Setup'!$AT:$AT,MATCH($A217,'Tournament Setup'!$A:$A,0))&lt;=MOD($Y217,18),1,0)))</f>
      </c>
      <c r="AQ217" t="e">
        <f>IF(OR(OR($A217="",$D217=""),W217=""),"",W217-(INT($Y217/18)+IF(INDEX('Tournament Setup'!$AU:$AU,MATCH($A217,'Tournament Setup'!$A:$A,0))&lt;=MOD($Y217,18),1,0)))</f>
      </c>
    </row>
    <row r="218">
      <c r="X218" t="e">
        <f>IF(OR($A218="",$D218=""),"",SUM(F218:W218))</f>
      </c>
      <c r="Y218" t="e">
        <f>IF(OR($A218="",$D218=""),"",IF(INDEX('Tournament Setup'!$F:$F,MATCH($A218,'Tournament Setup'!$A:$A,0))="Net",ROUND(($E218-_xlfn.MINIFS($E$2:$E$401,$A$2:$A$401,$A218,$B$2:$B$401,$B218))*INDEX('Tournament Setup'!$G:$G,MATCH($A218,'Tournament Setup'!$A:$A,0))/100,0),0))</f>
      </c>
      <c r="Z218" t="e">
        <f>IF(OR(OR($A218="",$D218=""),F218=""),"",F218-(INT($Y218/18)+IF(INDEX('Tournament Setup'!$AD:$AD,MATCH($A218,'Tournament Setup'!$A:$A,0))&lt;=MOD($Y218,18),1,0)))</f>
      </c>
      <c r="AA218" t="e">
        <f>IF(OR(OR($A218="",$D218=""),G218=""),"",G218-(INT($Y218/18)+IF(INDEX('Tournament Setup'!$AE:$AE,MATCH($A218,'Tournament Setup'!$A:$A,0))&lt;=MOD($Y218,18),1,0)))</f>
      </c>
      <c r="AB218" t="e">
        <f>IF(OR(OR($A218="",$D218=""),H218=""),"",H218-(INT($Y218/18)+IF(INDEX('Tournament Setup'!$AF:$AF,MATCH($A218,'Tournament Setup'!$A:$A,0))&lt;=MOD($Y218,18),1,0)))</f>
      </c>
      <c r="AC218" t="e">
        <f>IF(OR(OR($A218="",$D218=""),I218=""),"",I218-(INT($Y218/18)+IF(INDEX('Tournament Setup'!$AG:$AG,MATCH($A218,'Tournament Setup'!$A:$A,0))&lt;=MOD($Y218,18),1,0)))</f>
      </c>
      <c r="AD218" t="e">
        <f>IF(OR(OR($A218="",$D218=""),J218=""),"",J218-(INT($Y218/18)+IF(INDEX('Tournament Setup'!$AH:$AH,MATCH($A218,'Tournament Setup'!$A:$A,0))&lt;=MOD($Y218,18),1,0)))</f>
      </c>
      <c r="AE218" t="e">
        <f>IF(OR(OR($A218="",$D218=""),K218=""),"",K218-(INT($Y218/18)+IF(INDEX('Tournament Setup'!$AI:$AI,MATCH($A218,'Tournament Setup'!$A:$A,0))&lt;=MOD($Y218,18),1,0)))</f>
      </c>
      <c r="AF218" t="e">
        <f>IF(OR(OR($A218="",$D218=""),L218=""),"",L218-(INT($Y218/18)+IF(INDEX('Tournament Setup'!$AJ:$AJ,MATCH($A218,'Tournament Setup'!$A:$A,0))&lt;=MOD($Y218,18),1,0)))</f>
      </c>
      <c r="AG218" t="e">
        <f>IF(OR(OR($A218="",$D218=""),M218=""),"",M218-(INT($Y218/18)+IF(INDEX('Tournament Setup'!$AK:$AK,MATCH($A218,'Tournament Setup'!$A:$A,0))&lt;=MOD($Y218,18),1,0)))</f>
      </c>
      <c r="AH218" t="e">
        <f>IF(OR(OR($A218="",$D218=""),N218=""),"",N218-(INT($Y218/18)+IF(INDEX('Tournament Setup'!$AL:$AL,MATCH($A218,'Tournament Setup'!$A:$A,0))&lt;=MOD($Y218,18),1,0)))</f>
      </c>
      <c r="AI218" t="e">
        <f>IF(OR(OR($A218="",$D218=""),O218=""),"",O218-(INT($Y218/18)+IF(INDEX('Tournament Setup'!$AM:$AM,MATCH($A218,'Tournament Setup'!$A:$A,0))&lt;=MOD($Y218,18),1,0)))</f>
      </c>
      <c r="AJ218" t="e">
        <f>IF(OR(OR($A218="",$D218=""),P218=""),"",P218-(INT($Y218/18)+IF(INDEX('Tournament Setup'!$AN:$AN,MATCH($A218,'Tournament Setup'!$A:$A,0))&lt;=MOD($Y218,18),1,0)))</f>
      </c>
      <c r="AK218" t="e">
        <f>IF(OR(OR($A218="",$D218=""),Q218=""),"",Q218-(INT($Y218/18)+IF(INDEX('Tournament Setup'!$AO:$AO,MATCH($A218,'Tournament Setup'!$A:$A,0))&lt;=MOD($Y218,18),1,0)))</f>
      </c>
      <c r="AL218" t="e">
        <f>IF(OR(OR($A218="",$D218=""),R218=""),"",R218-(INT($Y218/18)+IF(INDEX('Tournament Setup'!$AP:$AP,MATCH($A218,'Tournament Setup'!$A:$A,0))&lt;=MOD($Y218,18),1,0)))</f>
      </c>
      <c r="AM218" t="e">
        <f>IF(OR(OR($A218="",$D218=""),S218=""),"",S218-(INT($Y218/18)+IF(INDEX('Tournament Setup'!$AQ:$AQ,MATCH($A218,'Tournament Setup'!$A:$A,0))&lt;=MOD($Y218,18),1,0)))</f>
      </c>
      <c r="AN218" t="e">
        <f>IF(OR(OR($A218="",$D218=""),T218=""),"",T218-(INT($Y218/18)+IF(INDEX('Tournament Setup'!$AR:$AR,MATCH($A218,'Tournament Setup'!$A:$A,0))&lt;=MOD($Y218,18),1,0)))</f>
      </c>
      <c r="AO218" t="e">
        <f>IF(OR(OR($A218="",$D218=""),U218=""),"",U218-(INT($Y218/18)+IF(INDEX('Tournament Setup'!$AS:$AS,MATCH($A218,'Tournament Setup'!$A:$A,0))&lt;=MOD($Y218,18),1,0)))</f>
      </c>
      <c r="AP218" t="e">
        <f>IF(OR(OR($A218="",$D218=""),V218=""),"",V218-(INT($Y218/18)+IF(INDEX('Tournament Setup'!$AT:$AT,MATCH($A218,'Tournament Setup'!$A:$A,0))&lt;=MOD($Y218,18),1,0)))</f>
      </c>
      <c r="AQ218" t="e">
        <f>IF(OR(OR($A218="",$D218=""),W218=""),"",W218-(INT($Y218/18)+IF(INDEX('Tournament Setup'!$AU:$AU,MATCH($A218,'Tournament Setup'!$A:$A,0))&lt;=MOD($Y218,18),1,0)))</f>
      </c>
    </row>
    <row r="219">
      <c r="X219" t="e">
        <f>IF(OR($A219="",$D219=""),"",SUM(F219:W219))</f>
      </c>
      <c r="Y219" t="e">
        <f>IF(OR($A219="",$D219=""),"",IF(INDEX('Tournament Setup'!$F:$F,MATCH($A219,'Tournament Setup'!$A:$A,0))="Net",ROUND(($E219-_xlfn.MINIFS($E$2:$E$401,$A$2:$A$401,$A219,$B$2:$B$401,$B219))*INDEX('Tournament Setup'!$G:$G,MATCH($A219,'Tournament Setup'!$A:$A,0))/100,0),0))</f>
      </c>
      <c r="Z219" t="e">
        <f>IF(OR(OR($A219="",$D219=""),F219=""),"",F219-(INT($Y219/18)+IF(INDEX('Tournament Setup'!$AD:$AD,MATCH($A219,'Tournament Setup'!$A:$A,0))&lt;=MOD($Y219,18),1,0)))</f>
      </c>
      <c r="AA219" t="e">
        <f>IF(OR(OR($A219="",$D219=""),G219=""),"",G219-(INT($Y219/18)+IF(INDEX('Tournament Setup'!$AE:$AE,MATCH($A219,'Tournament Setup'!$A:$A,0))&lt;=MOD($Y219,18),1,0)))</f>
      </c>
      <c r="AB219" t="e">
        <f>IF(OR(OR($A219="",$D219=""),H219=""),"",H219-(INT($Y219/18)+IF(INDEX('Tournament Setup'!$AF:$AF,MATCH($A219,'Tournament Setup'!$A:$A,0))&lt;=MOD($Y219,18),1,0)))</f>
      </c>
      <c r="AC219" t="e">
        <f>IF(OR(OR($A219="",$D219=""),I219=""),"",I219-(INT($Y219/18)+IF(INDEX('Tournament Setup'!$AG:$AG,MATCH($A219,'Tournament Setup'!$A:$A,0))&lt;=MOD($Y219,18),1,0)))</f>
      </c>
      <c r="AD219" t="e">
        <f>IF(OR(OR($A219="",$D219=""),J219=""),"",J219-(INT($Y219/18)+IF(INDEX('Tournament Setup'!$AH:$AH,MATCH($A219,'Tournament Setup'!$A:$A,0))&lt;=MOD($Y219,18),1,0)))</f>
      </c>
      <c r="AE219" t="e">
        <f>IF(OR(OR($A219="",$D219=""),K219=""),"",K219-(INT($Y219/18)+IF(INDEX('Tournament Setup'!$AI:$AI,MATCH($A219,'Tournament Setup'!$A:$A,0))&lt;=MOD($Y219,18),1,0)))</f>
      </c>
      <c r="AF219" t="e">
        <f>IF(OR(OR($A219="",$D219=""),L219=""),"",L219-(INT($Y219/18)+IF(INDEX('Tournament Setup'!$AJ:$AJ,MATCH($A219,'Tournament Setup'!$A:$A,0))&lt;=MOD($Y219,18),1,0)))</f>
      </c>
      <c r="AG219" t="e">
        <f>IF(OR(OR($A219="",$D219=""),M219=""),"",M219-(INT($Y219/18)+IF(INDEX('Tournament Setup'!$AK:$AK,MATCH($A219,'Tournament Setup'!$A:$A,0))&lt;=MOD($Y219,18),1,0)))</f>
      </c>
      <c r="AH219" t="e">
        <f>IF(OR(OR($A219="",$D219=""),N219=""),"",N219-(INT($Y219/18)+IF(INDEX('Tournament Setup'!$AL:$AL,MATCH($A219,'Tournament Setup'!$A:$A,0))&lt;=MOD($Y219,18),1,0)))</f>
      </c>
      <c r="AI219" t="e">
        <f>IF(OR(OR($A219="",$D219=""),O219=""),"",O219-(INT($Y219/18)+IF(INDEX('Tournament Setup'!$AM:$AM,MATCH($A219,'Tournament Setup'!$A:$A,0))&lt;=MOD($Y219,18),1,0)))</f>
      </c>
      <c r="AJ219" t="e">
        <f>IF(OR(OR($A219="",$D219=""),P219=""),"",P219-(INT($Y219/18)+IF(INDEX('Tournament Setup'!$AN:$AN,MATCH($A219,'Tournament Setup'!$A:$A,0))&lt;=MOD($Y219,18),1,0)))</f>
      </c>
      <c r="AK219" t="e">
        <f>IF(OR(OR($A219="",$D219=""),Q219=""),"",Q219-(INT($Y219/18)+IF(INDEX('Tournament Setup'!$AO:$AO,MATCH($A219,'Tournament Setup'!$A:$A,0))&lt;=MOD($Y219,18),1,0)))</f>
      </c>
      <c r="AL219" t="e">
        <f>IF(OR(OR($A219="",$D219=""),R219=""),"",R219-(INT($Y219/18)+IF(INDEX('Tournament Setup'!$AP:$AP,MATCH($A219,'Tournament Setup'!$A:$A,0))&lt;=MOD($Y219,18),1,0)))</f>
      </c>
      <c r="AM219" t="e">
        <f>IF(OR(OR($A219="",$D219=""),S219=""),"",S219-(INT($Y219/18)+IF(INDEX('Tournament Setup'!$AQ:$AQ,MATCH($A219,'Tournament Setup'!$A:$A,0))&lt;=MOD($Y219,18),1,0)))</f>
      </c>
      <c r="AN219" t="e">
        <f>IF(OR(OR($A219="",$D219=""),T219=""),"",T219-(INT($Y219/18)+IF(INDEX('Tournament Setup'!$AR:$AR,MATCH($A219,'Tournament Setup'!$A:$A,0))&lt;=MOD($Y219,18),1,0)))</f>
      </c>
      <c r="AO219" t="e">
        <f>IF(OR(OR($A219="",$D219=""),U219=""),"",U219-(INT($Y219/18)+IF(INDEX('Tournament Setup'!$AS:$AS,MATCH($A219,'Tournament Setup'!$A:$A,0))&lt;=MOD($Y219,18),1,0)))</f>
      </c>
      <c r="AP219" t="e">
        <f>IF(OR(OR($A219="",$D219=""),V219=""),"",V219-(INT($Y219/18)+IF(INDEX('Tournament Setup'!$AT:$AT,MATCH($A219,'Tournament Setup'!$A:$A,0))&lt;=MOD($Y219,18),1,0)))</f>
      </c>
      <c r="AQ219" t="e">
        <f>IF(OR(OR($A219="",$D219=""),W219=""),"",W219-(INT($Y219/18)+IF(INDEX('Tournament Setup'!$AU:$AU,MATCH($A219,'Tournament Setup'!$A:$A,0))&lt;=MOD($Y219,18),1,0)))</f>
      </c>
    </row>
    <row r="220">
      <c r="X220" t="e">
        <f>IF(OR($A220="",$D220=""),"",SUM(F220:W220))</f>
      </c>
      <c r="Y220" t="e">
        <f>IF(OR($A220="",$D220=""),"",IF(INDEX('Tournament Setup'!$F:$F,MATCH($A220,'Tournament Setup'!$A:$A,0))="Net",ROUND(($E220-_xlfn.MINIFS($E$2:$E$401,$A$2:$A$401,$A220,$B$2:$B$401,$B220))*INDEX('Tournament Setup'!$G:$G,MATCH($A220,'Tournament Setup'!$A:$A,0))/100,0),0))</f>
      </c>
      <c r="Z220" t="e">
        <f>IF(OR(OR($A220="",$D220=""),F220=""),"",F220-(INT($Y220/18)+IF(INDEX('Tournament Setup'!$AD:$AD,MATCH($A220,'Tournament Setup'!$A:$A,0))&lt;=MOD($Y220,18),1,0)))</f>
      </c>
      <c r="AA220" t="e">
        <f>IF(OR(OR($A220="",$D220=""),G220=""),"",G220-(INT($Y220/18)+IF(INDEX('Tournament Setup'!$AE:$AE,MATCH($A220,'Tournament Setup'!$A:$A,0))&lt;=MOD($Y220,18),1,0)))</f>
      </c>
      <c r="AB220" t="e">
        <f>IF(OR(OR($A220="",$D220=""),H220=""),"",H220-(INT($Y220/18)+IF(INDEX('Tournament Setup'!$AF:$AF,MATCH($A220,'Tournament Setup'!$A:$A,0))&lt;=MOD($Y220,18),1,0)))</f>
      </c>
      <c r="AC220" t="e">
        <f>IF(OR(OR($A220="",$D220=""),I220=""),"",I220-(INT($Y220/18)+IF(INDEX('Tournament Setup'!$AG:$AG,MATCH($A220,'Tournament Setup'!$A:$A,0))&lt;=MOD($Y220,18),1,0)))</f>
      </c>
      <c r="AD220" t="e">
        <f>IF(OR(OR($A220="",$D220=""),J220=""),"",J220-(INT($Y220/18)+IF(INDEX('Tournament Setup'!$AH:$AH,MATCH($A220,'Tournament Setup'!$A:$A,0))&lt;=MOD($Y220,18),1,0)))</f>
      </c>
      <c r="AE220" t="e">
        <f>IF(OR(OR($A220="",$D220=""),K220=""),"",K220-(INT($Y220/18)+IF(INDEX('Tournament Setup'!$AI:$AI,MATCH($A220,'Tournament Setup'!$A:$A,0))&lt;=MOD($Y220,18),1,0)))</f>
      </c>
      <c r="AF220" t="e">
        <f>IF(OR(OR($A220="",$D220=""),L220=""),"",L220-(INT($Y220/18)+IF(INDEX('Tournament Setup'!$AJ:$AJ,MATCH($A220,'Tournament Setup'!$A:$A,0))&lt;=MOD($Y220,18),1,0)))</f>
      </c>
      <c r="AG220" t="e">
        <f>IF(OR(OR($A220="",$D220=""),M220=""),"",M220-(INT($Y220/18)+IF(INDEX('Tournament Setup'!$AK:$AK,MATCH($A220,'Tournament Setup'!$A:$A,0))&lt;=MOD($Y220,18),1,0)))</f>
      </c>
      <c r="AH220" t="e">
        <f>IF(OR(OR($A220="",$D220=""),N220=""),"",N220-(INT($Y220/18)+IF(INDEX('Tournament Setup'!$AL:$AL,MATCH($A220,'Tournament Setup'!$A:$A,0))&lt;=MOD($Y220,18),1,0)))</f>
      </c>
      <c r="AI220" t="e">
        <f>IF(OR(OR($A220="",$D220=""),O220=""),"",O220-(INT($Y220/18)+IF(INDEX('Tournament Setup'!$AM:$AM,MATCH($A220,'Tournament Setup'!$A:$A,0))&lt;=MOD($Y220,18),1,0)))</f>
      </c>
      <c r="AJ220" t="e">
        <f>IF(OR(OR($A220="",$D220=""),P220=""),"",P220-(INT($Y220/18)+IF(INDEX('Tournament Setup'!$AN:$AN,MATCH($A220,'Tournament Setup'!$A:$A,0))&lt;=MOD($Y220,18),1,0)))</f>
      </c>
      <c r="AK220" t="e">
        <f>IF(OR(OR($A220="",$D220=""),Q220=""),"",Q220-(INT($Y220/18)+IF(INDEX('Tournament Setup'!$AO:$AO,MATCH($A220,'Tournament Setup'!$A:$A,0))&lt;=MOD($Y220,18),1,0)))</f>
      </c>
      <c r="AL220" t="e">
        <f>IF(OR(OR($A220="",$D220=""),R220=""),"",R220-(INT($Y220/18)+IF(INDEX('Tournament Setup'!$AP:$AP,MATCH($A220,'Tournament Setup'!$A:$A,0))&lt;=MOD($Y220,18),1,0)))</f>
      </c>
      <c r="AM220" t="e">
        <f>IF(OR(OR($A220="",$D220=""),S220=""),"",S220-(INT($Y220/18)+IF(INDEX('Tournament Setup'!$AQ:$AQ,MATCH($A220,'Tournament Setup'!$A:$A,0))&lt;=MOD($Y220,18),1,0)))</f>
      </c>
      <c r="AN220" t="e">
        <f>IF(OR(OR($A220="",$D220=""),T220=""),"",T220-(INT($Y220/18)+IF(INDEX('Tournament Setup'!$AR:$AR,MATCH($A220,'Tournament Setup'!$A:$A,0))&lt;=MOD($Y220,18),1,0)))</f>
      </c>
      <c r="AO220" t="e">
        <f>IF(OR(OR($A220="",$D220=""),U220=""),"",U220-(INT($Y220/18)+IF(INDEX('Tournament Setup'!$AS:$AS,MATCH($A220,'Tournament Setup'!$A:$A,0))&lt;=MOD($Y220,18),1,0)))</f>
      </c>
      <c r="AP220" t="e">
        <f>IF(OR(OR($A220="",$D220=""),V220=""),"",V220-(INT($Y220/18)+IF(INDEX('Tournament Setup'!$AT:$AT,MATCH($A220,'Tournament Setup'!$A:$A,0))&lt;=MOD($Y220,18),1,0)))</f>
      </c>
      <c r="AQ220" t="e">
        <f>IF(OR(OR($A220="",$D220=""),W220=""),"",W220-(INT($Y220/18)+IF(INDEX('Tournament Setup'!$AU:$AU,MATCH($A220,'Tournament Setup'!$A:$A,0))&lt;=MOD($Y220,18),1,0)))</f>
      </c>
    </row>
    <row r="221">
      <c r="X221" t="e">
        <f>IF(OR($A221="",$D221=""),"",SUM(F221:W221))</f>
      </c>
      <c r="Y221" t="e">
        <f>IF(OR($A221="",$D221=""),"",IF(INDEX('Tournament Setup'!$F:$F,MATCH($A221,'Tournament Setup'!$A:$A,0))="Net",ROUND(($E221-_xlfn.MINIFS($E$2:$E$401,$A$2:$A$401,$A221,$B$2:$B$401,$B221))*INDEX('Tournament Setup'!$G:$G,MATCH($A221,'Tournament Setup'!$A:$A,0))/100,0),0))</f>
      </c>
      <c r="Z221" t="e">
        <f>IF(OR(OR($A221="",$D221=""),F221=""),"",F221-(INT($Y221/18)+IF(INDEX('Tournament Setup'!$AD:$AD,MATCH($A221,'Tournament Setup'!$A:$A,0))&lt;=MOD($Y221,18),1,0)))</f>
      </c>
      <c r="AA221" t="e">
        <f>IF(OR(OR($A221="",$D221=""),G221=""),"",G221-(INT($Y221/18)+IF(INDEX('Tournament Setup'!$AE:$AE,MATCH($A221,'Tournament Setup'!$A:$A,0))&lt;=MOD($Y221,18),1,0)))</f>
      </c>
      <c r="AB221" t="e">
        <f>IF(OR(OR($A221="",$D221=""),H221=""),"",H221-(INT($Y221/18)+IF(INDEX('Tournament Setup'!$AF:$AF,MATCH($A221,'Tournament Setup'!$A:$A,0))&lt;=MOD($Y221,18),1,0)))</f>
      </c>
      <c r="AC221" t="e">
        <f>IF(OR(OR($A221="",$D221=""),I221=""),"",I221-(INT($Y221/18)+IF(INDEX('Tournament Setup'!$AG:$AG,MATCH($A221,'Tournament Setup'!$A:$A,0))&lt;=MOD($Y221,18),1,0)))</f>
      </c>
      <c r="AD221" t="e">
        <f>IF(OR(OR($A221="",$D221=""),J221=""),"",J221-(INT($Y221/18)+IF(INDEX('Tournament Setup'!$AH:$AH,MATCH($A221,'Tournament Setup'!$A:$A,0))&lt;=MOD($Y221,18),1,0)))</f>
      </c>
      <c r="AE221" t="e">
        <f>IF(OR(OR($A221="",$D221=""),K221=""),"",K221-(INT($Y221/18)+IF(INDEX('Tournament Setup'!$AI:$AI,MATCH($A221,'Tournament Setup'!$A:$A,0))&lt;=MOD($Y221,18),1,0)))</f>
      </c>
      <c r="AF221" t="e">
        <f>IF(OR(OR($A221="",$D221=""),L221=""),"",L221-(INT($Y221/18)+IF(INDEX('Tournament Setup'!$AJ:$AJ,MATCH($A221,'Tournament Setup'!$A:$A,0))&lt;=MOD($Y221,18),1,0)))</f>
      </c>
      <c r="AG221" t="e">
        <f>IF(OR(OR($A221="",$D221=""),M221=""),"",M221-(INT($Y221/18)+IF(INDEX('Tournament Setup'!$AK:$AK,MATCH($A221,'Tournament Setup'!$A:$A,0))&lt;=MOD($Y221,18),1,0)))</f>
      </c>
      <c r="AH221" t="e">
        <f>IF(OR(OR($A221="",$D221=""),N221=""),"",N221-(INT($Y221/18)+IF(INDEX('Tournament Setup'!$AL:$AL,MATCH($A221,'Tournament Setup'!$A:$A,0))&lt;=MOD($Y221,18),1,0)))</f>
      </c>
      <c r="AI221" t="e">
        <f>IF(OR(OR($A221="",$D221=""),O221=""),"",O221-(INT($Y221/18)+IF(INDEX('Tournament Setup'!$AM:$AM,MATCH($A221,'Tournament Setup'!$A:$A,0))&lt;=MOD($Y221,18),1,0)))</f>
      </c>
      <c r="AJ221" t="e">
        <f>IF(OR(OR($A221="",$D221=""),P221=""),"",P221-(INT($Y221/18)+IF(INDEX('Tournament Setup'!$AN:$AN,MATCH($A221,'Tournament Setup'!$A:$A,0))&lt;=MOD($Y221,18),1,0)))</f>
      </c>
      <c r="AK221" t="e">
        <f>IF(OR(OR($A221="",$D221=""),Q221=""),"",Q221-(INT($Y221/18)+IF(INDEX('Tournament Setup'!$AO:$AO,MATCH($A221,'Tournament Setup'!$A:$A,0))&lt;=MOD($Y221,18),1,0)))</f>
      </c>
      <c r="AL221" t="e">
        <f>IF(OR(OR($A221="",$D221=""),R221=""),"",R221-(INT($Y221/18)+IF(INDEX('Tournament Setup'!$AP:$AP,MATCH($A221,'Tournament Setup'!$A:$A,0))&lt;=MOD($Y221,18),1,0)))</f>
      </c>
      <c r="AM221" t="e">
        <f>IF(OR(OR($A221="",$D221=""),S221=""),"",S221-(INT($Y221/18)+IF(INDEX('Tournament Setup'!$AQ:$AQ,MATCH($A221,'Tournament Setup'!$A:$A,0))&lt;=MOD($Y221,18),1,0)))</f>
      </c>
      <c r="AN221" t="e">
        <f>IF(OR(OR($A221="",$D221=""),T221=""),"",T221-(INT($Y221/18)+IF(INDEX('Tournament Setup'!$AR:$AR,MATCH($A221,'Tournament Setup'!$A:$A,0))&lt;=MOD($Y221,18),1,0)))</f>
      </c>
      <c r="AO221" t="e">
        <f>IF(OR(OR($A221="",$D221=""),U221=""),"",U221-(INT($Y221/18)+IF(INDEX('Tournament Setup'!$AS:$AS,MATCH($A221,'Tournament Setup'!$A:$A,0))&lt;=MOD($Y221,18),1,0)))</f>
      </c>
      <c r="AP221" t="e">
        <f>IF(OR(OR($A221="",$D221=""),V221=""),"",V221-(INT($Y221/18)+IF(INDEX('Tournament Setup'!$AT:$AT,MATCH($A221,'Tournament Setup'!$A:$A,0))&lt;=MOD($Y221,18),1,0)))</f>
      </c>
      <c r="AQ221" t="e">
        <f>IF(OR(OR($A221="",$D221=""),W221=""),"",W221-(INT($Y221/18)+IF(INDEX('Tournament Setup'!$AU:$AU,MATCH($A221,'Tournament Setup'!$A:$A,0))&lt;=MOD($Y221,18),1,0)))</f>
      </c>
    </row>
    <row r="222">
      <c r="X222" t="e">
        <f>IF(OR($A222="",$D222=""),"",SUM(F222:W222))</f>
      </c>
      <c r="Y222" t="e">
        <f>IF(OR($A222="",$D222=""),"",IF(INDEX('Tournament Setup'!$F:$F,MATCH($A222,'Tournament Setup'!$A:$A,0))="Net",ROUND(($E222-_xlfn.MINIFS($E$2:$E$401,$A$2:$A$401,$A222,$B$2:$B$401,$B222))*INDEX('Tournament Setup'!$G:$G,MATCH($A222,'Tournament Setup'!$A:$A,0))/100,0),0))</f>
      </c>
      <c r="Z222" t="e">
        <f>IF(OR(OR($A222="",$D222=""),F222=""),"",F222-(INT($Y222/18)+IF(INDEX('Tournament Setup'!$AD:$AD,MATCH($A222,'Tournament Setup'!$A:$A,0))&lt;=MOD($Y222,18),1,0)))</f>
      </c>
      <c r="AA222" t="e">
        <f>IF(OR(OR($A222="",$D222=""),G222=""),"",G222-(INT($Y222/18)+IF(INDEX('Tournament Setup'!$AE:$AE,MATCH($A222,'Tournament Setup'!$A:$A,0))&lt;=MOD($Y222,18),1,0)))</f>
      </c>
      <c r="AB222" t="e">
        <f>IF(OR(OR($A222="",$D222=""),H222=""),"",H222-(INT($Y222/18)+IF(INDEX('Tournament Setup'!$AF:$AF,MATCH($A222,'Tournament Setup'!$A:$A,0))&lt;=MOD($Y222,18),1,0)))</f>
      </c>
      <c r="AC222" t="e">
        <f>IF(OR(OR($A222="",$D222=""),I222=""),"",I222-(INT($Y222/18)+IF(INDEX('Tournament Setup'!$AG:$AG,MATCH($A222,'Tournament Setup'!$A:$A,0))&lt;=MOD($Y222,18),1,0)))</f>
      </c>
      <c r="AD222" t="e">
        <f>IF(OR(OR($A222="",$D222=""),J222=""),"",J222-(INT($Y222/18)+IF(INDEX('Tournament Setup'!$AH:$AH,MATCH($A222,'Tournament Setup'!$A:$A,0))&lt;=MOD($Y222,18),1,0)))</f>
      </c>
      <c r="AE222" t="e">
        <f>IF(OR(OR($A222="",$D222=""),K222=""),"",K222-(INT($Y222/18)+IF(INDEX('Tournament Setup'!$AI:$AI,MATCH($A222,'Tournament Setup'!$A:$A,0))&lt;=MOD($Y222,18),1,0)))</f>
      </c>
      <c r="AF222" t="e">
        <f>IF(OR(OR($A222="",$D222=""),L222=""),"",L222-(INT($Y222/18)+IF(INDEX('Tournament Setup'!$AJ:$AJ,MATCH($A222,'Tournament Setup'!$A:$A,0))&lt;=MOD($Y222,18),1,0)))</f>
      </c>
      <c r="AG222" t="e">
        <f>IF(OR(OR($A222="",$D222=""),M222=""),"",M222-(INT($Y222/18)+IF(INDEX('Tournament Setup'!$AK:$AK,MATCH($A222,'Tournament Setup'!$A:$A,0))&lt;=MOD($Y222,18),1,0)))</f>
      </c>
      <c r="AH222" t="e">
        <f>IF(OR(OR($A222="",$D222=""),N222=""),"",N222-(INT($Y222/18)+IF(INDEX('Tournament Setup'!$AL:$AL,MATCH($A222,'Tournament Setup'!$A:$A,0))&lt;=MOD($Y222,18),1,0)))</f>
      </c>
      <c r="AI222" t="e">
        <f>IF(OR(OR($A222="",$D222=""),O222=""),"",O222-(INT($Y222/18)+IF(INDEX('Tournament Setup'!$AM:$AM,MATCH($A222,'Tournament Setup'!$A:$A,0))&lt;=MOD($Y222,18),1,0)))</f>
      </c>
      <c r="AJ222" t="e">
        <f>IF(OR(OR($A222="",$D222=""),P222=""),"",P222-(INT($Y222/18)+IF(INDEX('Tournament Setup'!$AN:$AN,MATCH($A222,'Tournament Setup'!$A:$A,0))&lt;=MOD($Y222,18),1,0)))</f>
      </c>
      <c r="AK222" t="e">
        <f>IF(OR(OR($A222="",$D222=""),Q222=""),"",Q222-(INT($Y222/18)+IF(INDEX('Tournament Setup'!$AO:$AO,MATCH($A222,'Tournament Setup'!$A:$A,0))&lt;=MOD($Y222,18),1,0)))</f>
      </c>
      <c r="AL222" t="e">
        <f>IF(OR(OR($A222="",$D222=""),R222=""),"",R222-(INT($Y222/18)+IF(INDEX('Tournament Setup'!$AP:$AP,MATCH($A222,'Tournament Setup'!$A:$A,0))&lt;=MOD($Y222,18),1,0)))</f>
      </c>
      <c r="AM222" t="e">
        <f>IF(OR(OR($A222="",$D222=""),S222=""),"",S222-(INT($Y222/18)+IF(INDEX('Tournament Setup'!$AQ:$AQ,MATCH($A222,'Tournament Setup'!$A:$A,0))&lt;=MOD($Y222,18),1,0)))</f>
      </c>
      <c r="AN222" t="e">
        <f>IF(OR(OR($A222="",$D222=""),T222=""),"",T222-(INT($Y222/18)+IF(INDEX('Tournament Setup'!$AR:$AR,MATCH($A222,'Tournament Setup'!$A:$A,0))&lt;=MOD($Y222,18),1,0)))</f>
      </c>
      <c r="AO222" t="e">
        <f>IF(OR(OR($A222="",$D222=""),U222=""),"",U222-(INT($Y222/18)+IF(INDEX('Tournament Setup'!$AS:$AS,MATCH($A222,'Tournament Setup'!$A:$A,0))&lt;=MOD($Y222,18),1,0)))</f>
      </c>
      <c r="AP222" t="e">
        <f>IF(OR(OR($A222="",$D222=""),V222=""),"",V222-(INT($Y222/18)+IF(INDEX('Tournament Setup'!$AT:$AT,MATCH($A222,'Tournament Setup'!$A:$A,0))&lt;=MOD($Y222,18),1,0)))</f>
      </c>
      <c r="AQ222" t="e">
        <f>IF(OR(OR($A222="",$D222=""),W222=""),"",W222-(INT($Y222/18)+IF(INDEX('Tournament Setup'!$AU:$AU,MATCH($A222,'Tournament Setup'!$A:$A,0))&lt;=MOD($Y222,18),1,0)))</f>
      </c>
    </row>
    <row r="223">
      <c r="X223" t="e">
        <f>IF(OR($A223="",$D223=""),"",SUM(F223:W223))</f>
      </c>
      <c r="Y223" t="e">
        <f>IF(OR($A223="",$D223=""),"",IF(INDEX('Tournament Setup'!$F:$F,MATCH($A223,'Tournament Setup'!$A:$A,0))="Net",ROUND(($E223-_xlfn.MINIFS($E$2:$E$401,$A$2:$A$401,$A223,$B$2:$B$401,$B223))*INDEX('Tournament Setup'!$G:$G,MATCH($A223,'Tournament Setup'!$A:$A,0))/100,0),0))</f>
      </c>
      <c r="Z223" t="e">
        <f>IF(OR(OR($A223="",$D223=""),F223=""),"",F223-(INT($Y223/18)+IF(INDEX('Tournament Setup'!$AD:$AD,MATCH($A223,'Tournament Setup'!$A:$A,0))&lt;=MOD($Y223,18),1,0)))</f>
      </c>
      <c r="AA223" t="e">
        <f>IF(OR(OR($A223="",$D223=""),G223=""),"",G223-(INT($Y223/18)+IF(INDEX('Tournament Setup'!$AE:$AE,MATCH($A223,'Tournament Setup'!$A:$A,0))&lt;=MOD($Y223,18),1,0)))</f>
      </c>
      <c r="AB223" t="e">
        <f>IF(OR(OR($A223="",$D223=""),H223=""),"",H223-(INT($Y223/18)+IF(INDEX('Tournament Setup'!$AF:$AF,MATCH($A223,'Tournament Setup'!$A:$A,0))&lt;=MOD($Y223,18),1,0)))</f>
      </c>
      <c r="AC223" t="e">
        <f>IF(OR(OR($A223="",$D223=""),I223=""),"",I223-(INT($Y223/18)+IF(INDEX('Tournament Setup'!$AG:$AG,MATCH($A223,'Tournament Setup'!$A:$A,0))&lt;=MOD($Y223,18),1,0)))</f>
      </c>
      <c r="AD223" t="e">
        <f>IF(OR(OR($A223="",$D223=""),J223=""),"",J223-(INT($Y223/18)+IF(INDEX('Tournament Setup'!$AH:$AH,MATCH($A223,'Tournament Setup'!$A:$A,0))&lt;=MOD($Y223,18),1,0)))</f>
      </c>
      <c r="AE223" t="e">
        <f>IF(OR(OR($A223="",$D223=""),K223=""),"",K223-(INT($Y223/18)+IF(INDEX('Tournament Setup'!$AI:$AI,MATCH($A223,'Tournament Setup'!$A:$A,0))&lt;=MOD($Y223,18),1,0)))</f>
      </c>
      <c r="AF223" t="e">
        <f>IF(OR(OR($A223="",$D223=""),L223=""),"",L223-(INT($Y223/18)+IF(INDEX('Tournament Setup'!$AJ:$AJ,MATCH($A223,'Tournament Setup'!$A:$A,0))&lt;=MOD($Y223,18),1,0)))</f>
      </c>
      <c r="AG223" t="e">
        <f>IF(OR(OR($A223="",$D223=""),M223=""),"",M223-(INT($Y223/18)+IF(INDEX('Tournament Setup'!$AK:$AK,MATCH($A223,'Tournament Setup'!$A:$A,0))&lt;=MOD($Y223,18),1,0)))</f>
      </c>
      <c r="AH223" t="e">
        <f>IF(OR(OR($A223="",$D223=""),N223=""),"",N223-(INT($Y223/18)+IF(INDEX('Tournament Setup'!$AL:$AL,MATCH($A223,'Tournament Setup'!$A:$A,0))&lt;=MOD($Y223,18),1,0)))</f>
      </c>
      <c r="AI223" t="e">
        <f>IF(OR(OR($A223="",$D223=""),O223=""),"",O223-(INT($Y223/18)+IF(INDEX('Tournament Setup'!$AM:$AM,MATCH($A223,'Tournament Setup'!$A:$A,0))&lt;=MOD($Y223,18),1,0)))</f>
      </c>
      <c r="AJ223" t="e">
        <f>IF(OR(OR($A223="",$D223=""),P223=""),"",P223-(INT($Y223/18)+IF(INDEX('Tournament Setup'!$AN:$AN,MATCH($A223,'Tournament Setup'!$A:$A,0))&lt;=MOD($Y223,18),1,0)))</f>
      </c>
      <c r="AK223" t="e">
        <f>IF(OR(OR($A223="",$D223=""),Q223=""),"",Q223-(INT($Y223/18)+IF(INDEX('Tournament Setup'!$AO:$AO,MATCH($A223,'Tournament Setup'!$A:$A,0))&lt;=MOD($Y223,18),1,0)))</f>
      </c>
      <c r="AL223" t="e">
        <f>IF(OR(OR($A223="",$D223=""),R223=""),"",R223-(INT($Y223/18)+IF(INDEX('Tournament Setup'!$AP:$AP,MATCH($A223,'Tournament Setup'!$A:$A,0))&lt;=MOD($Y223,18),1,0)))</f>
      </c>
      <c r="AM223" t="e">
        <f>IF(OR(OR($A223="",$D223=""),S223=""),"",S223-(INT($Y223/18)+IF(INDEX('Tournament Setup'!$AQ:$AQ,MATCH($A223,'Tournament Setup'!$A:$A,0))&lt;=MOD($Y223,18),1,0)))</f>
      </c>
      <c r="AN223" t="e">
        <f>IF(OR(OR($A223="",$D223=""),T223=""),"",T223-(INT($Y223/18)+IF(INDEX('Tournament Setup'!$AR:$AR,MATCH($A223,'Tournament Setup'!$A:$A,0))&lt;=MOD($Y223,18),1,0)))</f>
      </c>
      <c r="AO223" t="e">
        <f>IF(OR(OR($A223="",$D223=""),U223=""),"",U223-(INT($Y223/18)+IF(INDEX('Tournament Setup'!$AS:$AS,MATCH($A223,'Tournament Setup'!$A:$A,0))&lt;=MOD($Y223,18),1,0)))</f>
      </c>
      <c r="AP223" t="e">
        <f>IF(OR(OR($A223="",$D223=""),V223=""),"",V223-(INT($Y223/18)+IF(INDEX('Tournament Setup'!$AT:$AT,MATCH($A223,'Tournament Setup'!$A:$A,0))&lt;=MOD($Y223,18),1,0)))</f>
      </c>
      <c r="AQ223" t="e">
        <f>IF(OR(OR($A223="",$D223=""),W223=""),"",W223-(INT($Y223/18)+IF(INDEX('Tournament Setup'!$AU:$AU,MATCH($A223,'Tournament Setup'!$A:$A,0))&lt;=MOD($Y223,18),1,0)))</f>
      </c>
    </row>
    <row r="224">
      <c r="X224" t="e">
        <f>IF(OR($A224="",$D224=""),"",SUM(F224:W224))</f>
      </c>
      <c r="Y224" t="e">
        <f>IF(OR($A224="",$D224=""),"",IF(INDEX('Tournament Setup'!$F:$F,MATCH($A224,'Tournament Setup'!$A:$A,0))="Net",ROUND(($E224-_xlfn.MINIFS($E$2:$E$401,$A$2:$A$401,$A224,$B$2:$B$401,$B224))*INDEX('Tournament Setup'!$G:$G,MATCH($A224,'Tournament Setup'!$A:$A,0))/100,0),0))</f>
      </c>
      <c r="Z224" t="e">
        <f>IF(OR(OR($A224="",$D224=""),F224=""),"",F224-(INT($Y224/18)+IF(INDEX('Tournament Setup'!$AD:$AD,MATCH($A224,'Tournament Setup'!$A:$A,0))&lt;=MOD($Y224,18),1,0)))</f>
      </c>
      <c r="AA224" t="e">
        <f>IF(OR(OR($A224="",$D224=""),G224=""),"",G224-(INT($Y224/18)+IF(INDEX('Tournament Setup'!$AE:$AE,MATCH($A224,'Tournament Setup'!$A:$A,0))&lt;=MOD($Y224,18),1,0)))</f>
      </c>
      <c r="AB224" t="e">
        <f>IF(OR(OR($A224="",$D224=""),H224=""),"",H224-(INT($Y224/18)+IF(INDEX('Tournament Setup'!$AF:$AF,MATCH($A224,'Tournament Setup'!$A:$A,0))&lt;=MOD($Y224,18),1,0)))</f>
      </c>
      <c r="AC224" t="e">
        <f>IF(OR(OR($A224="",$D224=""),I224=""),"",I224-(INT($Y224/18)+IF(INDEX('Tournament Setup'!$AG:$AG,MATCH($A224,'Tournament Setup'!$A:$A,0))&lt;=MOD($Y224,18),1,0)))</f>
      </c>
      <c r="AD224" t="e">
        <f>IF(OR(OR($A224="",$D224=""),J224=""),"",J224-(INT($Y224/18)+IF(INDEX('Tournament Setup'!$AH:$AH,MATCH($A224,'Tournament Setup'!$A:$A,0))&lt;=MOD($Y224,18),1,0)))</f>
      </c>
      <c r="AE224" t="e">
        <f>IF(OR(OR($A224="",$D224=""),K224=""),"",K224-(INT($Y224/18)+IF(INDEX('Tournament Setup'!$AI:$AI,MATCH($A224,'Tournament Setup'!$A:$A,0))&lt;=MOD($Y224,18),1,0)))</f>
      </c>
      <c r="AF224" t="e">
        <f>IF(OR(OR($A224="",$D224=""),L224=""),"",L224-(INT($Y224/18)+IF(INDEX('Tournament Setup'!$AJ:$AJ,MATCH($A224,'Tournament Setup'!$A:$A,0))&lt;=MOD($Y224,18),1,0)))</f>
      </c>
      <c r="AG224" t="e">
        <f>IF(OR(OR($A224="",$D224=""),M224=""),"",M224-(INT($Y224/18)+IF(INDEX('Tournament Setup'!$AK:$AK,MATCH($A224,'Tournament Setup'!$A:$A,0))&lt;=MOD($Y224,18),1,0)))</f>
      </c>
      <c r="AH224" t="e">
        <f>IF(OR(OR($A224="",$D224=""),N224=""),"",N224-(INT($Y224/18)+IF(INDEX('Tournament Setup'!$AL:$AL,MATCH($A224,'Tournament Setup'!$A:$A,0))&lt;=MOD($Y224,18),1,0)))</f>
      </c>
      <c r="AI224" t="e">
        <f>IF(OR(OR($A224="",$D224=""),O224=""),"",O224-(INT($Y224/18)+IF(INDEX('Tournament Setup'!$AM:$AM,MATCH($A224,'Tournament Setup'!$A:$A,0))&lt;=MOD($Y224,18),1,0)))</f>
      </c>
      <c r="AJ224" t="e">
        <f>IF(OR(OR($A224="",$D224=""),P224=""),"",P224-(INT($Y224/18)+IF(INDEX('Tournament Setup'!$AN:$AN,MATCH($A224,'Tournament Setup'!$A:$A,0))&lt;=MOD($Y224,18),1,0)))</f>
      </c>
      <c r="AK224" t="e">
        <f>IF(OR(OR($A224="",$D224=""),Q224=""),"",Q224-(INT($Y224/18)+IF(INDEX('Tournament Setup'!$AO:$AO,MATCH($A224,'Tournament Setup'!$A:$A,0))&lt;=MOD($Y224,18),1,0)))</f>
      </c>
      <c r="AL224" t="e">
        <f>IF(OR(OR($A224="",$D224=""),R224=""),"",R224-(INT($Y224/18)+IF(INDEX('Tournament Setup'!$AP:$AP,MATCH($A224,'Tournament Setup'!$A:$A,0))&lt;=MOD($Y224,18),1,0)))</f>
      </c>
      <c r="AM224" t="e">
        <f>IF(OR(OR($A224="",$D224=""),S224=""),"",S224-(INT($Y224/18)+IF(INDEX('Tournament Setup'!$AQ:$AQ,MATCH($A224,'Tournament Setup'!$A:$A,0))&lt;=MOD($Y224,18),1,0)))</f>
      </c>
      <c r="AN224" t="e">
        <f>IF(OR(OR($A224="",$D224=""),T224=""),"",T224-(INT($Y224/18)+IF(INDEX('Tournament Setup'!$AR:$AR,MATCH($A224,'Tournament Setup'!$A:$A,0))&lt;=MOD($Y224,18),1,0)))</f>
      </c>
      <c r="AO224" t="e">
        <f>IF(OR(OR($A224="",$D224=""),U224=""),"",U224-(INT($Y224/18)+IF(INDEX('Tournament Setup'!$AS:$AS,MATCH($A224,'Tournament Setup'!$A:$A,0))&lt;=MOD($Y224,18),1,0)))</f>
      </c>
      <c r="AP224" t="e">
        <f>IF(OR(OR($A224="",$D224=""),V224=""),"",V224-(INT($Y224/18)+IF(INDEX('Tournament Setup'!$AT:$AT,MATCH($A224,'Tournament Setup'!$A:$A,0))&lt;=MOD($Y224,18),1,0)))</f>
      </c>
      <c r="AQ224" t="e">
        <f>IF(OR(OR($A224="",$D224=""),W224=""),"",W224-(INT($Y224/18)+IF(INDEX('Tournament Setup'!$AU:$AU,MATCH($A224,'Tournament Setup'!$A:$A,0))&lt;=MOD($Y224,18),1,0)))</f>
      </c>
    </row>
    <row r="225">
      <c r="X225" t="e">
        <f>IF(OR($A225="",$D225=""),"",SUM(F225:W225))</f>
      </c>
      <c r="Y225" t="e">
        <f>IF(OR($A225="",$D225=""),"",IF(INDEX('Tournament Setup'!$F:$F,MATCH($A225,'Tournament Setup'!$A:$A,0))="Net",ROUND(($E225-_xlfn.MINIFS($E$2:$E$401,$A$2:$A$401,$A225,$B$2:$B$401,$B225))*INDEX('Tournament Setup'!$G:$G,MATCH($A225,'Tournament Setup'!$A:$A,0))/100,0),0))</f>
      </c>
      <c r="Z225" t="e">
        <f>IF(OR(OR($A225="",$D225=""),F225=""),"",F225-(INT($Y225/18)+IF(INDEX('Tournament Setup'!$AD:$AD,MATCH($A225,'Tournament Setup'!$A:$A,0))&lt;=MOD($Y225,18),1,0)))</f>
      </c>
      <c r="AA225" t="e">
        <f>IF(OR(OR($A225="",$D225=""),G225=""),"",G225-(INT($Y225/18)+IF(INDEX('Tournament Setup'!$AE:$AE,MATCH($A225,'Tournament Setup'!$A:$A,0))&lt;=MOD($Y225,18),1,0)))</f>
      </c>
      <c r="AB225" t="e">
        <f>IF(OR(OR($A225="",$D225=""),H225=""),"",H225-(INT($Y225/18)+IF(INDEX('Tournament Setup'!$AF:$AF,MATCH($A225,'Tournament Setup'!$A:$A,0))&lt;=MOD($Y225,18),1,0)))</f>
      </c>
      <c r="AC225" t="e">
        <f>IF(OR(OR($A225="",$D225=""),I225=""),"",I225-(INT($Y225/18)+IF(INDEX('Tournament Setup'!$AG:$AG,MATCH($A225,'Tournament Setup'!$A:$A,0))&lt;=MOD($Y225,18),1,0)))</f>
      </c>
      <c r="AD225" t="e">
        <f>IF(OR(OR($A225="",$D225=""),J225=""),"",J225-(INT($Y225/18)+IF(INDEX('Tournament Setup'!$AH:$AH,MATCH($A225,'Tournament Setup'!$A:$A,0))&lt;=MOD($Y225,18),1,0)))</f>
      </c>
      <c r="AE225" t="e">
        <f>IF(OR(OR($A225="",$D225=""),K225=""),"",K225-(INT($Y225/18)+IF(INDEX('Tournament Setup'!$AI:$AI,MATCH($A225,'Tournament Setup'!$A:$A,0))&lt;=MOD($Y225,18),1,0)))</f>
      </c>
      <c r="AF225" t="e">
        <f>IF(OR(OR($A225="",$D225=""),L225=""),"",L225-(INT($Y225/18)+IF(INDEX('Tournament Setup'!$AJ:$AJ,MATCH($A225,'Tournament Setup'!$A:$A,0))&lt;=MOD($Y225,18),1,0)))</f>
      </c>
      <c r="AG225" t="e">
        <f>IF(OR(OR($A225="",$D225=""),M225=""),"",M225-(INT($Y225/18)+IF(INDEX('Tournament Setup'!$AK:$AK,MATCH($A225,'Tournament Setup'!$A:$A,0))&lt;=MOD($Y225,18),1,0)))</f>
      </c>
      <c r="AH225" t="e">
        <f>IF(OR(OR($A225="",$D225=""),N225=""),"",N225-(INT($Y225/18)+IF(INDEX('Tournament Setup'!$AL:$AL,MATCH($A225,'Tournament Setup'!$A:$A,0))&lt;=MOD($Y225,18),1,0)))</f>
      </c>
      <c r="AI225" t="e">
        <f>IF(OR(OR($A225="",$D225=""),O225=""),"",O225-(INT($Y225/18)+IF(INDEX('Tournament Setup'!$AM:$AM,MATCH($A225,'Tournament Setup'!$A:$A,0))&lt;=MOD($Y225,18),1,0)))</f>
      </c>
      <c r="AJ225" t="e">
        <f>IF(OR(OR($A225="",$D225=""),P225=""),"",P225-(INT($Y225/18)+IF(INDEX('Tournament Setup'!$AN:$AN,MATCH($A225,'Tournament Setup'!$A:$A,0))&lt;=MOD($Y225,18),1,0)))</f>
      </c>
      <c r="AK225" t="e">
        <f>IF(OR(OR($A225="",$D225=""),Q225=""),"",Q225-(INT($Y225/18)+IF(INDEX('Tournament Setup'!$AO:$AO,MATCH($A225,'Tournament Setup'!$A:$A,0))&lt;=MOD($Y225,18),1,0)))</f>
      </c>
      <c r="AL225" t="e">
        <f>IF(OR(OR($A225="",$D225=""),R225=""),"",R225-(INT($Y225/18)+IF(INDEX('Tournament Setup'!$AP:$AP,MATCH($A225,'Tournament Setup'!$A:$A,0))&lt;=MOD($Y225,18),1,0)))</f>
      </c>
      <c r="AM225" t="e">
        <f>IF(OR(OR($A225="",$D225=""),S225=""),"",S225-(INT($Y225/18)+IF(INDEX('Tournament Setup'!$AQ:$AQ,MATCH($A225,'Tournament Setup'!$A:$A,0))&lt;=MOD($Y225,18),1,0)))</f>
      </c>
      <c r="AN225" t="e">
        <f>IF(OR(OR($A225="",$D225=""),T225=""),"",T225-(INT($Y225/18)+IF(INDEX('Tournament Setup'!$AR:$AR,MATCH($A225,'Tournament Setup'!$A:$A,0))&lt;=MOD($Y225,18),1,0)))</f>
      </c>
      <c r="AO225" t="e">
        <f>IF(OR(OR($A225="",$D225=""),U225=""),"",U225-(INT($Y225/18)+IF(INDEX('Tournament Setup'!$AS:$AS,MATCH($A225,'Tournament Setup'!$A:$A,0))&lt;=MOD($Y225,18),1,0)))</f>
      </c>
      <c r="AP225" t="e">
        <f>IF(OR(OR($A225="",$D225=""),V225=""),"",V225-(INT($Y225/18)+IF(INDEX('Tournament Setup'!$AT:$AT,MATCH($A225,'Tournament Setup'!$A:$A,0))&lt;=MOD($Y225,18),1,0)))</f>
      </c>
      <c r="AQ225" t="e">
        <f>IF(OR(OR($A225="",$D225=""),W225=""),"",W225-(INT($Y225/18)+IF(INDEX('Tournament Setup'!$AU:$AU,MATCH($A225,'Tournament Setup'!$A:$A,0))&lt;=MOD($Y225,18),1,0)))</f>
      </c>
    </row>
    <row r="226">
      <c r="X226" t="e">
        <f>IF(OR($A226="",$D226=""),"",SUM(F226:W226))</f>
      </c>
      <c r="Y226" t="e">
        <f>IF(OR($A226="",$D226=""),"",IF(INDEX('Tournament Setup'!$F:$F,MATCH($A226,'Tournament Setup'!$A:$A,0))="Net",ROUND(($E226-_xlfn.MINIFS($E$2:$E$401,$A$2:$A$401,$A226,$B$2:$B$401,$B226))*INDEX('Tournament Setup'!$G:$G,MATCH($A226,'Tournament Setup'!$A:$A,0))/100,0),0))</f>
      </c>
      <c r="Z226" t="e">
        <f>IF(OR(OR($A226="",$D226=""),F226=""),"",F226-(INT($Y226/18)+IF(INDEX('Tournament Setup'!$AD:$AD,MATCH($A226,'Tournament Setup'!$A:$A,0))&lt;=MOD($Y226,18),1,0)))</f>
      </c>
      <c r="AA226" t="e">
        <f>IF(OR(OR($A226="",$D226=""),G226=""),"",G226-(INT($Y226/18)+IF(INDEX('Tournament Setup'!$AE:$AE,MATCH($A226,'Tournament Setup'!$A:$A,0))&lt;=MOD($Y226,18),1,0)))</f>
      </c>
      <c r="AB226" t="e">
        <f>IF(OR(OR($A226="",$D226=""),H226=""),"",H226-(INT($Y226/18)+IF(INDEX('Tournament Setup'!$AF:$AF,MATCH($A226,'Tournament Setup'!$A:$A,0))&lt;=MOD($Y226,18),1,0)))</f>
      </c>
      <c r="AC226" t="e">
        <f>IF(OR(OR($A226="",$D226=""),I226=""),"",I226-(INT($Y226/18)+IF(INDEX('Tournament Setup'!$AG:$AG,MATCH($A226,'Tournament Setup'!$A:$A,0))&lt;=MOD($Y226,18),1,0)))</f>
      </c>
      <c r="AD226" t="e">
        <f>IF(OR(OR($A226="",$D226=""),J226=""),"",J226-(INT($Y226/18)+IF(INDEX('Tournament Setup'!$AH:$AH,MATCH($A226,'Tournament Setup'!$A:$A,0))&lt;=MOD($Y226,18),1,0)))</f>
      </c>
      <c r="AE226" t="e">
        <f>IF(OR(OR($A226="",$D226=""),K226=""),"",K226-(INT($Y226/18)+IF(INDEX('Tournament Setup'!$AI:$AI,MATCH($A226,'Tournament Setup'!$A:$A,0))&lt;=MOD($Y226,18),1,0)))</f>
      </c>
      <c r="AF226" t="e">
        <f>IF(OR(OR($A226="",$D226=""),L226=""),"",L226-(INT($Y226/18)+IF(INDEX('Tournament Setup'!$AJ:$AJ,MATCH($A226,'Tournament Setup'!$A:$A,0))&lt;=MOD($Y226,18),1,0)))</f>
      </c>
      <c r="AG226" t="e">
        <f>IF(OR(OR($A226="",$D226=""),M226=""),"",M226-(INT($Y226/18)+IF(INDEX('Tournament Setup'!$AK:$AK,MATCH($A226,'Tournament Setup'!$A:$A,0))&lt;=MOD($Y226,18),1,0)))</f>
      </c>
      <c r="AH226" t="e">
        <f>IF(OR(OR($A226="",$D226=""),N226=""),"",N226-(INT($Y226/18)+IF(INDEX('Tournament Setup'!$AL:$AL,MATCH($A226,'Tournament Setup'!$A:$A,0))&lt;=MOD($Y226,18),1,0)))</f>
      </c>
      <c r="AI226" t="e">
        <f>IF(OR(OR($A226="",$D226=""),O226=""),"",O226-(INT($Y226/18)+IF(INDEX('Tournament Setup'!$AM:$AM,MATCH($A226,'Tournament Setup'!$A:$A,0))&lt;=MOD($Y226,18),1,0)))</f>
      </c>
      <c r="AJ226" t="e">
        <f>IF(OR(OR($A226="",$D226=""),P226=""),"",P226-(INT($Y226/18)+IF(INDEX('Tournament Setup'!$AN:$AN,MATCH($A226,'Tournament Setup'!$A:$A,0))&lt;=MOD($Y226,18),1,0)))</f>
      </c>
      <c r="AK226" t="e">
        <f>IF(OR(OR($A226="",$D226=""),Q226=""),"",Q226-(INT($Y226/18)+IF(INDEX('Tournament Setup'!$AO:$AO,MATCH($A226,'Tournament Setup'!$A:$A,0))&lt;=MOD($Y226,18),1,0)))</f>
      </c>
      <c r="AL226" t="e">
        <f>IF(OR(OR($A226="",$D226=""),R226=""),"",R226-(INT($Y226/18)+IF(INDEX('Tournament Setup'!$AP:$AP,MATCH($A226,'Tournament Setup'!$A:$A,0))&lt;=MOD($Y226,18),1,0)))</f>
      </c>
      <c r="AM226" t="e">
        <f>IF(OR(OR($A226="",$D226=""),S226=""),"",S226-(INT($Y226/18)+IF(INDEX('Tournament Setup'!$AQ:$AQ,MATCH($A226,'Tournament Setup'!$A:$A,0))&lt;=MOD($Y226,18),1,0)))</f>
      </c>
      <c r="AN226" t="e">
        <f>IF(OR(OR($A226="",$D226=""),T226=""),"",T226-(INT($Y226/18)+IF(INDEX('Tournament Setup'!$AR:$AR,MATCH($A226,'Tournament Setup'!$A:$A,0))&lt;=MOD($Y226,18),1,0)))</f>
      </c>
      <c r="AO226" t="e">
        <f>IF(OR(OR($A226="",$D226=""),U226=""),"",U226-(INT($Y226/18)+IF(INDEX('Tournament Setup'!$AS:$AS,MATCH($A226,'Tournament Setup'!$A:$A,0))&lt;=MOD($Y226,18),1,0)))</f>
      </c>
      <c r="AP226" t="e">
        <f>IF(OR(OR($A226="",$D226=""),V226=""),"",V226-(INT($Y226/18)+IF(INDEX('Tournament Setup'!$AT:$AT,MATCH($A226,'Tournament Setup'!$A:$A,0))&lt;=MOD($Y226,18),1,0)))</f>
      </c>
      <c r="AQ226" t="e">
        <f>IF(OR(OR($A226="",$D226=""),W226=""),"",W226-(INT($Y226/18)+IF(INDEX('Tournament Setup'!$AU:$AU,MATCH($A226,'Tournament Setup'!$A:$A,0))&lt;=MOD($Y226,18),1,0)))</f>
      </c>
    </row>
    <row r="227">
      <c r="X227" t="e">
        <f>IF(OR($A227="",$D227=""),"",SUM(F227:W227))</f>
      </c>
      <c r="Y227" t="e">
        <f>IF(OR($A227="",$D227=""),"",IF(INDEX('Tournament Setup'!$F:$F,MATCH($A227,'Tournament Setup'!$A:$A,0))="Net",ROUND(($E227-_xlfn.MINIFS($E$2:$E$401,$A$2:$A$401,$A227,$B$2:$B$401,$B227))*INDEX('Tournament Setup'!$G:$G,MATCH($A227,'Tournament Setup'!$A:$A,0))/100,0),0))</f>
      </c>
      <c r="Z227" t="e">
        <f>IF(OR(OR($A227="",$D227=""),F227=""),"",F227-(INT($Y227/18)+IF(INDEX('Tournament Setup'!$AD:$AD,MATCH($A227,'Tournament Setup'!$A:$A,0))&lt;=MOD($Y227,18),1,0)))</f>
      </c>
      <c r="AA227" t="e">
        <f>IF(OR(OR($A227="",$D227=""),G227=""),"",G227-(INT($Y227/18)+IF(INDEX('Tournament Setup'!$AE:$AE,MATCH($A227,'Tournament Setup'!$A:$A,0))&lt;=MOD($Y227,18),1,0)))</f>
      </c>
      <c r="AB227" t="e">
        <f>IF(OR(OR($A227="",$D227=""),H227=""),"",H227-(INT($Y227/18)+IF(INDEX('Tournament Setup'!$AF:$AF,MATCH($A227,'Tournament Setup'!$A:$A,0))&lt;=MOD($Y227,18),1,0)))</f>
      </c>
      <c r="AC227" t="e">
        <f>IF(OR(OR($A227="",$D227=""),I227=""),"",I227-(INT($Y227/18)+IF(INDEX('Tournament Setup'!$AG:$AG,MATCH($A227,'Tournament Setup'!$A:$A,0))&lt;=MOD($Y227,18),1,0)))</f>
      </c>
      <c r="AD227" t="e">
        <f>IF(OR(OR($A227="",$D227=""),J227=""),"",J227-(INT($Y227/18)+IF(INDEX('Tournament Setup'!$AH:$AH,MATCH($A227,'Tournament Setup'!$A:$A,0))&lt;=MOD($Y227,18),1,0)))</f>
      </c>
      <c r="AE227" t="e">
        <f>IF(OR(OR($A227="",$D227=""),K227=""),"",K227-(INT($Y227/18)+IF(INDEX('Tournament Setup'!$AI:$AI,MATCH($A227,'Tournament Setup'!$A:$A,0))&lt;=MOD($Y227,18),1,0)))</f>
      </c>
      <c r="AF227" t="e">
        <f>IF(OR(OR($A227="",$D227=""),L227=""),"",L227-(INT($Y227/18)+IF(INDEX('Tournament Setup'!$AJ:$AJ,MATCH($A227,'Tournament Setup'!$A:$A,0))&lt;=MOD($Y227,18),1,0)))</f>
      </c>
      <c r="AG227" t="e">
        <f>IF(OR(OR($A227="",$D227=""),M227=""),"",M227-(INT($Y227/18)+IF(INDEX('Tournament Setup'!$AK:$AK,MATCH($A227,'Tournament Setup'!$A:$A,0))&lt;=MOD($Y227,18),1,0)))</f>
      </c>
      <c r="AH227" t="e">
        <f>IF(OR(OR($A227="",$D227=""),N227=""),"",N227-(INT($Y227/18)+IF(INDEX('Tournament Setup'!$AL:$AL,MATCH($A227,'Tournament Setup'!$A:$A,0))&lt;=MOD($Y227,18),1,0)))</f>
      </c>
      <c r="AI227" t="e">
        <f>IF(OR(OR($A227="",$D227=""),O227=""),"",O227-(INT($Y227/18)+IF(INDEX('Tournament Setup'!$AM:$AM,MATCH($A227,'Tournament Setup'!$A:$A,0))&lt;=MOD($Y227,18),1,0)))</f>
      </c>
      <c r="AJ227" t="e">
        <f>IF(OR(OR($A227="",$D227=""),P227=""),"",P227-(INT($Y227/18)+IF(INDEX('Tournament Setup'!$AN:$AN,MATCH($A227,'Tournament Setup'!$A:$A,0))&lt;=MOD($Y227,18),1,0)))</f>
      </c>
      <c r="AK227" t="e">
        <f>IF(OR(OR($A227="",$D227=""),Q227=""),"",Q227-(INT($Y227/18)+IF(INDEX('Tournament Setup'!$AO:$AO,MATCH($A227,'Tournament Setup'!$A:$A,0))&lt;=MOD($Y227,18),1,0)))</f>
      </c>
      <c r="AL227" t="e">
        <f>IF(OR(OR($A227="",$D227=""),R227=""),"",R227-(INT($Y227/18)+IF(INDEX('Tournament Setup'!$AP:$AP,MATCH($A227,'Tournament Setup'!$A:$A,0))&lt;=MOD($Y227,18),1,0)))</f>
      </c>
      <c r="AM227" t="e">
        <f>IF(OR(OR($A227="",$D227=""),S227=""),"",S227-(INT($Y227/18)+IF(INDEX('Tournament Setup'!$AQ:$AQ,MATCH($A227,'Tournament Setup'!$A:$A,0))&lt;=MOD($Y227,18),1,0)))</f>
      </c>
      <c r="AN227" t="e">
        <f>IF(OR(OR($A227="",$D227=""),T227=""),"",T227-(INT($Y227/18)+IF(INDEX('Tournament Setup'!$AR:$AR,MATCH($A227,'Tournament Setup'!$A:$A,0))&lt;=MOD($Y227,18),1,0)))</f>
      </c>
      <c r="AO227" t="e">
        <f>IF(OR(OR($A227="",$D227=""),U227=""),"",U227-(INT($Y227/18)+IF(INDEX('Tournament Setup'!$AS:$AS,MATCH($A227,'Tournament Setup'!$A:$A,0))&lt;=MOD($Y227,18),1,0)))</f>
      </c>
      <c r="AP227" t="e">
        <f>IF(OR(OR($A227="",$D227=""),V227=""),"",V227-(INT($Y227/18)+IF(INDEX('Tournament Setup'!$AT:$AT,MATCH($A227,'Tournament Setup'!$A:$A,0))&lt;=MOD($Y227,18),1,0)))</f>
      </c>
      <c r="AQ227" t="e">
        <f>IF(OR(OR($A227="",$D227=""),W227=""),"",W227-(INT($Y227/18)+IF(INDEX('Tournament Setup'!$AU:$AU,MATCH($A227,'Tournament Setup'!$A:$A,0))&lt;=MOD($Y227,18),1,0)))</f>
      </c>
    </row>
    <row r="228">
      <c r="X228" t="e">
        <f>IF(OR($A228="",$D228=""),"",SUM(F228:W228))</f>
      </c>
      <c r="Y228" t="e">
        <f>IF(OR($A228="",$D228=""),"",IF(INDEX('Tournament Setup'!$F:$F,MATCH($A228,'Tournament Setup'!$A:$A,0))="Net",ROUND(($E228-_xlfn.MINIFS($E$2:$E$401,$A$2:$A$401,$A228,$B$2:$B$401,$B228))*INDEX('Tournament Setup'!$G:$G,MATCH($A228,'Tournament Setup'!$A:$A,0))/100,0),0))</f>
      </c>
      <c r="Z228" t="e">
        <f>IF(OR(OR($A228="",$D228=""),F228=""),"",F228-(INT($Y228/18)+IF(INDEX('Tournament Setup'!$AD:$AD,MATCH($A228,'Tournament Setup'!$A:$A,0))&lt;=MOD($Y228,18),1,0)))</f>
      </c>
      <c r="AA228" t="e">
        <f>IF(OR(OR($A228="",$D228=""),G228=""),"",G228-(INT($Y228/18)+IF(INDEX('Tournament Setup'!$AE:$AE,MATCH($A228,'Tournament Setup'!$A:$A,0))&lt;=MOD($Y228,18),1,0)))</f>
      </c>
      <c r="AB228" t="e">
        <f>IF(OR(OR($A228="",$D228=""),H228=""),"",H228-(INT($Y228/18)+IF(INDEX('Tournament Setup'!$AF:$AF,MATCH($A228,'Tournament Setup'!$A:$A,0))&lt;=MOD($Y228,18),1,0)))</f>
      </c>
      <c r="AC228" t="e">
        <f>IF(OR(OR($A228="",$D228=""),I228=""),"",I228-(INT($Y228/18)+IF(INDEX('Tournament Setup'!$AG:$AG,MATCH($A228,'Tournament Setup'!$A:$A,0))&lt;=MOD($Y228,18),1,0)))</f>
      </c>
      <c r="AD228" t="e">
        <f>IF(OR(OR($A228="",$D228=""),J228=""),"",J228-(INT($Y228/18)+IF(INDEX('Tournament Setup'!$AH:$AH,MATCH($A228,'Tournament Setup'!$A:$A,0))&lt;=MOD($Y228,18),1,0)))</f>
      </c>
      <c r="AE228" t="e">
        <f>IF(OR(OR($A228="",$D228=""),K228=""),"",K228-(INT($Y228/18)+IF(INDEX('Tournament Setup'!$AI:$AI,MATCH($A228,'Tournament Setup'!$A:$A,0))&lt;=MOD($Y228,18),1,0)))</f>
      </c>
      <c r="AF228" t="e">
        <f>IF(OR(OR($A228="",$D228=""),L228=""),"",L228-(INT($Y228/18)+IF(INDEX('Tournament Setup'!$AJ:$AJ,MATCH($A228,'Tournament Setup'!$A:$A,0))&lt;=MOD($Y228,18),1,0)))</f>
      </c>
      <c r="AG228" t="e">
        <f>IF(OR(OR($A228="",$D228=""),M228=""),"",M228-(INT($Y228/18)+IF(INDEX('Tournament Setup'!$AK:$AK,MATCH($A228,'Tournament Setup'!$A:$A,0))&lt;=MOD($Y228,18),1,0)))</f>
      </c>
      <c r="AH228" t="e">
        <f>IF(OR(OR($A228="",$D228=""),N228=""),"",N228-(INT($Y228/18)+IF(INDEX('Tournament Setup'!$AL:$AL,MATCH($A228,'Tournament Setup'!$A:$A,0))&lt;=MOD($Y228,18),1,0)))</f>
      </c>
      <c r="AI228" t="e">
        <f>IF(OR(OR($A228="",$D228=""),O228=""),"",O228-(INT($Y228/18)+IF(INDEX('Tournament Setup'!$AM:$AM,MATCH($A228,'Tournament Setup'!$A:$A,0))&lt;=MOD($Y228,18),1,0)))</f>
      </c>
      <c r="AJ228" t="e">
        <f>IF(OR(OR($A228="",$D228=""),P228=""),"",P228-(INT($Y228/18)+IF(INDEX('Tournament Setup'!$AN:$AN,MATCH($A228,'Tournament Setup'!$A:$A,0))&lt;=MOD($Y228,18),1,0)))</f>
      </c>
      <c r="AK228" t="e">
        <f>IF(OR(OR($A228="",$D228=""),Q228=""),"",Q228-(INT($Y228/18)+IF(INDEX('Tournament Setup'!$AO:$AO,MATCH($A228,'Tournament Setup'!$A:$A,0))&lt;=MOD($Y228,18),1,0)))</f>
      </c>
      <c r="AL228" t="e">
        <f>IF(OR(OR($A228="",$D228=""),R228=""),"",R228-(INT($Y228/18)+IF(INDEX('Tournament Setup'!$AP:$AP,MATCH($A228,'Tournament Setup'!$A:$A,0))&lt;=MOD($Y228,18),1,0)))</f>
      </c>
      <c r="AM228" t="e">
        <f>IF(OR(OR($A228="",$D228=""),S228=""),"",S228-(INT($Y228/18)+IF(INDEX('Tournament Setup'!$AQ:$AQ,MATCH($A228,'Tournament Setup'!$A:$A,0))&lt;=MOD($Y228,18),1,0)))</f>
      </c>
      <c r="AN228" t="e">
        <f>IF(OR(OR($A228="",$D228=""),T228=""),"",T228-(INT($Y228/18)+IF(INDEX('Tournament Setup'!$AR:$AR,MATCH($A228,'Tournament Setup'!$A:$A,0))&lt;=MOD($Y228,18),1,0)))</f>
      </c>
      <c r="AO228" t="e">
        <f>IF(OR(OR($A228="",$D228=""),U228=""),"",U228-(INT($Y228/18)+IF(INDEX('Tournament Setup'!$AS:$AS,MATCH($A228,'Tournament Setup'!$A:$A,0))&lt;=MOD($Y228,18),1,0)))</f>
      </c>
      <c r="AP228" t="e">
        <f>IF(OR(OR($A228="",$D228=""),V228=""),"",V228-(INT($Y228/18)+IF(INDEX('Tournament Setup'!$AT:$AT,MATCH($A228,'Tournament Setup'!$A:$A,0))&lt;=MOD($Y228,18),1,0)))</f>
      </c>
      <c r="AQ228" t="e">
        <f>IF(OR(OR($A228="",$D228=""),W228=""),"",W228-(INT($Y228/18)+IF(INDEX('Tournament Setup'!$AU:$AU,MATCH($A228,'Tournament Setup'!$A:$A,0))&lt;=MOD($Y228,18),1,0)))</f>
      </c>
    </row>
    <row r="229">
      <c r="X229" t="e">
        <f>IF(OR($A229="",$D229=""),"",SUM(F229:W229))</f>
      </c>
      <c r="Y229" t="e">
        <f>IF(OR($A229="",$D229=""),"",IF(INDEX('Tournament Setup'!$F:$F,MATCH($A229,'Tournament Setup'!$A:$A,0))="Net",ROUND(($E229-_xlfn.MINIFS($E$2:$E$401,$A$2:$A$401,$A229,$B$2:$B$401,$B229))*INDEX('Tournament Setup'!$G:$G,MATCH($A229,'Tournament Setup'!$A:$A,0))/100,0),0))</f>
      </c>
      <c r="Z229" t="e">
        <f>IF(OR(OR($A229="",$D229=""),F229=""),"",F229-(INT($Y229/18)+IF(INDEX('Tournament Setup'!$AD:$AD,MATCH($A229,'Tournament Setup'!$A:$A,0))&lt;=MOD($Y229,18),1,0)))</f>
      </c>
      <c r="AA229" t="e">
        <f>IF(OR(OR($A229="",$D229=""),G229=""),"",G229-(INT($Y229/18)+IF(INDEX('Tournament Setup'!$AE:$AE,MATCH($A229,'Tournament Setup'!$A:$A,0))&lt;=MOD($Y229,18),1,0)))</f>
      </c>
      <c r="AB229" t="e">
        <f>IF(OR(OR($A229="",$D229=""),H229=""),"",H229-(INT($Y229/18)+IF(INDEX('Tournament Setup'!$AF:$AF,MATCH($A229,'Tournament Setup'!$A:$A,0))&lt;=MOD($Y229,18),1,0)))</f>
      </c>
      <c r="AC229" t="e">
        <f>IF(OR(OR($A229="",$D229=""),I229=""),"",I229-(INT($Y229/18)+IF(INDEX('Tournament Setup'!$AG:$AG,MATCH($A229,'Tournament Setup'!$A:$A,0))&lt;=MOD($Y229,18),1,0)))</f>
      </c>
      <c r="AD229" t="e">
        <f>IF(OR(OR($A229="",$D229=""),J229=""),"",J229-(INT($Y229/18)+IF(INDEX('Tournament Setup'!$AH:$AH,MATCH($A229,'Tournament Setup'!$A:$A,0))&lt;=MOD($Y229,18),1,0)))</f>
      </c>
      <c r="AE229" t="e">
        <f>IF(OR(OR($A229="",$D229=""),K229=""),"",K229-(INT($Y229/18)+IF(INDEX('Tournament Setup'!$AI:$AI,MATCH($A229,'Tournament Setup'!$A:$A,0))&lt;=MOD($Y229,18),1,0)))</f>
      </c>
      <c r="AF229" t="e">
        <f>IF(OR(OR($A229="",$D229=""),L229=""),"",L229-(INT($Y229/18)+IF(INDEX('Tournament Setup'!$AJ:$AJ,MATCH($A229,'Tournament Setup'!$A:$A,0))&lt;=MOD($Y229,18),1,0)))</f>
      </c>
      <c r="AG229" t="e">
        <f>IF(OR(OR($A229="",$D229=""),M229=""),"",M229-(INT($Y229/18)+IF(INDEX('Tournament Setup'!$AK:$AK,MATCH($A229,'Tournament Setup'!$A:$A,0))&lt;=MOD($Y229,18),1,0)))</f>
      </c>
      <c r="AH229" t="e">
        <f>IF(OR(OR($A229="",$D229=""),N229=""),"",N229-(INT($Y229/18)+IF(INDEX('Tournament Setup'!$AL:$AL,MATCH($A229,'Tournament Setup'!$A:$A,0))&lt;=MOD($Y229,18),1,0)))</f>
      </c>
      <c r="AI229" t="e">
        <f>IF(OR(OR($A229="",$D229=""),O229=""),"",O229-(INT($Y229/18)+IF(INDEX('Tournament Setup'!$AM:$AM,MATCH($A229,'Tournament Setup'!$A:$A,0))&lt;=MOD($Y229,18),1,0)))</f>
      </c>
      <c r="AJ229" t="e">
        <f>IF(OR(OR($A229="",$D229=""),P229=""),"",P229-(INT($Y229/18)+IF(INDEX('Tournament Setup'!$AN:$AN,MATCH($A229,'Tournament Setup'!$A:$A,0))&lt;=MOD($Y229,18),1,0)))</f>
      </c>
      <c r="AK229" t="e">
        <f>IF(OR(OR($A229="",$D229=""),Q229=""),"",Q229-(INT($Y229/18)+IF(INDEX('Tournament Setup'!$AO:$AO,MATCH($A229,'Tournament Setup'!$A:$A,0))&lt;=MOD($Y229,18),1,0)))</f>
      </c>
      <c r="AL229" t="e">
        <f>IF(OR(OR($A229="",$D229=""),R229=""),"",R229-(INT($Y229/18)+IF(INDEX('Tournament Setup'!$AP:$AP,MATCH($A229,'Tournament Setup'!$A:$A,0))&lt;=MOD($Y229,18),1,0)))</f>
      </c>
      <c r="AM229" t="e">
        <f>IF(OR(OR($A229="",$D229=""),S229=""),"",S229-(INT($Y229/18)+IF(INDEX('Tournament Setup'!$AQ:$AQ,MATCH($A229,'Tournament Setup'!$A:$A,0))&lt;=MOD($Y229,18),1,0)))</f>
      </c>
      <c r="AN229" t="e">
        <f>IF(OR(OR($A229="",$D229=""),T229=""),"",T229-(INT($Y229/18)+IF(INDEX('Tournament Setup'!$AR:$AR,MATCH($A229,'Tournament Setup'!$A:$A,0))&lt;=MOD($Y229,18),1,0)))</f>
      </c>
      <c r="AO229" t="e">
        <f>IF(OR(OR($A229="",$D229=""),U229=""),"",U229-(INT($Y229/18)+IF(INDEX('Tournament Setup'!$AS:$AS,MATCH($A229,'Tournament Setup'!$A:$A,0))&lt;=MOD($Y229,18),1,0)))</f>
      </c>
      <c r="AP229" t="e">
        <f>IF(OR(OR($A229="",$D229=""),V229=""),"",V229-(INT($Y229/18)+IF(INDEX('Tournament Setup'!$AT:$AT,MATCH($A229,'Tournament Setup'!$A:$A,0))&lt;=MOD($Y229,18),1,0)))</f>
      </c>
      <c r="AQ229" t="e">
        <f>IF(OR(OR($A229="",$D229=""),W229=""),"",W229-(INT($Y229/18)+IF(INDEX('Tournament Setup'!$AU:$AU,MATCH($A229,'Tournament Setup'!$A:$A,0))&lt;=MOD($Y229,18),1,0)))</f>
      </c>
    </row>
    <row r="230">
      <c r="X230" t="e">
        <f>IF(OR($A230="",$D230=""),"",SUM(F230:W230))</f>
      </c>
      <c r="Y230" t="e">
        <f>IF(OR($A230="",$D230=""),"",IF(INDEX('Tournament Setup'!$F:$F,MATCH($A230,'Tournament Setup'!$A:$A,0))="Net",ROUND(($E230-_xlfn.MINIFS($E$2:$E$401,$A$2:$A$401,$A230,$B$2:$B$401,$B230))*INDEX('Tournament Setup'!$G:$G,MATCH($A230,'Tournament Setup'!$A:$A,0))/100,0),0))</f>
      </c>
      <c r="Z230" t="e">
        <f>IF(OR(OR($A230="",$D230=""),F230=""),"",F230-(INT($Y230/18)+IF(INDEX('Tournament Setup'!$AD:$AD,MATCH($A230,'Tournament Setup'!$A:$A,0))&lt;=MOD($Y230,18),1,0)))</f>
      </c>
      <c r="AA230" t="e">
        <f>IF(OR(OR($A230="",$D230=""),G230=""),"",G230-(INT($Y230/18)+IF(INDEX('Tournament Setup'!$AE:$AE,MATCH($A230,'Tournament Setup'!$A:$A,0))&lt;=MOD($Y230,18),1,0)))</f>
      </c>
      <c r="AB230" t="e">
        <f>IF(OR(OR($A230="",$D230=""),H230=""),"",H230-(INT($Y230/18)+IF(INDEX('Tournament Setup'!$AF:$AF,MATCH($A230,'Tournament Setup'!$A:$A,0))&lt;=MOD($Y230,18),1,0)))</f>
      </c>
      <c r="AC230" t="e">
        <f>IF(OR(OR($A230="",$D230=""),I230=""),"",I230-(INT($Y230/18)+IF(INDEX('Tournament Setup'!$AG:$AG,MATCH($A230,'Tournament Setup'!$A:$A,0))&lt;=MOD($Y230,18),1,0)))</f>
      </c>
      <c r="AD230" t="e">
        <f>IF(OR(OR($A230="",$D230=""),J230=""),"",J230-(INT($Y230/18)+IF(INDEX('Tournament Setup'!$AH:$AH,MATCH($A230,'Tournament Setup'!$A:$A,0))&lt;=MOD($Y230,18),1,0)))</f>
      </c>
      <c r="AE230" t="e">
        <f>IF(OR(OR($A230="",$D230=""),K230=""),"",K230-(INT($Y230/18)+IF(INDEX('Tournament Setup'!$AI:$AI,MATCH($A230,'Tournament Setup'!$A:$A,0))&lt;=MOD($Y230,18),1,0)))</f>
      </c>
      <c r="AF230" t="e">
        <f>IF(OR(OR($A230="",$D230=""),L230=""),"",L230-(INT($Y230/18)+IF(INDEX('Tournament Setup'!$AJ:$AJ,MATCH($A230,'Tournament Setup'!$A:$A,0))&lt;=MOD($Y230,18),1,0)))</f>
      </c>
      <c r="AG230" t="e">
        <f>IF(OR(OR($A230="",$D230=""),M230=""),"",M230-(INT($Y230/18)+IF(INDEX('Tournament Setup'!$AK:$AK,MATCH($A230,'Tournament Setup'!$A:$A,0))&lt;=MOD($Y230,18),1,0)))</f>
      </c>
      <c r="AH230" t="e">
        <f>IF(OR(OR($A230="",$D230=""),N230=""),"",N230-(INT($Y230/18)+IF(INDEX('Tournament Setup'!$AL:$AL,MATCH($A230,'Tournament Setup'!$A:$A,0))&lt;=MOD($Y230,18),1,0)))</f>
      </c>
      <c r="AI230" t="e">
        <f>IF(OR(OR($A230="",$D230=""),O230=""),"",O230-(INT($Y230/18)+IF(INDEX('Tournament Setup'!$AM:$AM,MATCH($A230,'Tournament Setup'!$A:$A,0))&lt;=MOD($Y230,18),1,0)))</f>
      </c>
      <c r="AJ230" t="e">
        <f>IF(OR(OR($A230="",$D230=""),P230=""),"",P230-(INT($Y230/18)+IF(INDEX('Tournament Setup'!$AN:$AN,MATCH($A230,'Tournament Setup'!$A:$A,0))&lt;=MOD($Y230,18),1,0)))</f>
      </c>
      <c r="AK230" t="e">
        <f>IF(OR(OR($A230="",$D230=""),Q230=""),"",Q230-(INT($Y230/18)+IF(INDEX('Tournament Setup'!$AO:$AO,MATCH($A230,'Tournament Setup'!$A:$A,0))&lt;=MOD($Y230,18),1,0)))</f>
      </c>
      <c r="AL230" t="e">
        <f>IF(OR(OR($A230="",$D230=""),R230=""),"",R230-(INT($Y230/18)+IF(INDEX('Tournament Setup'!$AP:$AP,MATCH($A230,'Tournament Setup'!$A:$A,0))&lt;=MOD($Y230,18),1,0)))</f>
      </c>
      <c r="AM230" t="e">
        <f>IF(OR(OR($A230="",$D230=""),S230=""),"",S230-(INT($Y230/18)+IF(INDEX('Tournament Setup'!$AQ:$AQ,MATCH($A230,'Tournament Setup'!$A:$A,0))&lt;=MOD($Y230,18),1,0)))</f>
      </c>
      <c r="AN230" t="e">
        <f>IF(OR(OR($A230="",$D230=""),T230=""),"",T230-(INT($Y230/18)+IF(INDEX('Tournament Setup'!$AR:$AR,MATCH($A230,'Tournament Setup'!$A:$A,0))&lt;=MOD($Y230,18),1,0)))</f>
      </c>
      <c r="AO230" t="e">
        <f>IF(OR(OR($A230="",$D230=""),U230=""),"",U230-(INT($Y230/18)+IF(INDEX('Tournament Setup'!$AS:$AS,MATCH($A230,'Tournament Setup'!$A:$A,0))&lt;=MOD($Y230,18),1,0)))</f>
      </c>
      <c r="AP230" t="e">
        <f>IF(OR(OR($A230="",$D230=""),V230=""),"",V230-(INT($Y230/18)+IF(INDEX('Tournament Setup'!$AT:$AT,MATCH($A230,'Tournament Setup'!$A:$A,0))&lt;=MOD($Y230,18),1,0)))</f>
      </c>
      <c r="AQ230" t="e">
        <f>IF(OR(OR($A230="",$D230=""),W230=""),"",W230-(INT($Y230/18)+IF(INDEX('Tournament Setup'!$AU:$AU,MATCH($A230,'Tournament Setup'!$A:$A,0))&lt;=MOD($Y230,18),1,0)))</f>
      </c>
    </row>
    <row r="231">
      <c r="X231" t="e">
        <f>IF(OR($A231="",$D231=""),"",SUM(F231:W231))</f>
      </c>
      <c r="Y231" t="e">
        <f>IF(OR($A231="",$D231=""),"",IF(INDEX('Tournament Setup'!$F:$F,MATCH($A231,'Tournament Setup'!$A:$A,0))="Net",ROUND(($E231-_xlfn.MINIFS($E$2:$E$401,$A$2:$A$401,$A231,$B$2:$B$401,$B231))*INDEX('Tournament Setup'!$G:$G,MATCH($A231,'Tournament Setup'!$A:$A,0))/100,0),0))</f>
      </c>
      <c r="Z231" t="e">
        <f>IF(OR(OR($A231="",$D231=""),F231=""),"",F231-(INT($Y231/18)+IF(INDEX('Tournament Setup'!$AD:$AD,MATCH($A231,'Tournament Setup'!$A:$A,0))&lt;=MOD($Y231,18),1,0)))</f>
      </c>
      <c r="AA231" t="e">
        <f>IF(OR(OR($A231="",$D231=""),G231=""),"",G231-(INT($Y231/18)+IF(INDEX('Tournament Setup'!$AE:$AE,MATCH($A231,'Tournament Setup'!$A:$A,0))&lt;=MOD($Y231,18),1,0)))</f>
      </c>
      <c r="AB231" t="e">
        <f>IF(OR(OR($A231="",$D231=""),H231=""),"",H231-(INT($Y231/18)+IF(INDEX('Tournament Setup'!$AF:$AF,MATCH($A231,'Tournament Setup'!$A:$A,0))&lt;=MOD($Y231,18),1,0)))</f>
      </c>
      <c r="AC231" t="e">
        <f>IF(OR(OR($A231="",$D231=""),I231=""),"",I231-(INT($Y231/18)+IF(INDEX('Tournament Setup'!$AG:$AG,MATCH($A231,'Tournament Setup'!$A:$A,0))&lt;=MOD($Y231,18),1,0)))</f>
      </c>
      <c r="AD231" t="e">
        <f>IF(OR(OR($A231="",$D231=""),J231=""),"",J231-(INT($Y231/18)+IF(INDEX('Tournament Setup'!$AH:$AH,MATCH($A231,'Tournament Setup'!$A:$A,0))&lt;=MOD($Y231,18),1,0)))</f>
      </c>
      <c r="AE231" t="e">
        <f>IF(OR(OR($A231="",$D231=""),K231=""),"",K231-(INT($Y231/18)+IF(INDEX('Tournament Setup'!$AI:$AI,MATCH($A231,'Tournament Setup'!$A:$A,0))&lt;=MOD($Y231,18),1,0)))</f>
      </c>
      <c r="AF231" t="e">
        <f>IF(OR(OR($A231="",$D231=""),L231=""),"",L231-(INT($Y231/18)+IF(INDEX('Tournament Setup'!$AJ:$AJ,MATCH($A231,'Tournament Setup'!$A:$A,0))&lt;=MOD($Y231,18),1,0)))</f>
      </c>
      <c r="AG231" t="e">
        <f>IF(OR(OR($A231="",$D231=""),M231=""),"",M231-(INT($Y231/18)+IF(INDEX('Tournament Setup'!$AK:$AK,MATCH($A231,'Tournament Setup'!$A:$A,0))&lt;=MOD($Y231,18),1,0)))</f>
      </c>
      <c r="AH231" t="e">
        <f>IF(OR(OR($A231="",$D231=""),N231=""),"",N231-(INT($Y231/18)+IF(INDEX('Tournament Setup'!$AL:$AL,MATCH($A231,'Tournament Setup'!$A:$A,0))&lt;=MOD($Y231,18),1,0)))</f>
      </c>
      <c r="AI231" t="e">
        <f>IF(OR(OR($A231="",$D231=""),O231=""),"",O231-(INT($Y231/18)+IF(INDEX('Tournament Setup'!$AM:$AM,MATCH($A231,'Tournament Setup'!$A:$A,0))&lt;=MOD($Y231,18),1,0)))</f>
      </c>
      <c r="AJ231" t="e">
        <f>IF(OR(OR($A231="",$D231=""),P231=""),"",P231-(INT($Y231/18)+IF(INDEX('Tournament Setup'!$AN:$AN,MATCH($A231,'Tournament Setup'!$A:$A,0))&lt;=MOD($Y231,18),1,0)))</f>
      </c>
      <c r="AK231" t="e">
        <f>IF(OR(OR($A231="",$D231=""),Q231=""),"",Q231-(INT($Y231/18)+IF(INDEX('Tournament Setup'!$AO:$AO,MATCH($A231,'Tournament Setup'!$A:$A,0))&lt;=MOD($Y231,18),1,0)))</f>
      </c>
      <c r="AL231" t="e">
        <f>IF(OR(OR($A231="",$D231=""),R231=""),"",R231-(INT($Y231/18)+IF(INDEX('Tournament Setup'!$AP:$AP,MATCH($A231,'Tournament Setup'!$A:$A,0))&lt;=MOD($Y231,18),1,0)))</f>
      </c>
      <c r="AM231" t="e">
        <f>IF(OR(OR($A231="",$D231=""),S231=""),"",S231-(INT($Y231/18)+IF(INDEX('Tournament Setup'!$AQ:$AQ,MATCH($A231,'Tournament Setup'!$A:$A,0))&lt;=MOD($Y231,18),1,0)))</f>
      </c>
      <c r="AN231" t="e">
        <f>IF(OR(OR($A231="",$D231=""),T231=""),"",T231-(INT($Y231/18)+IF(INDEX('Tournament Setup'!$AR:$AR,MATCH($A231,'Tournament Setup'!$A:$A,0))&lt;=MOD($Y231,18),1,0)))</f>
      </c>
      <c r="AO231" t="e">
        <f>IF(OR(OR($A231="",$D231=""),U231=""),"",U231-(INT($Y231/18)+IF(INDEX('Tournament Setup'!$AS:$AS,MATCH($A231,'Tournament Setup'!$A:$A,0))&lt;=MOD($Y231,18),1,0)))</f>
      </c>
      <c r="AP231" t="e">
        <f>IF(OR(OR($A231="",$D231=""),V231=""),"",V231-(INT($Y231/18)+IF(INDEX('Tournament Setup'!$AT:$AT,MATCH($A231,'Tournament Setup'!$A:$A,0))&lt;=MOD($Y231,18),1,0)))</f>
      </c>
      <c r="AQ231" t="e">
        <f>IF(OR(OR($A231="",$D231=""),W231=""),"",W231-(INT($Y231/18)+IF(INDEX('Tournament Setup'!$AU:$AU,MATCH($A231,'Tournament Setup'!$A:$A,0))&lt;=MOD($Y231,18),1,0)))</f>
      </c>
    </row>
    <row r="232">
      <c r="X232" t="e">
        <f>IF(OR($A232="",$D232=""),"",SUM(F232:W232))</f>
      </c>
      <c r="Y232" t="e">
        <f>IF(OR($A232="",$D232=""),"",IF(INDEX('Tournament Setup'!$F:$F,MATCH($A232,'Tournament Setup'!$A:$A,0))="Net",ROUND(($E232-_xlfn.MINIFS($E$2:$E$401,$A$2:$A$401,$A232,$B$2:$B$401,$B232))*INDEX('Tournament Setup'!$G:$G,MATCH($A232,'Tournament Setup'!$A:$A,0))/100,0),0))</f>
      </c>
      <c r="Z232" t="e">
        <f>IF(OR(OR($A232="",$D232=""),F232=""),"",F232-(INT($Y232/18)+IF(INDEX('Tournament Setup'!$AD:$AD,MATCH($A232,'Tournament Setup'!$A:$A,0))&lt;=MOD($Y232,18),1,0)))</f>
      </c>
      <c r="AA232" t="e">
        <f>IF(OR(OR($A232="",$D232=""),G232=""),"",G232-(INT($Y232/18)+IF(INDEX('Tournament Setup'!$AE:$AE,MATCH($A232,'Tournament Setup'!$A:$A,0))&lt;=MOD($Y232,18),1,0)))</f>
      </c>
      <c r="AB232" t="e">
        <f>IF(OR(OR($A232="",$D232=""),H232=""),"",H232-(INT($Y232/18)+IF(INDEX('Tournament Setup'!$AF:$AF,MATCH($A232,'Tournament Setup'!$A:$A,0))&lt;=MOD($Y232,18),1,0)))</f>
      </c>
      <c r="AC232" t="e">
        <f>IF(OR(OR($A232="",$D232=""),I232=""),"",I232-(INT($Y232/18)+IF(INDEX('Tournament Setup'!$AG:$AG,MATCH($A232,'Tournament Setup'!$A:$A,0))&lt;=MOD($Y232,18),1,0)))</f>
      </c>
      <c r="AD232" t="e">
        <f>IF(OR(OR($A232="",$D232=""),J232=""),"",J232-(INT($Y232/18)+IF(INDEX('Tournament Setup'!$AH:$AH,MATCH($A232,'Tournament Setup'!$A:$A,0))&lt;=MOD($Y232,18),1,0)))</f>
      </c>
      <c r="AE232" t="e">
        <f>IF(OR(OR($A232="",$D232=""),K232=""),"",K232-(INT($Y232/18)+IF(INDEX('Tournament Setup'!$AI:$AI,MATCH($A232,'Tournament Setup'!$A:$A,0))&lt;=MOD($Y232,18),1,0)))</f>
      </c>
      <c r="AF232" t="e">
        <f>IF(OR(OR($A232="",$D232=""),L232=""),"",L232-(INT($Y232/18)+IF(INDEX('Tournament Setup'!$AJ:$AJ,MATCH($A232,'Tournament Setup'!$A:$A,0))&lt;=MOD($Y232,18),1,0)))</f>
      </c>
      <c r="AG232" t="e">
        <f>IF(OR(OR($A232="",$D232=""),M232=""),"",M232-(INT($Y232/18)+IF(INDEX('Tournament Setup'!$AK:$AK,MATCH($A232,'Tournament Setup'!$A:$A,0))&lt;=MOD($Y232,18),1,0)))</f>
      </c>
      <c r="AH232" t="e">
        <f>IF(OR(OR($A232="",$D232=""),N232=""),"",N232-(INT($Y232/18)+IF(INDEX('Tournament Setup'!$AL:$AL,MATCH($A232,'Tournament Setup'!$A:$A,0))&lt;=MOD($Y232,18),1,0)))</f>
      </c>
      <c r="AI232" t="e">
        <f>IF(OR(OR($A232="",$D232=""),O232=""),"",O232-(INT($Y232/18)+IF(INDEX('Tournament Setup'!$AM:$AM,MATCH($A232,'Tournament Setup'!$A:$A,0))&lt;=MOD($Y232,18),1,0)))</f>
      </c>
      <c r="AJ232" t="e">
        <f>IF(OR(OR($A232="",$D232=""),P232=""),"",P232-(INT($Y232/18)+IF(INDEX('Tournament Setup'!$AN:$AN,MATCH($A232,'Tournament Setup'!$A:$A,0))&lt;=MOD($Y232,18),1,0)))</f>
      </c>
      <c r="AK232" t="e">
        <f>IF(OR(OR($A232="",$D232=""),Q232=""),"",Q232-(INT($Y232/18)+IF(INDEX('Tournament Setup'!$AO:$AO,MATCH($A232,'Tournament Setup'!$A:$A,0))&lt;=MOD($Y232,18),1,0)))</f>
      </c>
      <c r="AL232" t="e">
        <f>IF(OR(OR($A232="",$D232=""),R232=""),"",R232-(INT($Y232/18)+IF(INDEX('Tournament Setup'!$AP:$AP,MATCH($A232,'Tournament Setup'!$A:$A,0))&lt;=MOD($Y232,18),1,0)))</f>
      </c>
      <c r="AM232" t="e">
        <f>IF(OR(OR($A232="",$D232=""),S232=""),"",S232-(INT($Y232/18)+IF(INDEX('Tournament Setup'!$AQ:$AQ,MATCH($A232,'Tournament Setup'!$A:$A,0))&lt;=MOD($Y232,18),1,0)))</f>
      </c>
      <c r="AN232" t="e">
        <f>IF(OR(OR($A232="",$D232=""),T232=""),"",T232-(INT($Y232/18)+IF(INDEX('Tournament Setup'!$AR:$AR,MATCH($A232,'Tournament Setup'!$A:$A,0))&lt;=MOD($Y232,18),1,0)))</f>
      </c>
      <c r="AO232" t="e">
        <f>IF(OR(OR($A232="",$D232=""),U232=""),"",U232-(INT($Y232/18)+IF(INDEX('Tournament Setup'!$AS:$AS,MATCH($A232,'Tournament Setup'!$A:$A,0))&lt;=MOD($Y232,18),1,0)))</f>
      </c>
      <c r="AP232" t="e">
        <f>IF(OR(OR($A232="",$D232=""),V232=""),"",V232-(INT($Y232/18)+IF(INDEX('Tournament Setup'!$AT:$AT,MATCH($A232,'Tournament Setup'!$A:$A,0))&lt;=MOD($Y232,18),1,0)))</f>
      </c>
      <c r="AQ232" t="e">
        <f>IF(OR(OR($A232="",$D232=""),W232=""),"",W232-(INT($Y232/18)+IF(INDEX('Tournament Setup'!$AU:$AU,MATCH($A232,'Tournament Setup'!$A:$A,0))&lt;=MOD($Y232,18),1,0)))</f>
      </c>
    </row>
    <row r="233">
      <c r="X233" t="e">
        <f>IF(OR($A233="",$D233=""),"",SUM(F233:W233))</f>
      </c>
      <c r="Y233" t="e">
        <f>IF(OR($A233="",$D233=""),"",IF(INDEX('Tournament Setup'!$F:$F,MATCH($A233,'Tournament Setup'!$A:$A,0))="Net",ROUND(($E233-_xlfn.MINIFS($E$2:$E$401,$A$2:$A$401,$A233,$B$2:$B$401,$B233))*INDEX('Tournament Setup'!$G:$G,MATCH($A233,'Tournament Setup'!$A:$A,0))/100,0),0))</f>
      </c>
      <c r="Z233" t="e">
        <f>IF(OR(OR($A233="",$D233=""),F233=""),"",F233-(INT($Y233/18)+IF(INDEX('Tournament Setup'!$AD:$AD,MATCH($A233,'Tournament Setup'!$A:$A,0))&lt;=MOD($Y233,18),1,0)))</f>
      </c>
      <c r="AA233" t="e">
        <f>IF(OR(OR($A233="",$D233=""),G233=""),"",G233-(INT($Y233/18)+IF(INDEX('Tournament Setup'!$AE:$AE,MATCH($A233,'Tournament Setup'!$A:$A,0))&lt;=MOD($Y233,18),1,0)))</f>
      </c>
      <c r="AB233" t="e">
        <f>IF(OR(OR($A233="",$D233=""),H233=""),"",H233-(INT($Y233/18)+IF(INDEX('Tournament Setup'!$AF:$AF,MATCH($A233,'Tournament Setup'!$A:$A,0))&lt;=MOD($Y233,18),1,0)))</f>
      </c>
      <c r="AC233" t="e">
        <f>IF(OR(OR($A233="",$D233=""),I233=""),"",I233-(INT($Y233/18)+IF(INDEX('Tournament Setup'!$AG:$AG,MATCH($A233,'Tournament Setup'!$A:$A,0))&lt;=MOD($Y233,18),1,0)))</f>
      </c>
      <c r="AD233" t="e">
        <f>IF(OR(OR($A233="",$D233=""),J233=""),"",J233-(INT($Y233/18)+IF(INDEX('Tournament Setup'!$AH:$AH,MATCH($A233,'Tournament Setup'!$A:$A,0))&lt;=MOD($Y233,18),1,0)))</f>
      </c>
      <c r="AE233" t="e">
        <f>IF(OR(OR($A233="",$D233=""),K233=""),"",K233-(INT($Y233/18)+IF(INDEX('Tournament Setup'!$AI:$AI,MATCH($A233,'Tournament Setup'!$A:$A,0))&lt;=MOD($Y233,18),1,0)))</f>
      </c>
      <c r="AF233" t="e">
        <f>IF(OR(OR($A233="",$D233=""),L233=""),"",L233-(INT($Y233/18)+IF(INDEX('Tournament Setup'!$AJ:$AJ,MATCH($A233,'Tournament Setup'!$A:$A,0))&lt;=MOD($Y233,18),1,0)))</f>
      </c>
      <c r="AG233" t="e">
        <f>IF(OR(OR($A233="",$D233=""),M233=""),"",M233-(INT($Y233/18)+IF(INDEX('Tournament Setup'!$AK:$AK,MATCH($A233,'Tournament Setup'!$A:$A,0))&lt;=MOD($Y233,18),1,0)))</f>
      </c>
      <c r="AH233" t="e">
        <f>IF(OR(OR($A233="",$D233=""),N233=""),"",N233-(INT($Y233/18)+IF(INDEX('Tournament Setup'!$AL:$AL,MATCH($A233,'Tournament Setup'!$A:$A,0))&lt;=MOD($Y233,18),1,0)))</f>
      </c>
      <c r="AI233" t="e">
        <f>IF(OR(OR($A233="",$D233=""),O233=""),"",O233-(INT($Y233/18)+IF(INDEX('Tournament Setup'!$AM:$AM,MATCH($A233,'Tournament Setup'!$A:$A,0))&lt;=MOD($Y233,18),1,0)))</f>
      </c>
      <c r="AJ233" t="e">
        <f>IF(OR(OR($A233="",$D233=""),P233=""),"",P233-(INT($Y233/18)+IF(INDEX('Tournament Setup'!$AN:$AN,MATCH($A233,'Tournament Setup'!$A:$A,0))&lt;=MOD($Y233,18),1,0)))</f>
      </c>
      <c r="AK233" t="e">
        <f>IF(OR(OR($A233="",$D233=""),Q233=""),"",Q233-(INT($Y233/18)+IF(INDEX('Tournament Setup'!$AO:$AO,MATCH($A233,'Tournament Setup'!$A:$A,0))&lt;=MOD($Y233,18),1,0)))</f>
      </c>
      <c r="AL233" t="e">
        <f>IF(OR(OR($A233="",$D233=""),R233=""),"",R233-(INT($Y233/18)+IF(INDEX('Tournament Setup'!$AP:$AP,MATCH($A233,'Tournament Setup'!$A:$A,0))&lt;=MOD($Y233,18),1,0)))</f>
      </c>
      <c r="AM233" t="e">
        <f>IF(OR(OR($A233="",$D233=""),S233=""),"",S233-(INT($Y233/18)+IF(INDEX('Tournament Setup'!$AQ:$AQ,MATCH($A233,'Tournament Setup'!$A:$A,0))&lt;=MOD($Y233,18),1,0)))</f>
      </c>
      <c r="AN233" t="e">
        <f>IF(OR(OR($A233="",$D233=""),T233=""),"",T233-(INT($Y233/18)+IF(INDEX('Tournament Setup'!$AR:$AR,MATCH($A233,'Tournament Setup'!$A:$A,0))&lt;=MOD($Y233,18),1,0)))</f>
      </c>
      <c r="AO233" t="e">
        <f>IF(OR(OR($A233="",$D233=""),U233=""),"",U233-(INT($Y233/18)+IF(INDEX('Tournament Setup'!$AS:$AS,MATCH($A233,'Tournament Setup'!$A:$A,0))&lt;=MOD($Y233,18),1,0)))</f>
      </c>
      <c r="AP233" t="e">
        <f>IF(OR(OR($A233="",$D233=""),V233=""),"",V233-(INT($Y233/18)+IF(INDEX('Tournament Setup'!$AT:$AT,MATCH($A233,'Tournament Setup'!$A:$A,0))&lt;=MOD($Y233,18),1,0)))</f>
      </c>
      <c r="AQ233" t="e">
        <f>IF(OR(OR($A233="",$D233=""),W233=""),"",W233-(INT($Y233/18)+IF(INDEX('Tournament Setup'!$AU:$AU,MATCH($A233,'Tournament Setup'!$A:$A,0))&lt;=MOD($Y233,18),1,0)))</f>
      </c>
    </row>
    <row r="234">
      <c r="X234" t="e">
        <f>IF(OR($A234="",$D234=""),"",SUM(F234:W234))</f>
      </c>
      <c r="Y234" t="e">
        <f>IF(OR($A234="",$D234=""),"",IF(INDEX('Tournament Setup'!$F:$F,MATCH($A234,'Tournament Setup'!$A:$A,0))="Net",ROUND(($E234-_xlfn.MINIFS($E$2:$E$401,$A$2:$A$401,$A234,$B$2:$B$401,$B234))*INDEX('Tournament Setup'!$G:$G,MATCH($A234,'Tournament Setup'!$A:$A,0))/100,0),0))</f>
      </c>
      <c r="Z234" t="e">
        <f>IF(OR(OR($A234="",$D234=""),F234=""),"",F234-(INT($Y234/18)+IF(INDEX('Tournament Setup'!$AD:$AD,MATCH($A234,'Tournament Setup'!$A:$A,0))&lt;=MOD($Y234,18),1,0)))</f>
      </c>
      <c r="AA234" t="e">
        <f>IF(OR(OR($A234="",$D234=""),G234=""),"",G234-(INT($Y234/18)+IF(INDEX('Tournament Setup'!$AE:$AE,MATCH($A234,'Tournament Setup'!$A:$A,0))&lt;=MOD($Y234,18),1,0)))</f>
      </c>
      <c r="AB234" t="e">
        <f>IF(OR(OR($A234="",$D234=""),H234=""),"",H234-(INT($Y234/18)+IF(INDEX('Tournament Setup'!$AF:$AF,MATCH($A234,'Tournament Setup'!$A:$A,0))&lt;=MOD($Y234,18),1,0)))</f>
      </c>
      <c r="AC234" t="e">
        <f>IF(OR(OR($A234="",$D234=""),I234=""),"",I234-(INT($Y234/18)+IF(INDEX('Tournament Setup'!$AG:$AG,MATCH($A234,'Tournament Setup'!$A:$A,0))&lt;=MOD($Y234,18),1,0)))</f>
      </c>
      <c r="AD234" t="e">
        <f>IF(OR(OR($A234="",$D234=""),J234=""),"",J234-(INT($Y234/18)+IF(INDEX('Tournament Setup'!$AH:$AH,MATCH($A234,'Tournament Setup'!$A:$A,0))&lt;=MOD($Y234,18),1,0)))</f>
      </c>
      <c r="AE234" t="e">
        <f>IF(OR(OR($A234="",$D234=""),K234=""),"",K234-(INT($Y234/18)+IF(INDEX('Tournament Setup'!$AI:$AI,MATCH($A234,'Tournament Setup'!$A:$A,0))&lt;=MOD($Y234,18),1,0)))</f>
      </c>
      <c r="AF234" t="e">
        <f>IF(OR(OR($A234="",$D234=""),L234=""),"",L234-(INT($Y234/18)+IF(INDEX('Tournament Setup'!$AJ:$AJ,MATCH($A234,'Tournament Setup'!$A:$A,0))&lt;=MOD($Y234,18),1,0)))</f>
      </c>
      <c r="AG234" t="e">
        <f>IF(OR(OR($A234="",$D234=""),M234=""),"",M234-(INT($Y234/18)+IF(INDEX('Tournament Setup'!$AK:$AK,MATCH($A234,'Tournament Setup'!$A:$A,0))&lt;=MOD($Y234,18),1,0)))</f>
      </c>
      <c r="AH234" t="e">
        <f>IF(OR(OR($A234="",$D234=""),N234=""),"",N234-(INT($Y234/18)+IF(INDEX('Tournament Setup'!$AL:$AL,MATCH($A234,'Tournament Setup'!$A:$A,0))&lt;=MOD($Y234,18),1,0)))</f>
      </c>
      <c r="AI234" t="e">
        <f>IF(OR(OR($A234="",$D234=""),O234=""),"",O234-(INT($Y234/18)+IF(INDEX('Tournament Setup'!$AM:$AM,MATCH($A234,'Tournament Setup'!$A:$A,0))&lt;=MOD($Y234,18),1,0)))</f>
      </c>
      <c r="AJ234" t="e">
        <f>IF(OR(OR($A234="",$D234=""),P234=""),"",P234-(INT($Y234/18)+IF(INDEX('Tournament Setup'!$AN:$AN,MATCH($A234,'Tournament Setup'!$A:$A,0))&lt;=MOD($Y234,18),1,0)))</f>
      </c>
      <c r="AK234" t="e">
        <f>IF(OR(OR($A234="",$D234=""),Q234=""),"",Q234-(INT($Y234/18)+IF(INDEX('Tournament Setup'!$AO:$AO,MATCH($A234,'Tournament Setup'!$A:$A,0))&lt;=MOD($Y234,18),1,0)))</f>
      </c>
      <c r="AL234" t="e">
        <f>IF(OR(OR($A234="",$D234=""),R234=""),"",R234-(INT($Y234/18)+IF(INDEX('Tournament Setup'!$AP:$AP,MATCH($A234,'Tournament Setup'!$A:$A,0))&lt;=MOD($Y234,18),1,0)))</f>
      </c>
      <c r="AM234" t="e">
        <f>IF(OR(OR($A234="",$D234=""),S234=""),"",S234-(INT($Y234/18)+IF(INDEX('Tournament Setup'!$AQ:$AQ,MATCH($A234,'Tournament Setup'!$A:$A,0))&lt;=MOD($Y234,18),1,0)))</f>
      </c>
      <c r="AN234" t="e">
        <f>IF(OR(OR($A234="",$D234=""),T234=""),"",T234-(INT($Y234/18)+IF(INDEX('Tournament Setup'!$AR:$AR,MATCH($A234,'Tournament Setup'!$A:$A,0))&lt;=MOD($Y234,18),1,0)))</f>
      </c>
      <c r="AO234" t="e">
        <f>IF(OR(OR($A234="",$D234=""),U234=""),"",U234-(INT($Y234/18)+IF(INDEX('Tournament Setup'!$AS:$AS,MATCH($A234,'Tournament Setup'!$A:$A,0))&lt;=MOD($Y234,18),1,0)))</f>
      </c>
      <c r="AP234" t="e">
        <f>IF(OR(OR($A234="",$D234=""),V234=""),"",V234-(INT($Y234/18)+IF(INDEX('Tournament Setup'!$AT:$AT,MATCH($A234,'Tournament Setup'!$A:$A,0))&lt;=MOD($Y234,18),1,0)))</f>
      </c>
      <c r="AQ234" t="e">
        <f>IF(OR(OR($A234="",$D234=""),W234=""),"",W234-(INT($Y234/18)+IF(INDEX('Tournament Setup'!$AU:$AU,MATCH($A234,'Tournament Setup'!$A:$A,0))&lt;=MOD($Y234,18),1,0)))</f>
      </c>
    </row>
    <row r="235">
      <c r="X235" t="e">
        <f>IF(OR($A235="",$D235=""),"",SUM(F235:W235))</f>
      </c>
      <c r="Y235" t="e">
        <f>IF(OR($A235="",$D235=""),"",IF(INDEX('Tournament Setup'!$F:$F,MATCH($A235,'Tournament Setup'!$A:$A,0))="Net",ROUND(($E235-_xlfn.MINIFS($E$2:$E$401,$A$2:$A$401,$A235,$B$2:$B$401,$B235))*INDEX('Tournament Setup'!$G:$G,MATCH($A235,'Tournament Setup'!$A:$A,0))/100,0),0))</f>
      </c>
      <c r="Z235" t="e">
        <f>IF(OR(OR($A235="",$D235=""),F235=""),"",F235-(INT($Y235/18)+IF(INDEX('Tournament Setup'!$AD:$AD,MATCH($A235,'Tournament Setup'!$A:$A,0))&lt;=MOD($Y235,18),1,0)))</f>
      </c>
      <c r="AA235" t="e">
        <f>IF(OR(OR($A235="",$D235=""),G235=""),"",G235-(INT($Y235/18)+IF(INDEX('Tournament Setup'!$AE:$AE,MATCH($A235,'Tournament Setup'!$A:$A,0))&lt;=MOD($Y235,18),1,0)))</f>
      </c>
      <c r="AB235" t="e">
        <f>IF(OR(OR($A235="",$D235=""),H235=""),"",H235-(INT($Y235/18)+IF(INDEX('Tournament Setup'!$AF:$AF,MATCH($A235,'Tournament Setup'!$A:$A,0))&lt;=MOD($Y235,18),1,0)))</f>
      </c>
      <c r="AC235" t="e">
        <f>IF(OR(OR($A235="",$D235=""),I235=""),"",I235-(INT($Y235/18)+IF(INDEX('Tournament Setup'!$AG:$AG,MATCH($A235,'Tournament Setup'!$A:$A,0))&lt;=MOD($Y235,18),1,0)))</f>
      </c>
      <c r="AD235" t="e">
        <f>IF(OR(OR($A235="",$D235=""),J235=""),"",J235-(INT($Y235/18)+IF(INDEX('Tournament Setup'!$AH:$AH,MATCH($A235,'Tournament Setup'!$A:$A,0))&lt;=MOD($Y235,18),1,0)))</f>
      </c>
      <c r="AE235" t="e">
        <f>IF(OR(OR($A235="",$D235=""),K235=""),"",K235-(INT($Y235/18)+IF(INDEX('Tournament Setup'!$AI:$AI,MATCH($A235,'Tournament Setup'!$A:$A,0))&lt;=MOD($Y235,18),1,0)))</f>
      </c>
      <c r="AF235" t="e">
        <f>IF(OR(OR($A235="",$D235=""),L235=""),"",L235-(INT($Y235/18)+IF(INDEX('Tournament Setup'!$AJ:$AJ,MATCH($A235,'Tournament Setup'!$A:$A,0))&lt;=MOD($Y235,18),1,0)))</f>
      </c>
      <c r="AG235" t="e">
        <f>IF(OR(OR($A235="",$D235=""),M235=""),"",M235-(INT($Y235/18)+IF(INDEX('Tournament Setup'!$AK:$AK,MATCH($A235,'Tournament Setup'!$A:$A,0))&lt;=MOD($Y235,18),1,0)))</f>
      </c>
      <c r="AH235" t="e">
        <f>IF(OR(OR($A235="",$D235=""),N235=""),"",N235-(INT($Y235/18)+IF(INDEX('Tournament Setup'!$AL:$AL,MATCH($A235,'Tournament Setup'!$A:$A,0))&lt;=MOD($Y235,18),1,0)))</f>
      </c>
      <c r="AI235" t="e">
        <f>IF(OR(OR($A235="",$D235=""),O235=""),"",O235-(INT($Y235/18)+IF(INDEX('Tournament Setup'!$AM:$AM,MATCH($A235,'Tournament Setup'!$A:$A,0))&lt;=MOD($Y235,18),1,0)))</f>
      </c>
      <c r="AJ235" t="e">
        <f>IF(OR(OR($A235="",$D235=""),P235=""),"",P235-(INT($Y235/18)+IF(INDEX('Tournament Setup'!$AN:$AN,MATCH($A235,'Tournament Setup'!$A:$A,0))&lt;=MOD($Y235,18),1,0)))</f>
      </c>
      <c r="AK235" t="e">
        <f>IF(OR(OR($A235="",$D235=""),Q235=""),"",Q235-(INT($Y235/18)+IF(INDEX('Tournament Setup'!$AO:$AO,MATCH($A235,'Tournament Setup'!$A:$A,0))&lt;=MOD($Y235,18),1,0)))</f>
      </c>
      <c r="AL235" t="e">
        <f>IF(OR(OR($A235="",$D235=""),R235=""),"",R235-(INT($Y235/18)+IF(INDEX('Tournament Setup'!$AP:$AP,MATCH($A235,'Tournament Setup'!$A:$A,0))&lt;=MOD($Y235,18),1,0)))</f>
      </c>
      <c r="AM235" t="e">
        <f>IF(OR(OR($A235="",$D235=""),S235=""),"",S235-(INT($Y235/18)+IF(INDEX('Tournament Setup'!$AQ:$AQ,MATCH($A235,'Tournament Setup'!$A:$A,0))&lt;=MOD($Y235,18),1,0)))</f>
      </c>
      <c r="AN235" t="e">
        <f>IF(OR(OR($A235="",$D235=""),T235=""),"",T235-(INT($Y235/18)+IF(INDEX('Tournament Setup'!$AR:$AR,MATCH($A235,'Tournament Setup'!$A:$A,0))&lt;=MOD($Y235,18),1,0)))</f>
      </c>
      <c r="AO235" t="e">
        <f>IF(OR(OR($A235="",$D235=""),U235=""),"",U235-(INT($Y235/18)+IF(INDEX('Tournament Setup'!$AS:$AS,MATCH($A235,'Tournament Setup'!$A:$A,0))&lt;=MOD($Y235,18),1,0)))</f>
      </c>
      <c r="AP235" t="e">
        <f>IF(OR(OR($A235="",$D235=""),V235=""),"",V235-(INT($Y235/18)+IF(INDEX('Tournament Setup'!$AT:$AT,MATCH($A235,'Tournament Setup'!$A:$A,0))&lt;=MOD($Y235,18),1,0)))</f>
      </c>
      <c r="AQ235" t="e">
        <f>IF(OR(OR($A235="",$D235=""),W235=""),"",W235-(INT($Y235/18)+IF(INDEX('Tournament Setup'!$AU:$AU,MATCH($A235,'Tournament Setup'!$A:$A,0))&lt;=MOD($Y235,18),1,0)))</f>
      </c>
    </row>
    <row r="236">
      <c r="X236" t="e">
        <f>IF(OR($A236="",$D236=""),"",SUM(F236:W236))</f>
      </c>
      <c r="Y236" t="e">
        <f>IF(OR($A236="",$D236=""),"",IF(INDEX('Tournament Setup'!$F:$F,MATCH($A236,'Tournament Setup'!$A:$A,0))="Net",ROUND(($E236-_xlfn.MINIFS($E$2:$E$401,$A$2:$A$401,$A236,$B$2:$B$401,$B236))*INDEX('Tournament Setup'!$G:$G,MATCH($A236,'Tournament Setup'!$A:$A,0))/100,0),0))</f>
      </c>
      <c r="Z236" t="e">
        <f>IF(OR(OR($A236="",$D236=""),F236=""),"",F236-(INT($Y236/18)+IF(INDEX('Tournament Setup'!$AD:$AD,MATCH($A236,'Tournament Setup'!$A:$A,0))&lt;=MOD($Y236,18),1,0)))</f>
      </c>
      <c r="AA236" t="e">
        <f>IF(OR(OR($A236="",$D236=""),G236=""),"",G236-(INT($Y236/18)+IF(INDEX('Tournament Setup'!$AE:$AE,MATCH($A236,'Tournament Setup'!$A:$A,0))&lt;=MOD($Y236,18),1,0)))</f>
      </c>
      <c r="AB236" t="e">
        <f>IF(OR(OR($A236="",$D236=""),H236=""),"",H236-(INT($Y236/18)+IF(INDEX('Tournament Setup'!$AF:$AF,MATCH($A236,'Tournament Setup'!$A:$A,0))&lt;=MOD($Y236,18),1,0)))</f>
      </c>
      <c r="AC236" t="e">
        <f>IF(OR(OR($A236="",$D236=""),I236=""),"",I236-(INT($Y236/18)+IF(INDEX('Tournament Setup'!$AG:$AG,MATCH($A236,'Tournament Setup'!$A:$A,0))&lt;=MOD($Y236,18),1,0)))</f>
      </c>
      <c r="AD236" t="e">
        <f>IF(OR(OR($A236="",$D236=""),J236=""),"",J236-(INT($Y236/18)+IF(INDEX('Tournament Setup'!$AH:$AH,MATCH($A236,'Tournament Setup'!$A:$A,0))&lt;=MOD($Y236,18),1,0)))</f>
      </c>
      <c r="AE236" t="e">
        <f>IF(OR(OR($A236="",$D236=""),K236=""),"",K236-(INT($Y236/18)+IF(INDEX('Tournament Setup'!$AI:$AI,MATCH($A236,'Tournament Setup'!$A:$A,0))&lt;=MOD($Y236,18),1,0)))</f>
      </c>
      <c r="AF236" t="e">
        <f>IF(OR(OR($A236="",$D236=""),L236=""),"",L236-(INT($Y236/18)+IF(INDEX('Tournament Setup'!$AJ:$AJ,MATCH($A236,'Tournament Setup'!$A:$A,0))&lt;=MOD($Y236,18),1,0)))</f>
      </c>
      <c r="AG236" t="e">
        <f>IF(OR(OR($A236="",$D236=""),M236=""),"",M236-(INT($Y236/18)+IF(INDEX('Tournament Setup'!$AK:$AK,MATCH($A236,'Tournament Setup'!$A:$A,0))&lt;=MOD($Y236,18),1,0)))</f>
      </c>
      <c r="AH236" t="e">
        <f>IF(OR(OR($A236="",$D236=""),N236=""),"",N236-(INT($Y236/18)+IF(INDEX('Tournament Setup'!$AL:$AL,MATCH($A236,'Tournament Setup'!$A:$A,0))&lt;=MOD($Y236,18),1,0)))</f>
      </c>
      <c r="AI236" t="e">
        <f>IF(OR(OR($A236="",$D236=""),O236=""),"",O236-(INT($Y236/18)+IF(INDEX('Tournament Setup'!$AM:$AM,MATCH($A236,'Tournament Setup'!$A:$A,0))&lt;=MOD($Y236,18),1,0)))</f>
      </c>
      <c r="AJ236" t="e">
        <f>IF(OR(OR($A236="",$D236=""),P236=""),"",P236-(INT($Y236/18)+IF(INDEX('Tournament Setup'!$AN:$AN,MATCH($A236,'Tournament Setup'!$A:$A,0))&lt;=MOD($Y236,18),1,0)))</f>
      </c>
      <c r="AK236" t="e">
        <f>IF(OR(OR($A236="",$D236=""),Q236=""),"",Q236-(INT($Y236/18)+IF(INDEX('Tournament Setup'!$AO:$AO,MATCH($A236,'Tournament Setup'!$A:$A,0))&lt;=MOD($Y236,18),1,0)))</f>
      </c>
      <c r="AL236" t="e">
        <f>IF(OR(OR($A236="",$D236=""),R236=""),"",R236-(INT($Y236/18)+IF(INDEX('Tournament Setup'!$AP:$AP,MATCH($A236,'Tournament Setup'!$A:$A,0))&lt;=MOD($Y236,18),1,0)))</f>
      </c>
      <c r="AM236" t="e">
        <f>IF(OR(OR($A236="",$D236=""),S236=""),"",S236-(INT($Y236/18)+IF(INDEX('Tournament Setup'!$AQ:$AQ,MATCH($A236,'Tournament Setup'!$A:$A,0))&lt;=MOD($Y236,18),1,0)))</f>
      </c>
      <c r="AN236" t="e">
        <f>IF(OR(OR($A236="",$D236=""),T236=""),"",T236-(INT($Y236/18)+IF(INDEX('Tournament Setup'!$AR:$AR,MATCH($A236,'Tournament Setup'!$A:$A,0))&lt;=MOD($Y236,18),1,0)))</f>
      </c>
      <c r="AO236" t="e">
        <f>IF(OR(OR($A236="",$D236=""),U236=""),"",U236-(INT($Y236/18)+IF(INDEX('Tournament Setup'!$AS:$AS,MATCH($A236,'Tournament Setup'!$A:$A,0))&lt;=MOD($Y236,18),1,0)))</f>
      </c>
      <c r="AP236" t="e">
        <f>IF(OR(OR($A236="",$D236=""),V236=""),"",V236-(INT($Y236/18)+IF(INDEX('Tournament Setup'!$AT:$AT,MATCH($A236,'Tournament Setup'!$A:$A,0))&lt;=MOD($Y236,18),1,0)))</f>
      </c>
      <c r="AQ236" t="e">
        <f>IF(OR(OR($A236="",$D236=""),W236=""),"",W236-(INT($Y236/18)+IF(INDEX('Tournament Setup'!$AU:$AU,MATCH($A236,'Tournament Setup'!$A:$A,0))&lt;=MOD($Y236,18),1,0)))</f>
      </c>
    </row>
    <row r="237">
      <c r="X237" t="e">
        <f>IF(OR($A237="",$D237=""),"",SUM(F237:W237))</f>
      </c>
      <c r="Y237" t="e">
        <f>IF(OR($A237="",$D237=""),"",IF(INDEX('Tournament Setup'!$F:$F,MATCH($A237,'Tournament Setup'!$A:$A,0))="Net",ROUND(($E237-_xlfn.MINIFS($E$2:$E$401,$A$2:$A$401,$A237,$B$2:$B$401,$B237))*INDEX('Tournament Setup'!$G:$G,MATCH($A237,'Tournament Setup'!$A:$A,0))/100,0),0))</f>
      </c>
      <c r="Z237" t="e">
        <f>IF(OR(OR($A237="",$D237=""),F237=""),"",F237-(INT($Y237/18)+IF(INDEX('Tournament Setup'!$AD:$AD,MATCH($A237,'Tournament Setup'!$A:$A,0))&lt;=MOD($Y237,18),1,0)))</f>
      </c>
      <c r="AA237" t="e">
        <f>IF(OR(OR($A237="",$D237=""),G237=""),"",G237-(INT($Y237/18)+IF(INDEX('Tournament Setup'!$AE:$AE,MATCH($A237,'Tournament Setup'!$A:$A,0))&lt;=MOD($Y237,18),1,0)))</f>
      </c>
      <c r="AB237" t="e">
        <f>IF(OR(OR($A237="",$D237=""),H237=""),"",H237-(INT($Y237/18)+IF(INDEX('Tournament Setup'!$AF:$AF,MATCH($A237,'Tournament Setup'!$A:$A,0))&lt;=MOD($Y237,18),1,0)))</f>
      </c>
      <c r="AC237" t="e">
        <f>IF(OR(OR($A237="",$D237=""),I237=""),"",I237-(INT($Y237/18)+IF(INDEX('Tournament Setup'!$AG:$AG,MATCH($A237,'Tournament Setup'!$A:$A,0))&lt;=MOD($Y237,18),1,0)))</f>
      </c>
      <c r="AD237" t="e">
        <f>IF(OR(OR($A237="",$D237=""),J237=""),"",J237-(INT($Y237/18)+IF(INDEX('Tournament Setup'!$AH:$AH,MATCH($A237,'Tournament Setup'!$A:$A,0))&lt;=MOD($Y237,18),1,0)))</f>
      </c>
      <c r="AE237" t="e">
        <f>IF(OR(OR($A237="",$D237=""),K237=""),"",K237-(INT($Y237/18)+IF(INDEX('Tournament Setup'!$AI:$AI,MATCH($A237,'Tournament Setup'!$A:$A,0))&lt;=MOD($Y237,18),1,0)))</f>
      </c>
      <c r="AF237" t="e">
        <f>IF(OR(OR($A237="",$D237=""),L237=""),"",L237-(INT($Y237/18)+IF(INDEX('Tournament Setup'!$AJ:$AJ,MATCH($A237,'Tournament Setup'!$A:$A,0))&lt;=MOD($Y237,18),1,0)))</f>
      </c>
      <c r="AG237" t="e">
        <f>IF(OR(OR($A237="",$D237=""),M237=""),"",M237-(INT($Y237/18)+IF(INDEX('Tournament Setup'!$AK:$AK,MATCH($A237,'Tournament Setup'!$A:$A,0))&lt;=MOD($Y237,18),1,0)))</f>
      </c>
      <c r="AH237" t="e">
        <f>IF(OR(OR($A237="",$D237=""),N237=""),"",N237-(INT($Y237/18)+IF(INDEX('Tournament Setup'!$AL:$AL,MATCH($A237,'Tournament Setup'!$A:$A,0))&lt;=MOD($Y237,18),1,0)))</f>
      </c>
      <c r="AI237" t="e">
        <f>IF(OR(OR($A237="",$D237=""),O237=""),"",O237-(INT($Y237/18)+IF(INDEX('Tournament Setup'!$AM:$AM,MATCH($A237,'Tournament Setup'!$A:$A,0))&lt;=MOD($Y237,18),1,0)))</f>
      </c>
      <c r="AJ237" t="e">
        <f>IF(OR(OR($A237="",$D237=""),P237=""),"",P237-(INT($Y237/18)+IF(INDEX('Tournament Setup'!$AN:$AN,MATCH($A237,'Tournament Setup'!$A:$A,0))&lt;=MOD($Y237,18),1,0)))</f>
      </c>
      <c r="AK237" t="e">
        <f>IF(OR(OR($A237="",$D237=""),Q237=""),"",Q237-(INT($Y237/18)+IF(INDEX('Tournament Setup'!$AO:$AO,MATCH($A237,'Tournament Setup'!$A:$A,0))&lt;=MOD($Y237,18),1,0)))</f>
      </c>
      <c r="AL237" t="e">
        <f>IF(OR(OR($A237="",$D237=""),R237=""),"",R237-(INT($Y237/18)+IF(INDEX('Tournament Setup'!$AP:$AP,MATCH($A237,'Tournament Setup'!$A:$A,0))&lt;=MOD($Y237,18),1,0)))</f>
      </c>
      <c r="AM237" t="e">
        <f>IF(OR(OR($A237="",$D237=""),S237=""),"",S237-(INT($Y237/18)+IF(INDEX('Tournament Setup'!$AQ:$AQ,MATCH($A237,'Tournament Setup'!$A:$A,0))&lt;=MOD($Y237,18),1,0)))</f>
      </c>
      <c r="AN237" t="e">
        <f>IF(OR(OR($A237="",$D237=""),T237=""),"",T237-(INT($Y237/18)+IF(INDEX('Tournament Setup'!$AR:$AR,MATCH($A237,'Tournament Setup'!$A:$A,0))&lt;=MOD($Y237,18),1,0)))</f>
      </c>
      <c r="AO237" t="e">
        <f>IF(OR(OR($A237="",$D237=""),U237=""),"",U237-(INT($Y237/18)+IF(INDEX('Tournament Setup'!$AS:$AS,MATCH($A237,'Tournament Setup'!$A:$A,0))&lt;=MOD($Y237,18),1,0)))</f>
      </c>
      <c r="AP237" t="e">
        <f>IF(OR(OR($A237="",$D237=""),V237=""),"",V237-(INT($Y237/18)+IF(INDEX('Tournament Setup'!$AT:$AT,MATCH($A237,'Tournament Setup'!$A:$A,0))&lt;=MOD($Y237,18),1,0)))</f>
      </c>
      <c r="AQ237" t="e">
        <f>IF(OR(OR($A237="",$D237=""),W237=""),"",W237-(INT($Y237/18)+IF(INDEX('Tournament Setup'!$AU:$AU,MATCH($A237,'Tournament Setup'!$A:$A,0))&lt;=MOD($Y237,18),1,0)))</f>
      </c>
    </row>
    <row r="238">
      <c r="X238" t="e">
        <f>IF(OR($A238="",$D238=""),"",SUM(F238:W238))</f>
      </c>
      <c r="Y238" t="e">
        <f>IF(OR($A238="",$D238=""),"",IF(INDEX('Tournament Setup'!$F:$F,MATCH($A238,'Tournament Setup'!$A:$A,0))="Net",ROUND(($E238-_xlfn.MINIFS($E$2:$E$401,$A$2:$A$401,$A238,$B$2:$B$401,$B238))*INDEX('Tournament Setup'!$G:$G,MATCH($A238,'Tournament Setup'!$A:$A,0))/100,0),0))</f>
      </c>
      <c r="Z238" t="e">
        <f>IF(OR(OR($A238="",$D238=""),F238=""),"",F238-(INT($Y238/18)+IF(INDEX('Tournament Setup'!$AD:$AD,MATCH($A238,'Tournament Setup'!$A:$A,0))&lt;=MOD($Y238,18),1,0)))</f>
      </c>
      <c r="AA238" t="e">
        <f>IF(OR(OR($A238="",$D238=""),G238=""),"",G238-(INT($Y238/18)+IF(INDEX('Tournament Setup'!$AE:$AE,MATCH($A238,'Tournament Setup'!$A:$A,0))&lt;=MOD($Y238,18),1,0)))</f>
      </c>
      <c r="AB238" t="e">
        <f>IF(OR(OR($A238="",$D238=""),H238=""),"",H238-(INT($Y238/18)+IF(INDEX('Tournament Setup'!$AF:$AF,MATCH($A238,'Tournament Setup'!$A:$A,0))&lt;=MOD($Y238,18),1,0)))</f>
      </c>
      <c r="AC238" t="e">
        <f>IF(OR(OR($A238="",$D238=""),I238=""),"",I238-(INT($Y238/18)+IF(INDEX('Tournament Setup'!$AG:$AG,MATCH($A238,'Tournament Setup'!$A:$A,0))&lt;=MOD($Y238,18),1,0)))</f>
      </c>
      <c r="AD238" t="e">
        <f>IF(OR(OR($A238="",$D238=""),J238=""),"",J238-(INT($Y238/18)+IF(INDEX('Tournament Setup'!$AH:$AH,MATCH($A238,'Tournament Setup'!$A:$A,0))&lt;=MOD($Y238,18),1,0)))</f>
      </c>
      <c r="AE238" t="e">
        <f>IF(OR(OR($A238="",$D238=""),K238=""),"",K238-(INT($Y238/18)+IF(INDEX('Tournament Setup'!$AI:$AI,MATCH($A238,'Tournament Setup'!$A:$A,0))&lt;=MOD($Y238,18),1,0)))</f>
      </c>
      <c r="AF238" t="e">
        <f>IF(OR(OR($A238="",$D238=""),L238=""),"",L238-(INT($Y238/18)+IF(INDEX('Tournament Setup'!$AJ:$AJ,MATCH($A238,'Tournament Setup'!$A:$A,0))&lt;=MOD($Y238,18),1,0)))</f>
      </c>
      <c r="AG238" t="e">
        <f>IF(OR(OR($A238="",$D238=""),M238=""),"",M238-(INT($Y238/18)+IF(INDEX('Tournament Setup'!$AK:$AK,MATCH($A238,'Tournament Setup'!$A:$A,0))&lt;=MOD($Y238,18),1,0)))</f>
      </c>
      <c r="AH238" t="e">
        <f>IF(OR(OR($A238="",$D238=""),N238=""),"",N238-(INT($Y238/18)+IF(INDEX('Tournament Setup'!$AL:$AL,MATCH($A238,'Tournament Setup'!$A:$A,0))&lt;=MOD($Y238,18),1,0)))</f>
      </c>
      <c r="AI238" t="e">
        <f>IF(OR(OR($A238="",$D238=""),O238=""),"",O238-(INT($Y238/18)+IF(INDEX('Tournament Setup'!$AM:$AM,MATCH($A238,'Tournament Setup'!$A:$A,0))&lt;=MOD($Y238,18),1,0)))</f>
      </c>
      <c r="AJ238" t="e">
        <f>IF(OR(OR($A238="",$D238=""),P238=""),"",P238-(INT($Y238/18)+IF(INDEX('Tournament Setup'!$AN:$AN,MATCH($A238,'Tournament Setup'!$A:$A,0))&lt;=MOD($Y238,18),1,0)))</f>
      </c>
      <c r="AK238" t="e">
        <f>IF(OR(OR($A238="",$D238=""),Q238=""),"",Q238-(INT($Y238/18)+IF(INDEX('Tournament Setup'!$AO:$AO,MATCH($A238,'Tournament Setup'!$A:$A,0))&lt;=MOD($Y238,18),1,0)))</f>
      </c>
      <c r="AL238" t="e">
        <f>IF(OR(OR($A238="",$D238=""),R238=""),"",R238-(INT($Y238/18)+IF(INDEX('Tournament Setup'!$AP:$AP,MATCH($A238,'Tournament Setup'!$A:$A,0))&lt;=MOD($Y238,18),1,0)))</f>
      </c>
      <c r="AM238" t="e">
        <f>IF(OR(OR($A238="",$D238=""),S238=""),"",S238-(INT($Y238/18)+IF(INDEX('Tournament Setup'!$AQ:$AQ,MATCH($A238,'Tournament Setup'!$A:$A,0))&lt;=MOD($Y238,18),1,0)))</f>
      </c>
      <c r="AN238" t="e">
        <f>IF(OR(OR($A238="",$D238=""),T238=""),"",T238-(INT($Y238/18)+IF(INDEX('Tournament Setup'!$AR:$AR,MATCH($A238,'Tournament Setup'!$A:$A,0))&lt;=MOD($Y238,18),1,0)))</f>
      </c>
      <c r="AO238" t="e">
        <f>IF(OR(OR($A238="",$D238=""),U238=""),"",U238-(INT($Y238/18)+IF(INDEX('Tournament Setup'!$AS:$AS,MATCH($A238,'Tournament Setup'!$A:$A,0))&lt;=MOD($Y238,18),1,0)))</f>
      </c>
      <c r="AP238" t="e">
        <f>IF(OR(OR($A238="",$D238=""),V238=""),"",V238-(INT($Y238/18)+IF(INDEX('Tournament Setup'!$AT:$AT,MATCH($A238,'Tournament Setup'!$A:$A,0))&lt;=MOD($Y238,18),1,0)))</f>
      </c>
      <c r="AQ238" t="e">
        <f>IF(OR(OR($A238="",$D238=""),W238=""),"",W238-(INT($Y238/18)+IF(INDEX('Tournament Setup'!$AU:$AU,MATCH($A238,'Tournament Setup'!$A:$A,0))&lt;=MOD($Y238,18),1,0)))</f>
      </c>
    </row>
    <row r="239">
      <c r="X239" t="e">
        <f>IF(OR($A239="",$D239=""),"",SUM(F239:W239))</f>
      </c>
      <c r="Y239" t="e">
        <f>IF(OR($A239="",$D239=""),"",IF(INDEX('Tournament Setup'!$F:$F,MATCH($A239,'Tournament Setup'!$A:$A,0))="Net",ROUND(($E239-_xlfn.MINIFS($E$2:$E$401,$A$2:$A$401,$A239,$B$2:$B$401,$B239))*INDEX('Tournament Setup'!$G:$G,MATCH($A239,'Tournament Setup'!$A:$A,0))/100,0),0))</f>
      </c>
      <c r="Z239" t="e">
        <f>IF(OR(OR($A239="",$D239=""),F239=""),"",F239-(INT($Y239/18)+IF(INDEX('Tournament Setup'!$AD:$AD,MATCH($A239,'Tournament Setup'!$A:$A,0))&lt;=MOD($Y239,18),1,0)))</f>
      </c>
      <c r="AA239" t="e">
        <f>IF(OR(OR($A239="",$D239=""),G239=""),"",G239-(INT($Y239/18)+IF(INDEX('Tournament Setup'!$AE:$AE,MATCH($A239,'Tournament Setup'!$A:$A,0))&lt;=MOD($Y239,18),1,0)))</f>
      </c>
      <c r="AB239" t="e">
        <f>IF(OR(OR($A239="",$D239=""),H239=""),"",H239-(INT($Y239/18)+IF(INDEX('Tournament Setup'!$AF:$AF,MATCH($A239,'Tournament Setup'!$A:$A,0))&lt;=MOD($Y239,18),1,0)))</f>
      </c>
      <c r="AC239" t="e">
        <f>IF(OR(OR($A239="",$D239=""),I239=""),"",I239-(INT($Y239/18)+IF(INDEX('Tournament Setup'!$AG:$AG,MATCH($A239,'Tournament Setup'!$A:$A,0))&lt;=MOD($Y239,18),1,0)))</f>
      </c>
      <c r="AD239" t="e">
        <f>IF(OR(OR($A239="",$D239=""),J239=""),"",J239-(INT($Y239/18)+IF(INDEX('Tournament Setup'!$AH:$AH,MATCH($A239,'Tournament Setup'!$A:$A,0))&lt;=MOD($Y239,18),1,0)))</f>
      </c>
      <c r="AE239" t="e">
        <f>IF(OR(OR($A239="",$D239=""),K239=""),"",K239-(INT($Y239/18)+IF(INDEX('Tournament Setup'!$AI:$AI,MATCH($A239,'Tournament Setup'!$A:$A,0))&lt;=MOD($Y239,18),1,0)))</f>
      </c>
      <c r="AF239" t="e">
        <f>IF(OR(OR($A239="",$D239=""),L239=""),"",L239-(INT($Y239/18)+IF(INDEX('Tournament Setup'!$AJ:$AJ,MATCH($A239,'Tournament Setup'!$A:$A,0))&lt;=MOD($Y239,18),1,0)))</f>
      </c>
      <c r="AG239" t="e">
        <f>IF(OR(OR($A239="",$D239=""),M239=""),"",M239-(INT($Y239/18)+IF(INDEX('Tournament Setup'!$AK:$AK,MATCH($A239,'Tournament Setup'!$A:$A,0))&lt;=MOD($Y239,18),1,0)))</f>
      </c>
      <c r="AH239" t="e">
        <f>IF(OR(OR($A239="",$D239=""),N239=""),"",N239-(INT($Y239/18)+IF(INDEX('Tournament Setup'!$AL:$AL,MATCH($A239,'Tournament Setup'!$A:$A,0))&lt;=MOD($Y239,18),1,0)))</f>
      </c>
      <c r="AI239" t="e">
        <f>IF(OR(OR($A239="",$D239=""),O239=""),"",O239-(INT($Y239/18)+IF(INDEX('Tournament Setup'!$AM:$AM,MATCH($A239,'Tournament Setup'!$A:$A,0))&lt;=MOD($Y239,18),1,0)))</f>
      </c>
      <c r="AJ239" t="e">
        <f>IF(OR(OR($A239="",$D239=""),P239=""),"",P239-(INT($Y239/18)+IF(INDEX('Tournament Setup'!$AN:$AN,MATCH($A239,'Tournament Setup'!$A:$A,0))&lt;=MOD($Y239,18),1,0)))</f>
      </c>
      <c r="AK239" t="e">
        <f>IF(OR(OR($A239="",$D239=""),Q239=""),"",Q239-(INT($Y239/18)+IF(INDEX('Tournament Setup'!$AO:$AO,MATCH($A239,'Tournament Setup'!$A:$A,0))&lt;=MOD($Y239,18),1,0)))</f>
      </c>
      <c r="AL239" t="e">
        <f>IF(OR(OR($A239="",$D239=""),R239=""),"",R239-(INT($Y239/18)+IF(INDEX('Tournament Setup'!$AP:$AP,MATCH($A239,'Tournament Setup'!$A:$A,0))&lt;=MOD($Y239,18),1,0)))</f>
      </c>
      <c r="AM239" t="e">
        <f>IF(OR(OR($A239="",$D239=""),S239=""),"",S239-(INT($Y239/18)+IF(INDEX('Tournament Setup'!$AQ:$AQ,MATCH($A239,'Tournament Setup'!$A:$A,0))&lt;=MOD($Y239,18),1,0)))</f>
      </c>
      <c r="AN239" t="e">
        <f>IF(OR(OR($A239="",$D239=""),T239=""),"",T239-(INT($Y239/18)+IF(INDEX('Tournament Setup'!$AR:$AR,MATCH($A239,'Tournament Setup'!$A:$A,0))&lt;=MOD($Y239,18),1,0)))</f>
      </c>
      <c r="AO239" t="e">
        <f>IF(OR(OR($A239="",$D239=""),U239=""),"",U239-(INT($Y239/18)+IF(INDEX('Tournament Setup'!$AS:$AS,MATCH($A239,'Tournament Setup'!$A:$A,0))&lt;=MOD($Y239,18),1,0)))</f>
      </c>
      <c r="AP239" t="e">
        <f>IF(OR(OR($A239="",$D239=""),V239=""),"",V239-(INT($Y239/18)+IF(INDEX('Tournament Setup'!$AT:$AT,MATCH($A239,'Tournament Setup'!$A:$A,0))&lt;=MOD($Y239,18),1,0)))</f>
      </c>
      <c r="AQ239" t="e">
        <f>IF(OR(OR($A239="",$D239=""),W239=""),"",W239-(INT($Y239/18)+IF(INDEX('Tournament Setup'!$AU:$AU,MATCH($A239,'Tournament Setup'!$A:$A,0))&lt;=MOD($Y239,18),1,0)))</f>
      </c>
    </row>
    <row r="240">
      <c r="X240" t="e">
        <f>IF(OR($A240="",$D240=""),"",SUM(F240:W240))</f>
      </c>
      <c r="Y240" t="e">
        <f>IF(OR($A240="",$D240=""),"",IF(INDEX('Tournament Setup'!$F:$F,MATCH($A240,'Tournament Setup'!$A:$A,0))="Net",ROUND(($E240-_xlfn.MINIFS($E$2:$E$401,$A$2:$A$401,$A240,$B$2:$B$401,$B240))*INDEX('Tournament Setup'!$G:$G,MATCH($A240,'Tournament Setup'!$A:$A,0))/100,0),0))</f>
      </c>
      <c r="Z240" t="e">
        <f>IF(OR(OR($A240="",$D240=""),F240=""),"",F240-(INT($Y240/18)+IF(INDEX('Tournament Setup'!$AD:$AD,MATCH($A240,'Tournament Setup'!$A:$A,0))&lt;=MOD($Y240,18),1,0)))</f>
      </c>
      <c r="AA240" t="e">
        <f>IF(OR(OR($A240="",$D240=""),G240=""),"",G240-(INT($Y240/18)+IF(INDEX('Tournament Setup'!$AE:$AE,MATCH($A240,'Tournament Setup'!$A:$A,0))&lt;=MOD($Y240,18),1,0)))</f>
      </c>
      <c r="AB240" t="e">
        <f>IF(OR(OR($A240="",$D240=""),H240=""),"",H240-(INT($Y240/18)+IF(INDEX('Tournament Setup'!$AF:$AF,MATCH($A240,'Tournament Setup'!$A:$A,0))&lt;=MOD($Y240,18),1,0)))</f>
      </c>
      <c r="AC240" t="e">
        <f>IF(OR(OR($A240="",$D240=""),I240=""),"",I240-(INT($Y240/18)+IF(INDEX('Tournament Setup'!$AG:$AG,MATCH($A240,'Tournament Setup'!$A:$A,0))&lt;=MOD($Y240,18),1,0)))</f>
      </c>
      <c r="AD240" t="e">
        <f>IF(OR(OR($A240="",$D240=""),J240=""),"",J240-(INT($Y240/18)+IF(INDEX('Tournament Setup'!$AH:$AH,MATCH($A240,'Tournament Setup'!$A:$A,0))&lt;=MOD($Y240,18),1,0)))</f>
      </c>
      <c r="AE240" t="e">
        <f>IF(OR(OR($A240="",$D240=""),K240=""),"",K240-(INT($Y240/18)+IF(INDEX('Tournament Setup'!$AI:$AI,MATCH($A240,'Tournament Setup'!$A:$A,0))&lt;=MOD($Y240,18),1,0)))</f>
      </c>
      <c r="AF240" t="e">
        <f>IF(OR(OR($A240="",$D240=""),L240=""),"",L240-(INT($Y240/18)+IF(INDEX('Tournament Setup'!$AJ:$AJ,MATCH($A240,'Tournament Setup'!$A:$A,0))&lt;=MOD($Y240,18),1,0)))</f>
      </c>
      <c r="AG240" t="e">
        <f>IF(OR(OR($A240="",$D240=""),M240=""),"",M240-(INT($Y240/18)+IF(INDEX('Tournament Setup'!$AK:$AK,MATCH($A240,'Tournament Setup'!$A:$A,0))&lt;=MOD($Y240,18),1,0)))</f>
      </c>
      <c r="AH240" t="e">
        <f>IF(OR(OR($A240="",$D240=""),N240=""),"",N240-(INT($Y240/18)+IF(INDEX('Tournament Setup'!$AL:$AL,MATCH($A240,'Tournament Setup'!$A:$A,0))&lt;=MOD($Y240,18),1,0)))</f>
      </c>
      <c r="AI240" t="e">
        <f>IF(OR(OR($A240="",$D240=""),O240=""),"",O240-(INT($Y240/18)+IF(INDEX('Tournament Setup'!$AM:$AM,MATCH($A240,'Tournament Setup'!$A:$A,0))&lt;=MOD($Y240,18),1,0)))</f>
      </c>
      <c r="AJ240" t="e">
        <f>IF(OR(OR($A240="",$D240=""),P240=""),"",P240-(INT($Y240/18)+IF(INDEX('Tournament Setup'!$AN:$AN,MATCH($A240,'Tournament Setup'!$A:$A,0))&lt;=MOD($Y240,18),1,0)))</f>
      </c>
      <c r="AK240" t="e">
        <f>IF(OR(OR($A240="",$D240=""),Q240=""),"",Q240-(INT($Y240/18)+IF(INDEX('Tournament Setup'!$AO:$AO,MATCH($A240,'Tournament Setup'!$A:$A,0))&lt;=MOD($Y240,18),1,0)))</f>
      </c>
      <c r="AL240" t="e">
        <f>IF(OR(OR($A240="",$D240=""),R240=""),"",R240-(INT($Y240/18)+IF(INDEX('Tournament Setup'!$AP:$AP,MATCH($A240,'Tournament Setup'!$A:$A,0))&lt;=MOD($Y240,18),1,0)))</f>
      </c>
      <c r="AM240" t="e">
        <f>IF(OR(OR($A240="",$D240=""),S240=""),"",S240-(INT($Y240/18)+IF(INDEX('Tournament Setup'!$AQ:$AQ,MATCH($A240,'Tournament Setup'!$A:$A,0))&lt;=MOD($Y240,18),1,0)))</f>
      </c>
      <c r="AN240" t="e">
        <f>IF(OR(OR($A240="",$D240=""),T240=""),"",T240-(INT($Y240/18)+IF(INDEX('Tournament Setup'!$AR:$AR,MATCH($A240,'Tournament Setup'!$A:$A,0))&lt;=MOD($Y240,18),1,0)))</f>
      </c>
      <c r="AO240" t="e">
        <f>IF(OR(OR($A240="",$D240=""),U240=""),"",U240-(INT($Y240/18)+IF(INDEX('Tournament Setup'!$AS:$AS,MATCH($A240,'Tournament Setup'!$A:$A,0))&lt;=MOD($Y240,18),1,0)))</f>
      </c>
      <c r="AP240" t="e">
        <f>IF(OR(OR($A240="",$D240=""),V240=""),"",V240-(INT($Y240/18)+IF(INDEX('Tournament Setup'!$AT:$AT,MATCH($A240,'Tournament Setup'!$A:$A,0))&lt;=MOD($Y240,18),1,0)))</f>
      </c>
      <c r="AQ240" t="e">
        <f>IF(OR(OR($A240="",$D240=""),W240=""),"",W240-(INT($Y240/18)+IF(INDEX('Tournament Setup'!$AU:$AU,MATCH($A240,'Tournament Setup'!$A:$A,0))&lt;=MOD($Y240,18),1,0)))</f>
      </c>
    </row>
    <row r="241">
      <c r="X241" t="e">
        <f>IF(OR($A241="",$D241=""),"",SUM(F241:W241))</f>
      </c>
      <c r="Y241" t="e">
        <f>IF(OR($A241="",$D241=""),"",IF(INDEX('Tournament Setup'!$F:$F,MATCH($A241,'Tournament Setup'!$A:$A,0))="Net",ROUND(($E241-_xlfn.MINIFS($E$2:$E$401,$A$2:$A$401,$A241,$B$2:$B$401,$B241))*INDEX('Tournament Setup'!$G:$G,MATCH($A241,'Tournament Setup'!$A:$A,0))/100,0),0))</f>
      </c>
      <c r="Z241" t="e">
        <f>IF(OR(OR($A241="",$D241=""),F241=""),"",F241-(INT($Y241/18)+IF(INDEX('Tournament Setup'!$AD:$AD,MATCH($A241,'Tournament Setup'!$A:$A,0))&lt;=MOD($Y241,18),1,0)))</f>
      </c>
      <c r="AA241" t="e">
        <f>IF(OR(OR($A241="",$D241=""),G241=""),"",G241-(INT($Y241/18)+IF(INDEX('Tournament Setup'!$AE:$AE,MATCH($A241,'Tournament Setup'!$A:$A,0))&lt;=MOD($Y241,18),1,0)))</f>
      </c>
      <c r="AB241" t="e">
        <f>IF(OR(OR($A241="",$D241=""),H241=""),"",H241-(INT($Y241/18)+IF(INDEX('Tournament Setup'!$AF:$AF,MATCH($A241,'Tournament Setup'!$A:$A,0))&lt;=MOD($Y241,18),1,0)))</f>
      </c>
      <c r="AC241" t="e">
        <f>IF(OR(OR($A241="",$D241=""),I241=""),"",I241-(INT($Y241/18)+IF(INDEX('Tournament Setup'!$AG:$AG,MATCH($A241,'Tournament Setup'!$A:$A,0))&lt;=MOD($Y241,18),1,0)))</f>
      </c>
      <c r="AD241" t="e">
        <f>IF(OR(OR($A241="",$D241=""),J241=""),"",J241-(INT($Y241/18)+IF(INDEX('Tournament Setup'!$AH:$AH,MATCH($A241,'Tournament Setup'!$A:$A,0))&lt;=MOD($Y241,18),1,0)))</f>
      </c>
      <c r="AE241" t="e">
        <f>IF(OR(OR($A241="",$D241=""),K241=""),"",K241-(INT($Y241/18)+IF(INDEX('Tournament Setup'!$AI:$AI,MATCH($A241,'Tournament Setup'!$A:$A,0))&lt;=MOD($Y241,18),1,0)))</f>
      </c>
      <c r="AF241" t="e">
        <f>IF(OR(OR($A241="",$D241=""),L241=""),"",L241-(INT($Y241/18)+IF(INDEX('Tournament Setup'!$AJ:$AJ,MATCH($A241,'Tournament Setup'!$A:$A,0))&lt;=MOD($Y241,18),1,0)))</f>
      </c>
      <c r="AG241" t="e">
        <f>IF(OR(OR($A241="",$D241=""),M241=""),"",M241-(INT($Y241/18)+IF(INDEX('Tournament Setup'!$AK:$AK,MATCH($A241,'Tournament Setup'!$A:$A,0))&lt;=MOD($Y241,18),1,0)))</f>
      </c>
      <c r="AH241" t="e">
        <f>IF(OR(OR($A241="",$D241=""),N241=""),"",N241-(INT($Y241/18)+IF(INDEX('Tournament Setup'!$AL:$AL,MATCH($A241,'Tournament Setup'!$A:$A,0))&lt;=MOD($Y241,18),1,0)))</f>
      </c>
      <c r="AI241" t="e">
        <f>IF(OR(OR($A241="",$D241=""),O241=""),"",O241-(INT($Y241/18)+IF(INDEX('Tournament Setup'!$AM:$AM,MATCH($A241,'Tournament Setup'!$A:$A,0))&lt;=MOD($Y241,18),1,0)))</f>
      </c>
      <c r="AJ241" t="e">
        <f>IF(OR(OR($A241="",$D241=""),P241=""),"",P241-(INT($Y241/18)+IF(INDEX('Tournament Setup'!$AN:$AN,MATCH($A241,'Tournament Setup'!$A:$A,0))&lt;=MOD($Y241,18),1,0)))</f>
      </c>
      <c r="AK241" t="e">
        <f>IF(OR(OR($A241="",$D241=""),Q241=""),"",Q241-(INT($Y241/18)+IF(INDEX('Tournament Setup'!$AO:$AO,MATCH($A241,'Tournament Setup'!$A:$A,0))&lt;=MOD($Y241,18),1,0)))</f>
      </c>
      <c r="AL241" t="e">
        <f>IF(OR(OR($A241="",$D241=""),R241=""),"",R241-(INT($Y241/18)+IF(INDEX('Tournament Setup'!$AP:$AP,MATCH($A241,'Tournament Setup'!$A:$A,0))&lt;=MOD($Y241,18),1,0)))</f>
      </c>
      <c r="AM241" t="e">
        <f>IF(OR(OR($A241="",$D241=""),S241=""),"",S241-(INT($Y241/18)+IF(INDEX('Tournament Setup'!$AQ:$AQ,MATCH($A241,'Tournament Setup'!$A:$A,0))&lt;=MOD($Y241,18),1,0)))</f>
      </c>
      <c r="AN241" t="e">
        <f>IF(OR(OR($A241="",$D241=""),T241=""),"",T241-(INT($Y241/18)+IF(INDEX('Tournament Setup'!$AR:$AR,MATCH($A241,'Tournament Setup'!$A:$A,0))&lt;=MOD($Y241,18),1,0)))</f>
      </c>
      <c r="AO241" t="e">
        <f>IF(OR(OR($A241="",$D241=""),U241=""),"",U241-(INT($Y241/18)+IF(INDEX('Tournament Setup'!$AS:$AS,MATCH($A241,'Tournament Setup'!$A:$A,0))&lt;=MOD($Y241,18),1,0)))</f>
      </c>
      <c r="AP241" t="e">
        <f>IF(OR(OR($A241="",$D241=""),V241=""),"",V241-(INT($Y241/18)+IF(INDEX('Tournament Setup'!$AT:$AT,MATCH($A241,'Tournament Setup'!$A:$A,0))&lt;=MOD($Y241,18),1,0)))</f>
      </c>
      <c r="AQ241" t="e">
        <f>IF(OR(OR($A241="",$D241=""),W241=""),"",W241-(INT($Y241/18)+IF(INDEX('Tournament Setup'!$AU:$AU,MATCH($A241,'Tournament Setup'!$A:$A,0))&lt;=MOD($Y241,18),1,0)))</f>
      </c>
    </row>
    <row r="242">
      <c r="X242" t="e">
        <f>IF(OR($A242="",$D242=""),"",SUM(F242:W242))</f>
      </c>
      <c r="Y242" t="e">
        <f>IF(OR($A242="",$D242=""),"",IF(INDEX('Tournament Setup'!$F:$F,MATCH($A242,'Tournament Setup'!$A:$A,0))="Net",ROUND(($E242-_xlfn.MINIFS($E$2:$E$401,$A$2:$A$401,$A242,$B$2:$B$401,$B242))*INDEX('Tournament Setup'!$G:$G,MATCH($A242,'Tournament Setup'!$A:$A,0))/100,0),0))</f>
      </c>
      <c r="Z242" t="e">
        <f>IF(OR(OR($A242="",$D242=""),F242=""),"",F242-(INT($Y242/18)+IF(INDEX('Tournament Setup'!$AD:$AD,MATCH($A242,'Tournament Setup'!$A:$A,0))&lt;=MOD($Y242,18),1,0)))</f>
      </c>
      <c r="AA242" t="e">
        <f>IF(OR(OR($A242="",$D242=""),G242=""),"",G242-(INT($Y242/18)+IF(INDEX('Tournament Setup'!$AE:$AE,MATCH($A242,'Tournament Setup'!$A:$A,0))&lt;=MOD($Y242,18),1,0)))</f>
      </c>
      <c r="AB242" t="e">
        <f>IF(OR(OR($A242="",$D242=""),H242=""),"",H242-(INT($Y242/18)+IF(INDEX('Tournament Setup'!$AF:$AF,MATCH($A242,'Tournament Setup'!$A:$A,0))&lt;=MOD($Y242,18),1,0)))</f>
      </c>
      <c r="AC242" t="e">
        <f>IF(OR(OR($A242="",$D242=""),I242=""),"",I242-(INT($Y242/18)+IF(INDEX('Tournament Setup'!$AG:$AG,MATCH($A242,'Tournament Setup'!$A:$A,0))&lt;=MOD($Y242,18),1,0)))</f>
      </c>
      <c r="AD242" t="e">
        <f>IF(OR(OR($A242="",$D242=""),J242=""),"",J242-(INT($Y242/18)+IF(INDEX('Tournament Setup'!$AH:$AH,MATCH($A242,'Tournament Setup'!$A:$A,0))&lt;=MOD($Y242,18),1,0)))</f>
      </c>
      <c r="AE242" t="e">
        <f>IF(OR(OR($A242="",$D242=""),K242=""),"",K242-(INT($Y242/18)+IF(INDEX('Tournament Setup'!$AI:$AI,MATCH($A242,'Tournament Setup'!$A:$A,0))&lt;=MOD($Y242,18),1,0)))</f>
      </c>
      <c r="AF242" t="e">
        <f>IF(OR(OR($A242="",$D242=""),L242=""),"",L242-(INT($Y242/18)+IF(INDEX('Tournament Setup'!$AJ:$AJ,MATCH($A242,'Tournament Setup'!$A:$A,0))&lt;=MOD($Y242,18),1,0)))</f>
      </c>
      <c r="AG242" t="e">
        <f>IF(OR(OR($A242="",$D242=""),M242=""),"",M242-(INT($Y242/18)+IF(INDEX('Tournament Setup'!$AK:$AK,MATCH($A242,'Tournament Setup'!$A:$A,0))&lt;=MOD($Y242,18),1,0)))</f>
      </c>
      <c r="AH242" t="e">
        <f>IF(OR(OR($A242="",$D242=""),N242=""),"",N242-(INT($Y242/18)+IF(INDEX('Tournament Setup'!$AL:$AL,MATCH($A242,'Tournament Setup'!$A:$A,0))&lt;=MOD($Y242,18),1,0)))</f>
      </c>
      <c r="AI242" t="e">
        <f>IF(OR(OR($A242="",$D242=""),O242=""),"",O242-(INT($Y242/18)+IF(INDEX('Tournament Setup'!$AM:$AM,MATCH($A242,'Tournament Setup'!$A:$A,0))&lt;=MOD($Y242,18),1,0)))</f>
      </c>
      <c r="AJ242" t="e">
        <f>IF(OR(OR($A242="",$D242=""),P242=""),"",P242-(INT($Y242/18)+IF(INDEX('Tournament Setup'!$AN:$AN,MATCH($A242,'Tournament Setup'!$A:$A,0))&lt;=MOD($Y242,18),1,0)))</f>
      </c>
      <c r="AK242" t="e">
        <f>IF(OR(OR($A242="",$D242=""),Q242=""),"",Q242-(INT($Y242/18)+IF(INDEX('Tournament Setup'!$AO:$AO,MATCH($A242,'Tournament Setup'!$A:$A,0))&lt;=MOD($Y242,18),1,0)))</f>
      </c>
      <c r="AL242" t="e">
        <f>IF(OR(OR($A242="",$D242=""),R242=""),"",R242-(INT($Y242/18)+IF(INDEX('Tournament Setup'!$AP:$AP,MATCH($A242,'Tournament Setup'!$A:$A,0))&lt;=MOD($Y242,18),1,0)))</f>
      </c>
      <c r="AM242" t="e">
        <f>IF(OR(OR($A242="",$D242=""),S242=""),"",S242-(INT($Y242/18)+IF(INDEX('Tournament Setup'!$AQ:$AQ,MATCH($A242,'Tournament Setup'!$A:$A,0))&lt;=MOD($Y242,18),1,0)))</f>
      </c>
      <c r="AN242" t="e">
        <f>IF(OR(OR($A242="",$D242=""),T242=""),"",T242-(INT($Y242/18)+IF(INDEX('Tournament Setup'!$AR:$AR,MATCH($A242,'Tournament Setup'!$A:$A,0))&lt;=MOD($Y242,18),1,0)))</f>
      </c>
      <c r="AO242" t="e">
        <f>IF(OR(OR($A242="",$D242=""),U242=""),"",U242-(INT($Y242/18)+IF(INDEX('Tournament Setup'!$AS:$AS,MATCH($A242,'Tournament Setup'!$A:$A,0))&lt;=MOD($Y242,18),1,0)))</f>
      </c>
      <c r="AP242" t="e">
        <f>IF(OR(OR($A242="",$D242=""),V242=""),"",V242-(INT($Y242/18)+IF(INDEX('Tournament Setup'!$AT:$AT,MATCH($A242,'Tournament Setup'!$A:$A,0))&lt;=MOD($Y242,18),1,0)))</f>
      </c>
      <c r="AQ242" t="e">
        <f>IF(OR(OR($A242="",$D242=""),W242=""),"",W242-(INT($Y242/18)+IF(INDEX('Tournament Setup'!$AU:$AU,MATCH($A242,'Tournament Setup'!$A:$A,0))&lt;=MOD($Y242,18),1,0)))</f>
      </c>
    </row>
    <row r="243">
      <c r="X243" t="e">
        <f>IF(OR($A243="",$D243=""),"",SUM(F243:W243))</f>
      </c>
      <c r="Y243" t="e">
        <f>IF(OR($A243="",$D243=""),"",IF(INDEX('Tournament Setup'!$F:$F,MATCH($A243,'Tournament Setup'!$A:$A,0))="Net",ROUND(($E243-_xlfn.MINIFS($E$2:$E$401,$A$2:$A$401,$A243,$B$2:$B$401,$B243))*INDEX('Tournament Setup'!$G:$G,MATCH($A243,'Tournament Setup'!$A:$A,0))/100,0),0))</f>
      </c>
      <c r="Z243" t="e">
        <f>IF(OR(OR($A243="",$D243=""),F243=""),"",F243-(INT($Y243/18)+IF(INDEX('Tournament Setup'!$AD:$AD,MATCH($A243,'Tournament Setup'!$A:$A,0))&lt;=MOD($Y243,18),1,0)))</f>
      </c>
      <c r="AA243" t="e">
        <f>IF(OR(OR($A243="",$D243=""),G243=""),"",G243-(INT($Y243/18)+IF(INDEX('Tournament Setup'!$AE:$AE,MATCH($A243,'Tournament Setup'!$A:$A,0))&lt;=MOD($Y243,18),1,0)))</f>
      </c>
      <c r="AB243" t="e">
        <f>IF(OR(OR($A243="",$D243=""),H243=""),"",H243-(INT($Y243/18)+IF(INDEX('Tournament Setup'!$AF:$AF,MATCH($A243,'Tournament Setup'!$A:$A,0))&lt;=MOD($Y243,18),1,0)))</f>
      </c>
      <c r="AC243" t="e">
        <f>IF(OR(OR($A243="",$D243=""),I243=""),"",I243-(INT($Y243/18)+IF(INDEX('Tournament Setup'!$AG:$AG,MATCH($A243,'Tournament Setup'!$A:$A,0))&lt;=MOD($Y243,18),1,0)))</f>
      </c>
      <c r="AD243" t="e">
        <f>IF(OR(OR($A243="",$D243=""),J243=""),"",J243-(INT($Y243/18)+IF(INDEX('Tournament Setup'!$AH:$AH,MATCH($A243,'Tournament Setup'!$A:$A,0))&lt;=MOD($Y243,18),1,0)))</f>
      </c>
      <c r="AE243" t="e">
        <f>IF(OR(OR($A243="",$D243=""),K243=""),"",K243-(INT($Y243/18)+IF(INDEX('Tournament Setup'!$AI:$AI,MATCH($A243,'Tournament Setup'!$A:$A,0))&lt;=MOD($Y243,18),1,0)))</f>
      </c>
      <c r="AF243" t="e">
        <f>IF(OR(OR($A243="",$D243=""),L243=""),"",L243-(INT($Y243/18)+IF(INDEX('Tournament Setup'!$AJ:$AJ,MATCH($A243,'Tournament Setup'!$A:$A,0))&lt;=MOD($Y243,18),1,0)))</f>
      </c>
      <c r="AG243" t="e">
        <f>IF(OR(OR($A243="",$D243=""),M243=""),"",M243-(INT($Y243/18)+IF(INDEX('Tournament Setup'!$AK:$AK,MATCH($A243,'Tournament Setup'!$A:$A,0))&lt;=MOD($Y243,18),1,0)))</f>
      </c>
      <c r="AH243" t="e">
        <f>IF(OR(OR($A243="",$D243=""),N243=""),"",N243-(INT($Y243/18)+IF(INDEX('Tournament Setup'!$AL:$AL,MATCH($A243,'Tournament Setup'!$A:$A,0))&lt;=MOD($Y243,18),1,0)))</f>
      </c>
      <c r="AI243" t="e">
        <f>IF(OR(OR($A243="",$D243=""),O243=""),"",O243-(INT($Y243/18)+IF(INDEX('Tournament Setup'!$AM:$AM,MATCH($A243,'Tournament Setup'!$A:$A,0))&lt;=MOD($Y243,18),1,0)))</f>
      </c>
      <c r="AJ243" t="e">
        <f>IF(OR(OR($A243="",$D243=""),P243=""),"",P243-(INT($Y243/18)+IF(INDEX('Tournament Setup'!$AN:$AN,MATCH($A243,'Tournament Setup'!$A:$A,0))&lt;=MOD($Y243,18),1,0)))</f>
      </c>
      <c r="AK243" t="e">
        <f>IF(OR(OR($A243="",$D243=""),Q243=""),"",Q243-(INT($Y243/18)+IF(INDEX('Tournament Setup'!$AO:$AO,MATCH($A243,'Tournament Setup'!$A:$A,0))&lt;=MOD($Y243,18),1,0)))</f>
      </c>
      <c r="AL243" t="e">
        <f>IF(OR(OR($A243="",$D243=""),R243=""),"",R243-(INT($Y243/18)+IF(INDEX('Tournament Setup'!$AP:$AP,MATCH($A243,'Tournament Setup'!$A:$A,0))&lt;=MOD($Y243,18),1,0)))</f>
      </c>
      <c r="AM243" t="e">
        <f>IF(OR(OR($A243="",$D243=""),S243=""),"",S243-(INT($Y243/18)+IF(INDEX('Tournament Setup'!$AQ:$AQ,MATCH($A243,'Tournament Setup'!$A:$A,0))&lt;=MOD($Y243,18),1,0)))</f>
      </c>
      <c r="AN243" t="e">
        <f>IF(OR(OR($A243="",$D243=""),T243=""),"",T243-(INT($Y243/18)+IF(INDEX('Tournament Setup'!$AR:$AR,MATCH($A243,'Tournament Setup'!$A:$A,0))&lt;=MOD($Y243,18),1,0)))</f>
      </c>
      <c r="AO243" t="e">
        <f>IF(OR(OR($A243="",$D243=""),U243=""),"",U243-(INT($Y243/18)+IF(INDEX('Tournament Setup'!$AS:$AS,MATCH($A243,'Tournament Setup'!$A:$A,0))&lt;=MOD($Y243,18),1,0)))</f>
      </c>
      <c r="AP243" t="e">
        <f>IF(OR(OR($A243="",$D243=""),V243=""),"",V243-(INT($Y243/18)+IF(INDEX('Tournament Setup'!$AT:$AT,MATCH($A243,'Tournament Setup'!$A:$A,0))&lt;=MOD($Y243,18),1,0)))</f>
      </c>
      <c r="AQ243" t="e">
        <f>IF(OR(OR($A243="",$D243=""),W243=""),"",W243-(INT($Y243/18)+IF(INDEX('Tournament Setup'!$AU:$AU,MATCH($A243,'Tournament Setup'!$A:$A,0))&lt;=MOD($Y243,18),1,0)))</f>
      </c>
    </row>
    <row r="244">
      <c r="X244" t="e">
        <f>IF(OR($A244="",$D244=""),"",SUM(F244:W244))</f>
      </c>
      <c r="Y244" t="e">
        <f>IF(OR($A244="",$D244=""),"",IF(INDEX('Tournament Setup'!$F:$F,MATCH($A244,'Tournament Setup'!$A:$A,0))="Net",ROUND(($E244-_xlfn.MINIFS($E$2:$E$401,$A$2:$A$401,$A244,$B$2:$B$401,$B244))*INDEX('Tournament Setup'!$G:$G,MATCH($A244,'Tournament Setup'!$A:$A,0))/100,0),0))</f>
      </c>
      <c r="Z244" t="e">
        <f>IF(OR(OR($A244="",$D244=""),F244=""),"",F244-(INT($Y244/18)+IF(INDEX('Tournament Setup'!$AD:$AD,MATCH($A244,'Tournament Setup'!$A:$A,0))&lt;=MOD($Y244,18),1,0)))</f>
      </c>
      <c r="AA244" t="e">
        <f>IF(OR(OR($A244="",$D244=""),G244=""),"",G244-(INT($Y244/18)+IF(INDEX('Tournament Setup'!$AE:$AE,MATCH($A244,'Tournament Setup'!$A:$A,0))&lt;=MOD($Y244,18),1,0)))</f>
      </c>
      <c r="AB244" t="e">
        <f>IF(OR(OR($A244="",$D244=""),H244=""),"",H244-(INT($Y244/18)+IF(INDEX('Tournament Setup'!$AF:$AF,MATCH($A244,'Tournament Setup'!$A:$A,0))&lt;=MOD($Y244,18),1,0)))</f>
      </c>
      <c r="AC244" t="e">
        <f>IF(OR(OR($A244="",$D244=""),I244=""),"",I244-(INT($Y244/18)+IF(INDEX('Tournament Setup'!$AG:$AG,MATCH($A244,'Tournament Setup'!$A:$A,0))&lt;=MOD($Y244,18),1,0)))</f>
      </c>
      <c r="AD244" t="e">
        <f>IF(OR(OR($A244="",$D244=""),J244=""),"",J244-(INT($Y244/18)+IF(INDEX('Tournament Setup'!$AH:$AH,MATCH($A244,'Tournament Setup'!$A:$A,0))&lt;=MOD($Y244,18),1,0)))</f>
      </c>
      <c r="AE244" t="e">
        <f>IF(OR(OR($A244="",$D244=""),K244=""),"",K244-(INT($Y244/18)+IF(INDEX('Tournament Setup'!$AI:$AI,MATCH($A244,'Tournament Setup'!$A:$A,0))&lt;=MOD($Y244,18),1,0)))</f>
      </c>
      <c r="AF244" t="e">
        <f>IF(OR(OR($A244="",$D244=""),L244=""),"",L244-(INT($Y244/18)+IF(INDEX('Tournament Setup'!$AJ:$AJ,MATCH($A244,'Tournament Setup'!$A:$A,0))&lt;=MOD($Y244,18),1,0)))</f>
      </c>
      <c r="AG244" t="e">
        <f>IF(OR(OR($A244="",$D244=""),M244=""),"",M244-(INT($Y244/18)+IF(INDEX('Tournament Setup'!$AK:$AK,MATCH($A244,'Tournament Setup'!$A:$A,0))&lt;=MOD($Y244,18),1,0)))</f>
      </c>
      <c r="AH244" t="e">
        <f>IF(OR(OR($A244="",$D244=""),N244=""),"",N244-(INT($Y244/18)+IF(INDEX('Tournament Setup'!$AL:$AL,MATCH($A244,'Tournament Setup'!$A:$A,0))&lt;=MOD($Y244,18),1,0)))</f>
      </c>
      <c r="AI244" t="e">
        <f>IF(OR(OR($A244="",$D244=""),O244=""),"",O244-(INT($Y244/18)+IF(INDEX('Tournament Setup'!$AM:$AM,MATCH($A244,'Tournament Setup'!$A:$A,0))&lt;=MOD($Y244,18),1,0)))</f>
      </c>
      <c r="AJ244" t="e">
        <f>IF(OR(OR($A244="",$D244=""),P244=""),"",P244-(INT($Y244/18)+IF(INDEX('Tournament Setup'!$AN:$AN,MATCH($A244,'Tournament Setup'!$A:$A,0))&lt;=MOD($Y244,18),1,0)))</f>
      </c>
      <c r="AK244" t="e">
        <f>IF(OR(OR($A244="",$D244=""),Q244=""),"",Q244-(INT($Y244/18)+IF(INDEX('Tournament Setup'!$AO:$AO,MATCH($A244,'Tournament Setup'!$A:$A,0))&lt;=MOD($Y244,18),1,0)))</f>
      </c>
      <c r="AL244" t="e">
        <f>IF(OR(OR($A244="",$D244=""),R244=""),"",R244-(INT($Y244/18)+IF(INDEX('Tournament Setup'!$AP:$AP,MATCH($A244,'Tournament Setup'!$A:$A,0))&lt;=MOD($Y244,18),1,0)))</f>
      </c>
      <c r="AM244" t="e">
        <f>IF(OR(OR($A244="",$D244=""),S244=""),"",S244-(INT($Y244/18)+IF(INDEX('Tournament Setup'!$AQ:$AQ,MATCH($A244,'Tournament Setup'!$A:$A,0))&lt;=MOD($Y244,18),1,0)))</f>
      </c>
      <c r="AN244" t="e">
        <f>IF(OR(OR($A244="",$D244=""),T244=""),"",T244-(INT($Y244/18)+IF(INDEX('Tournament Setup'!$AR:$AR,MATCH($A244,'Tournament Setup'!$A:$A,0))&lt;=MOD($Y244,18),1,0)))</f>
      </c>
      <c r="AO244" t="e">
        <f>IF(OR(OR($A244="",$D244=""),U244=""),"",U244-(INT($Y244/18)+IF(INDEX('Tournament Setup'!$AS:$AS,MATCH($A244,'Tournament Setup'!$A:$A,0))&lt;=MOD($Y244,18),1,0)))</f>
      </c>
      <c r="AP244" t="e">
        <f>IF(OR(OR($A244="",$D244=""),V244=""),"",V244-(INT($Y244/18)+IF(INDEX('Tournament Setup'!$AT:$AT,MATCH($A244,'Tournament Setup'!$A:$A,0))&lt;=MOD($Y244,18),1,0)))</f>
      </c>
      <c r="AQ244" t="e">
        <f>IF(OR(OR($A244="",$D244=""),W244=""),"",W244-(INT($Y244/18)+IF(INDEX('Tournament Setup'!$AU:$AU,MATCH($A244,'Tournament Setup'!$A:$A,0))&lt;=MOD($Y244,18),1,0)))</f>
      </c>
    </row>
    <row r="245">
      <c r="X245" t="e">
        <f>IF(OR($A245="",$D245=""),"",SUM(F245:W245))</f>
      </c>
      <c r="Y245" t="e">
        <f>IF(OR($A245="",$D245=""),"",IF(INDEX('Tournament Setup'!$F:$F,MATCH($A245,'Tournament Setup'!$A:$A,0))="Net",ROUND(($E245-_xlfn.MINIFS($E$2:$E$401,$A$2:$A$401,$A245,$B$2:$B$401,$B245))*INDEX('Tournament Setup'!$G:$G,MATCH($A245,'Tournament Setup'!$A:$A,0))/100,0),0))</f>
      </c>
      <c r="Z245" t="e">
        <f>IF(OR(OR($A245="",$D245=""),F245=""),"",F245-(INT($Y245/18)+IF(INDEX('Tournament Setup'!$AD:$AD,MATCH($A245,'Tournament Setup'!$A:$A,0))&lt;=MOD($Y245,18),1,0)))</f>
      </c>
      <c r="AA245" t="e">
        <f>IF(OR(OR($A245="",$D245=""),G245=""),"",G245-(INT($Y245/18)+IF(INDEX('Tournament Setup'!$AE:$AE,MATCH($A245,'Tournament Setup'!$A:$A,0))&lt;=MOD($Y245,18),1,0)))</f>
      </c>
      <c r="AB245" t="e">
        <f>IF(OR(OR($A245="",$D245=""),H245=""),"",H245-(INT($Y245/18)+IF(INDEX('Tournament Setup'!$AF:$AF,MATCH($A245,'Tournament Setup'!$A:$A,0))&lt;=MOD($Y245,18),1,0)))</f>
      </c>
      <c r="AC245" t="e">
        <f>IF(OR(OR($A245="",$D245=""),I245=""),"",I245-(INT($Y245/18)+IF(INDEX('Tournament Setup'!$AG:$AG,MATCH($A245,'Tournament Setup'!$A:$A,0))&lt;=MOD($Y245,18),1,0)))</f>
      </c>
      <c r="AD245" t="e">
        <f>IF(OR(OR($A245="",$D245=""),J245=""),"",J245-(INT($Y245/18)+IF(INDEX('Tournament Setup'!$AH:$AH,MATCH($A245,'Tournament Setup'!$A:$A,0))&lt;=MOD($Y245,18),1,0)))</f>
      </c>
      <c r="AE245" t="e">
        <f>IF(OR(OR($A245="",$D245=""),K245=""),"",K245-(INT($Y245/18)+IF(INDEX('Tournament Setup'!$AI:$AI,MATCH($A245,'Tournament Setup'!$A:$A,0))&lt;=MOD($Y245,18),1,0)))</f>
      </c>
      <c r="AF245" t="e">
        <f>IF(OR(OR($A245="",$D245=""),L245=""),"",L245-(INT($Y245/18)+IF(INDEX('Tournament Setup'!$AJ:$AJ,MATCH($A245,'Tournament Setup'!$A:$A,0))&lt;=MOD($Y245,18),1,0)))</f>
      </c>
      <c r="AG245" t="e">
        <f>IF(OR(OR($A245="",$D245=""),M245=""),"",M245-(INT($Y245/18)+IF(INDEX('Tournament Setup'!$AK:$AK,MATCH($A245,'Tournament Setup'!$A:$A,0))&lt;=MOD($Y245,18),1,0)))</f>
      </c>
      <c r="AH245" t="e">
        <f>IF(OR(OR($A245="",$D245=""),N245=""),"",N245-(INT($Y245/18)+IF(INDEX('Tournament Setup'!$AL:$AL,MATCH($A245,'Tournament Setup'!$A:$A,0))&lt;=MOD($Y245,18),1,0)))</f>
      </c>
      <c r="AI245" t="e">
        <f>IF(OR(OR($A245="",$D245=""),O245=""),"",O245-(INT($Y245/18)+IF(INDEX('Tournament Setup'!$AM:$AM,MATCH($A245,'Tournament Setup'!$A:$A,0))&lt;=MOD($Y245,18),1,0)))</f>
      </c>
      <c r="AJ245" t="e">
        <f>IF(OR(OR($A245="",$D245=""),P245=""),"",P245-(INT($Y245/18)+IF(INDEX('Tournament Setup'!$AN:$AN,MATCH($A245,'Tournament Setup'!$A:$A,0))&lt;=MOD($Y245,18),1,0)))</f>
      </c>
      <c r="AK245" t="e">
        <f>IF(OR(OR($A245="",$D245=""),Q245=""),"",Q245-(INT($Y245/18)+IF(INDEX('Tournament Setup'!$AO:$AO,MATCH($A245,'Tournament Setup'!$A:$A,0))&lt;=MOD($Y245,18),1,0)))</f>
      </c>
      <c r="AL245" t="e">
        <f>IF(OR(OR($A245="",$D245=""),R245=""),"",R245-(INT($Y245/18)+IF(INDEX('Tournament Setup'!$AP:$AP,MATCH($A245,'Tournament Setup'!$A:$A,0))&lt;=MOD($Y245,18),1,0)))</f>
      </c>
      <c r="AM245" t="e">
        <f>IF(OR(OR($A245="",$D245=""),S245=""),"",S245-(INT($Y245/18)+IF(INDEX('Tournament Setup'!$AQ:$AQ,MATCH($A245,'Tournament Setup'!$A:$A,0))&lt;=MOD($Y245,18),1,0)))</f>
      </c>
      <c r="AN245" t="e">
        <f>IF(OR(OR($A245="",$D245=""),T245=""),"",T245-(INT($Y245/18)+IF(INDEX('Tournament Setup'!$AR:$AR,MATCH($A245,'Tournament Setup'!$A:$A,0))&lt;=MOD($Y245,18),1,0)))</f>
      </c>
      <c r="AO245" t="e">
        <f>IF(OR(OR($A245="",$D245=""),U245=""),"",U245-(INT($Y245/18)+IF(INDEX('Tournament Setup'!$AS:$AS,MATCH($A245,'Tournament Setup'!$A:$A,0))&lt;=MOD($Y245,18),1,0)))</f>
      </c>
      <c r="AP245" t="e">
        <f>IF(OR(OR($A245="",$D245=""),V245=""),"",V245-(INT($Y245/18)+IF(INDEX('Tournament Setup'!$AT:$AT,MATCH($A245,'Tournament Setup'!$A:$A,0))&lt;=MOD($Y245,18),1,0)))</f>
      </c>
      <c r="AQ245" t="e">
        <f>IF(OR(OR($A245="",$D245=""),W245=""),"",W245-(INT($Y245/18)+IF(INDEX('Tournament Setup'!$AU:$AU,MATCH($A245,'Tournament Setup'!$A:$A,0))&lt;=MOD($Y245,18),1,0)))</f>
      </c>
    </row>
    <row r="246">
      <c r="X246" t="e">
        <f>IF(OR($A246="",$D246=""),"",SUM(F246:W246))</f>
      </c>
      <c r="Y246" t="e">
        <f>IF(OR($A246="",$D246=""),"",IF(INDEX('Tournament Setup'!$F:$F,MATCH($A246,'Tournament Setup'!$A:$A,0))="Net",ROUND(($E246-_xlfn.MINIFS($E$2:$E$401,$A$2:$A$401,$A246,$B$2:$B$401,$B246))*INDEX('Tournament Setup'!$G:$G,MATCH($A246,'Tournament Setup'!$A:$A,0))/100,0),0))</f>
      </c>
      <c r="Z246" t="e">
        <f>IF(OR(OR($A246="",$D246=""),F246=""),"",F246-(INT($Y246/18)+IF(INDEX('Tournament Setup'!$AD:$AD,MATCH($A246,'Tournament Setup'!$A:$A,0))&lt;=MOD($Y246,18),1,0)))</f>
      </c>
      <c r="AA246" t="e">
        <f>IF(OR(OR($A246="",$D246=""),G246=""),"",G246-(INT($Y246/18)+IF(INDEX('Tournament Setup'!$AE:$AE,MATCH($A246,'Tournament Setup'!$A:$A,0))&lt;=MOD($Y246,18),1,0)))</f>
      </c>
      <c r="AB246" t="e">
        <f>IF(OR(OR($A246="",$D246=""),H246=""),"",H246-(INT($Y246/18)+IF(INDEX('Tournament Setup'!$AF:$AF,MATCH($A246,'Tournament Setup'!$A:$A,0))&lt;=MOD($Y246,18),1,0)))</f>
      </c>
      <c r="AC246" t="e">
        <f>IF(OR(OR($A246="",$D246=""),I246=""),"",I246-(INT($Y246/18)+IF(INDEX('Tournament Setup'!$AG:$AG,MATCH($A246,'Tournament Setup'!$A:$A,0))&lt;=MOD($Y246,18),1,0)))</f>
      </c>
      <c r="AD246" t="e">
        <f>IF(OR(OR($A246="",$D246=""),J246=""),"",J246-(INT($Y246/18)+IF(INDEX('Tournament Setup'!$AH:$AH,MATCH($A246,'Tournament Setup'!$A:$A,0))&lt;=MOD($Y246,18),1,0)))</f>
      </c>
      <c r="AE246" t="e">
        <f>IF(OR(OR($A246="",$D246=""),K246=""),"",K246-(INT($Y246/18)+IF(INDEX('Tournament Setup'!$AI:$AI,MATCH($A246,'Tournament Setup'!$A:$A,0))&lt;=MOD($Y246,18),1,0)))</f>
      </c>
      <c r="AF246" t="e">
        <f>IF(OR(OR($A246="",$D246=""),L246=""),"",L246-(INT($Y246/18)+IF(INDEX('Tournament Setup'!$AJ:$AJ,MATCH($A246,'Tournament Setup'!$A:$A,0))&lt;=MOD($Y246,18),1,0)))</f>
      </c>
      <c r="AG246" t="e">
        <f>IF(OR(OR($A246="",$D246=""),M246=""),"",M246-(INT($Y246/18)+IF(INDEX('Tournament Setup'!$AK:$AK,MATCH($A246,'Tournament Setup'!$A:$A,0))&lt;=MOD($Y246,18),1,0)))</f>
      </c>
      <c r="AH246" t="e">
        <f>IF(OR(OR($A246="",$D246=""),N246=""),"",N246-(INT($Y246/18)+IF(INDEX('Tournament Setup'!$AL:$AL,MATCH($A246,'Tournament Setup'!$A:$A,0))&lt;=MOD($Y246,18),1,0)))</f>
      </c>
      <c r="AI246" t="e">
        <f>IF(OR(OR($A246="",$D246=""),O246=""),"",O246-(INT($Y246/18)+IF(INDEX('Tournament Setup'!$AM:$AM,MATCH($A246,'Tournament Setup'!$A:$A,0))&lt;=MOD($Y246,18),1,0)))</f>
      </c>
      <c r="AJ246" t="e">
        <f>IF(OR(OR($A246="",$D246=""),P246=""),"",P246-(INT($Y246/18)+IF(INDEX('Tournament Setup'!$AN:$AN,MATCH($A246,'Tournament Setup'!$A:$A,0))&lt;=MOD($Y246,18),1,0)))</f>
      </c>
      <c r="AK246" t="e">
        <f>IF(OR(OR($A246="",$D246=""),Q246=""),"",Q246-(INT($Y246/18)+IF(INDEX('Tournament Setup'!$AO:$AO,MATCH($A246,'Tournament Setup'!$A:$A,0))&lt;=MOD($Y246,18),1,0)))</f>
      </c>
      <c r="AL246" t="e">
        <f>IF(OR(OR($A246="",$D246=""),R246=""),"",R246-(INT($Y246/18)+IF(INDEX('Tournament Setup'!$AP:$AP,MATCH($A246,'Tournament Setup'!$A:$A,0))&lt;=MOD($Y246,18),1,0)))</f>
      </c>
      <c r="AM246" t="e">
        <f>IF(OR(OR($A246="",$D246=""),S246=""),"",S246-(INT($Y246/18)+IF(INDEX('Tournament Setup'!$AQ:$AQ,MATCH($A246,'Tournament Setup'!$A:$A,0))&lt;=MOD($Y246,18),1,0)))</f>
      </c>
      <c r="AN246" t="e">
        <f>IF(OR(OR($A246="",$D246=""),T246=""),"",T246-(INT($Y246/18)+IF(INDEX('Tournament Setup'!$AR:$AR,MATCH($A246,'Tournament Setup'!$A:$A,0))&lt;=MOD($Y246,18),1,0)))</f>
      </c>
      <c r="AO246" t="e">
        <f>IF(OR(OR($A246="",$D246=""),U246=""),"",U246-(INT($Y246/18)+IF(INDEX('Tournament Setup'!$AS:$AS,MATCH($A246,'Tournament Setup'!$A:$A,0))&lt;=MOD($Y246,18),1,0)))</f>
      </c>
      <c r="AP246" t="e">
        <f>IF(OR(OR($A246="",$D246=""),V246=""),"",V246-(INT($Y246/18)+IF(INDEX('Tournament Setup'!$AT:$AT,MATCH($A246,'Tournament Setup'!$A:$A,0))&lt;=MOD($Y246,18),1,0)))</f>
      </c>
      <c r="AQ246" t="e">
        <f>IF(OR(OR($A246="",$D246=""),W246=""),"",W246-(INT($Y246/18)+IF(INDEX('Tournament Setup'!$AU:$AU,MATCH($A246,'Tournament Setup'!$A:$A,0))&lt;=MOD($Y246,18),1,0)))</f>
      </c>
    </row>
    <row r="247">
      <c r="X247" t="e">
        <f>IF(OR($A247="",$D247=""),"",SUM(F247:W247))</f>
      </c>
      <c r="Y247" t="e">
        <f>IF(OR($A247="",$D247=""),"",IF(INDEX('Tournament Setup'!$F:$F,MATCH($A247,'Tournament Setup'!$A:$A,0))="Net",ROUND(($E247-_xlfn.MINIFS($E$2:$E$401,$A$2:$A$401,$A247,$B$2:$B$401,$B247))*INDEX('Tournament Setup'!$G:$G,MATCH($A247,'Tournament Setup'!$A:$A,0))/100,0),0))</f>
      </c>
      <c r="Z247" t="e">
        <f>IF(OR(OR($A247="",$D247=""),F247=""),"",F247-(INT($Y247/18)+IF(INDEX('Tournament Setup'!$AD:$AD,MATCH($A247,'Tournament Setup'!$A:$A,0))&lt;=MOD($Y247,18),1,0)))</f>
      </c>
      <c r="AA247" t="e">
        <f>IF(OR(OR($A247="",$D247=""),G247=""),"",G247-(INT($Y247/18)+IF(INDEX('Tournament Setup'!$AE:$AE,MATCH($A247,'Tournament Setup'!$A:$A,0))&lt;=MOD($Y247,18),1,0)))</f>
      </c>
      <c r="AB247" t="e">
        <f>IF(OR(OR($A247="",$D247=""),H247=""),"",H247-(INT($Y247/18)+IF(INDEX('Tournament Setup'!$AF:$AF,MATCH($A247,'Tournament Setup'!$A:$A,0))&lt;=MOD($Y247,18),1,0)))</f>
      </c>
      <c r="AC247" t="e">
        <f>IF(OR(OR($A247="",$D247=""),I247=""),"",I247-(INT($Y247/18)+IF(INDEX('Tournament Setup'!$AG:$AG,MATCH($A247,'Tournament Setup'!$A:$A,0))&lt;=MOD($Y247,18),1,0)))</f>
      </c>
      <c r="AD247" t="e">
        <f>IF(OR(OR($A247="",$D247=""),J247=""),"",J247-(INT($Y247/18)+IF(INDEX('Tournament Setup'!$AH:$AH,MATCH($A247,'Tournament Setup'!$A:$A,0))&lt;=MOD($Y247,18),1,0)))</f>
      </c>
      <c r="AE247" t="e">
        <f>IF(OR(OR($A247="",$D247=""),K247=""),"",K247-(INT($Y247/18)+IF(INDEX('Tournament Setup'!$AI:$AI,MATCH($A247,'Tournament Setup'!$A:$A,0))&lt;=MOD($Y247,18),1,0)))</f>
      </c>
      <c r="AF247" t="e">
        <f>IF(OR(OR($A247="",$D247=""),L247=""),"",L247-(INT($Y247/18)+IF(INDEX('Tournament Setup'!$AJ:$AJ,MATCH($A247,'Tournament Setup'!$A:$A,0))&lt;=MOD($Y247,18),1,0)))</f>
      </c>
      <c r="AG247" t="e">
        <f>IF(OR(OR($A247="",$D247=""),M247=""),"",M247-(INT($Y247/18)+IF(INDEX('Tournament Setup'!$AK:$AK,MATCH($A247,'Tournament Setup'!$A:$A,0))&lt;=MOD($Y247,18),1,0)))</f>
      </c>
      <c r="AH247" t="e">
        <f>IF(OR(OR($A247="",$D247=""),N247=""),"",N247-(INT($Y247/18)+IF(INDEX('Tournament Setup'!$AL:$AL,MATCH($A247,'Tournament Setup'!$A:$A,0))&lt;=MOD($Y247,18),1,0)))</f>
      </c>
      <c r="AI247" t="e">
        <f>IF(OR(OR($A247="",$D247=""),O247=""),"",O247-(INT($Y247/18)+IF(INDEX('Tournament Setup'!$AM:$AM,MATCH($A247,'Tournament Setup'!$A:$A,0))&lt;=MOD($Y247,18),1,0)))</f>
      </c>
      <c r="AJ247" t="e">
        <f>IF(OR(OR($A247="",$D247=""),P247=""),"",P247-(INT($Y247/18)+IF(INDEX('Tournament Setup'!$AN:$AN,MATCH($A247,'Tournament Setup'!$A:$A,0))&lt;=MOD($Y247,18),1,0)))</f>
      </c>
      <c r="AK247" t="e">
        <f>IF(OR(OR($A247="",$D247=""),Q247=""),"",Q247-(INT($Y247/18)+IF(INDEX('Tournament Setup'!$AO:$AO,MATCH($A247,'Tournament Setup'!$A:$A,0))&lt;=MOD($Y247,18),1,0)))</f>
      </c>
      <c r="AL247" t="e">
        <f>IF(OR(OR($A247="",$D247=""),R247=""),"",R247-(INT($Y247/18)+IF(INDEX('Tournament Setup'!$AP:$AP,MATCH($A247,'Tournament Setup'!$A:$A,0))&lt;=MOD($Y247,18),1,0)))</f>
      </c>
      <c r="AM247" t="e">
        <f>IF(OR(OR($A247="",$D247=""),S247=""),"",S247-(INT($Y247/18)+IF(INDEX('Tournament Setup'!$AQ:$AQ,MATCH($A247,'Tournament Setup'!$A:$A,0))&lt;=MOD($Y247,18),1,0)))</f>
      </c>
      <c r="AN247" t="e">
        <f>IF(OR(OR($A247="",$D247=""),T247=""),"",T247-(INT($Y247/18)+IF(INDEX('Tournament Setup'!$AR:$AR,MATCH($A247,'Tournament Setup'!$A:$A,0))&lt;=MOD($Y247,18),1,0)))</f>
      </c>
      <c r="AO247" t="e">
        <f>IF(OR(OR($A247="",$D247=""),U247=""),"",U247-(INT($Y247/18)+IF(INDEX('Tournament Setup'!$AS:$AS,MATCH($A247,'Tournament Setup'!$A:$A,0))&lt;=MOD($Y247,18),1,0)))</f>
      </c>
      <c r="AP247" t="e">
        <f>IF(OR(OR($A247="",$D247=""),V247=""),"",V247-(INT($Y247/18)+IF(INDEX('Tournament Setup'!$AT:$AT,MATCH($A247,'Tournament Setup'!$A:$A,0))&lt;=MOD($Y247,18),1,0)))</f>
      </c>
      <c r="AQ247" t="e">
        <f>IF(OR(OR($A247="",$D247=""),W247=""),"",W247-(INT($Y247/18)+IF(INDEX('Tournament Setup'!$AU:$AU,MATCH($A247,'Tournament Setup'!$A:$A,0))&lt;=MOD($Y247,18),1,0)))</f>
      </c>
    </row>
    <row r="248">
      <c r="X248" t="e">
        <f>IF(OR($A248="",$D248=""),"",SUM(F248:W248))</f>
      </c>
      <c r="Y248" t="e">
        <f>IF(OR($A248="",$D248=""),"",IF(INDEX('Tournament Setup'!$F:$F,MATCH($A248,'Tournament Setup'!$A:$A,0))="Net",ROUND(($E248-_xlfn.MINIFS($E$2:$E$401,$A$2:$A$401,$A248,$B$2:$B$401,$B248))*INDEX('Tournament Setup'!$G:$G,MATCH($A248,'Tournament Setup'!$A:$A,0))/100,0),0))</f>
      </c>
      <c r="Z248" t="e">
        <f>IF(OR(OR($A248="",$D248=""),F248=""),"",F248-(INT($Y248/18)+IF(INDEX('Tournament Setup'!$AD:$AD,MATCH($A248,'Tournament Setup'!$A:$A,0))&lt;=MOD($Y248,18),1,0)))</f>
      </c>
      <c r="AA248" t="e">
        <f>IF(OR(OR($A248="",$D248=""),G248=""),"",G248-(INT($Y248/18)+IF(INDEX('Tournament Setup'!$AE:$AE,MATCH($A248,'Tournament Setup'!$A:$A,0))&lt;=MOD($Y248,18),1,0)))</f>
      </c>
      <c r="AB248" t="e">
        <f>IF(OR(OR($A248="",$D248=""),H248=""),"",H248-(INT($Y248/18)+IF(INDEX('Tournament Setup'!$AF:$AF,MATCH($A248,'Tournament Setup'!$A:$A,0))&lt;=MOD($Y248,18),1,0)))</f>
      </c>
      <c r="AC248" t="e">
        <f>IF(OR(OR($A248="",$D248=""),I248=""),"",I248-(INT($Y248/18)+IF(INDEX('Tournament Setup'!$AG:$AG,MATCH($A248,'Tournament Setup'!$A:$A,0))&lt;=MOD($Y248,18),1,0)))</f>
      </c>
      <c r="AD248" t="e">
        <f>IF(OR(OR($A248="",$D248=""),J248=""),"",J248-(INT($Y248/18)+IF(INDEX('Tournament Setup'!$AH:$AH,MATCH($A248,'Tournament Setup'!$A:$A,0))&lt;=MOD($Y248,18),1,0)))</f>
      </c>
      <c r="AE248" t="e">
        <f>IF(OR(OR($A248="",$D248=""),K248=""),"",K248-(INT($Y248/18)+IF(INDEX('Tournament Setup'!$AI:$AI,MATCH($A248,'Tournament Setup'!$A:$A,0))&lt;=MOD($Y248,18),1,0)))</f>
      </c>
      <c r="AF248" t="e">
        <f>IF(OR(OR($A248="",$D248=""),L248=""),"",L248-(INT($Y248/18)+IF(INDEX('Tournament Setup'!$AJ:$AJ,MATCH($A248,'Tournament Setup'!$A:$A,0))&lt;=MOD($Y248,18),1,0)))</f>
      </c>
      <c r="AG248" t="e">
        <f>IF(OR(OR($A248="",$D248=""),M248=""),"",M248-(INT($Y248/18)+IF(INDEX('Tournament Setup'!$AK:$AK,MATCH($A248,'Tournament Setup'!$A:$A,0))&lt;=MOD($Y248,18),1,0)))</f>
      </c>
      <c r="AH248" t="e">
        <f>IF(OR(OR($A248="",$D248=""),N248=""),"",N248-(INT($Y248/18)+IF(INDEX('Tournament Setup'!$AL:$AL,MATCH($A248,'Tournament Setup'!$A:$A,0))&lt;=MOD($Y248,18),1,0)))</f>
      </c>
      <c r="AI248" t="e">
        <f>IF(OR(OR($A248="",$D248=""),O248=""),"",O248-(INT($Y248/18)+IF(INDEX('Tournament Setup'!$AM:$AM,MATCH($A248,'Tournament Setup'!$A:$A,0))&lt;=MOD($Y248,18),1,0)))</f>
      </c>
      <c r="AJ248" t="e">
        <f>IF(OR(OR($A248="",$D248=""),P248=""),"",P248-(INT($Y248/18)+IF(INDEX('Tournament Setup'!$AN:$AN,MATCH($A248,'Tournament Setup'!$A:$A,0))&lt;=MOD($Y248,18),1,0)))</f>
      </c>
      <c r="AK248" t="e">
        <f>IF(OR(OR($A248="",$D248=""),Q248=""),"",Q248-(INT($Y248/18)+IF(INDEX('Tournament Setup'!$AO:$AO,MATCH($A248,'Tournament Setup'!$A:$A,0))&lt;=MOD($Y248,18),1,0)))</f>
      </c>
      <c r="AL248" t="e">
        <f>IF(OR(OR($A248="",$D248=""),R248=""),"",R248-(INT($Y248/18)+IF(INDEX('Tournament Setup'!$AP:$AP,MATCH($A248,'Tournament Setup'!$A:$A,0))&lt;=MOD($Y248,18),1,0)))</f>
      </c>
      <c r="AM248" t="e">
        <f>IF(OR(OR($A248="",$D248=""),S248=""),"",S248-(INT($Y248/18)+IF(INDEX('Tournament Setup'!$AQ:$AQ,MATCH($A248,'Tournament Setup'!$A:$A,0))&lt;=MOD($Y248,18),1,0)))</f>
      </c>
      <c r="AN248" t="e">
        <f>IF(OR(OR($A248="",$D248=""),T248=""),"",T248-(INT($Y248/18)+IF(INDEX('Tournament Setup'!$AR:$AR,MATCH($A248,'Tournament Setup'!$A:$A,0))&lt;=MOD($Y248,18),1,0)))</f>
      </c>
      <c r="AO248" t="e">
        <f>IF(OR(OR($A248="",$D248=""),U248=""),"",U248-(INT($Y248/18)+IF(INDEX('Tournament Setup'!$AS:$AS,MATCH($A248,'Tournament Setup'!$A:$A,0))&lt;=MOD($Y248,18),1,0)))</f>
      </c>
      <c r="AP248" t="e">
        <f>IF(OR(OR($A248="",$D248=""),V248=""),"",V248-(INT($Y248/18)+IF(INDEX('Tournament Setup'!$AT:$AT,MATCH($A248,'Tournament Setup'!$A:$A,0))&lt;=MOD($Y248,18),1,0)))</f>
      </c>
      <c r="AQ248" t="e">
        <f>IF(OR(OR($A248="",$D248=""),W248=""),"",W248-(INT($Y248/18)+IF(INDEX('Tournament Setup'!$AU:$AU,MATCH($A248,'Tournament Setup'!$A:$A,0))&lt;=MOD($Y248,18),1,0)))</f>
      </c>
    </row>
    <row r="249">
      <c r="X249" t="e">
        <f>IF(OR($A249="",$D249=""),"",SUM(F249:W249))</f>
      </c>
      <c r="Y249" t="e">
        <f>IF(OR($A249="",$D249=""),"",IF(INDEX('Tournament Setup'!$F:$F,MATCH($A249,'Tournament Setup'!$A:$A,0))="Net",ROUND(($E249-_xlfn.MINIFS($E$2:$E$401,$A$2:$A$401,$A249,$B$2:$B$401,$B249))*INDEX('Tournament Setup'!$G:$G,MATCH($A249,'Tournament Setup'!$A:$A,0))/100,0),0))</f>
      </c>
      <c r="Z249" t="e">
        <f>IF(OR(OR($A249="",$D249=""),F249=""),"",F249-(INT($Y249/18)+IF(INDEX('Tournament Setup'!$AD:$AD,MATCH($A249,'Tournament Setup'!$A:$A,0))&lt;=MOD($Y249,18),1,0)))</f>
      </c>
      <c r="AA249" t="e">
        <f>IF(OR(OR($A249="",$D249=""),G249=""),"",G249-(INT($Y249/18)+IF(INDEX('Tournament Setup'!$AE:$AE,MATCH($A249,'Tournament Setup'!$A:$A,0))&lt;=MOD($Y249,18),1,0)))</f>
      </c>
      <c r="AB249" t="e">
        <f>IF(OR(OR($A249="",$D249=""),H249=""),"",H249-(INT($Y249/18)+IF(INDEX('Tournament Setup'!$AF:$AF,MATCH($A249,'Tournament Setup'!$A:$A,0))&lt;=MOD($Y249,18),1,0)))</f>
      </c>
      <c r="AC249" t="e">
        <f>IF(OR(OR($A249="",$D249=""),I249=""),"",I249-(INT($Y249/18)+IF(INDEX('Tournament Setup'!$AG:$AG,MATCH($A249,'Tournament Setup'!$A:$A,0))&lt;=MOD($Y249,18),1,0)))</f>
      </c>
      <c r="AD249" t="e">
        <f>IF(OR(OR($A249="",$D249=""),J249=""),"",J249-(INT($Y249/18)+IF(INDEX('Tournament Setup'!$AH:$AH,MATCH($A249,'Tournament Setup'!$A:$A,0))&lt;=MOD($Y249,18),1,0)))</f>
      </c>
      <c r="AE249" t="e">
        <f>IF(OR(OR($A249="",$D249=""),K249=""),"",K249-(INT($Y249/18)+IF(INDEX('Tournament Setup'!$AI:$AI,MATCH($A249,'Tournament Setup'!$A:$A,0))&lt;=MOD($Y249,18),1,0)))</f>
      </c>
      <c r="AF249" t="e">
        <f>IF(OR(OR($A249="",$D249=""),L249=""),"",L249-(INT($Y249/18)+IF(INDEX('Tournament Setup'!$AJ:$AJ,MATCH($A249,'Tournament Setup'!$A:$A,0))&lt;=MOD($Y249,18),1,0)))</f>
      </c>
      <c r="AG249" t="e">
        <f>IF(OR(OR($A249="",$D249=""),M249=""),"",M249-(INT($Y249/18)+IF(INDEX('Tournament Setup'!$AK:$AK,MATCH($A249,'Tournament Setup'!$A:$A,0))&lt;=MOD($Y249,18),1,0)))</f>
      </c>
      <c r="AH249" t="e">
        <f>IF(OR(OR($A249="",$D249=""),N249=""),"",N249-(INT($Y249/18)+IF(INDEX('Tournament Setup'!$AL:$AL,MATCH($A249,'Tournament Setup'!$A:$A,0))&lt;=MOD($Y249,18),1,0)))</f>
      </c>
      <c r="AI249" t="e">
        <f>IF(OR(OR($A249="",$D249=""),O249=""),"",O249-(INT($Y249/18)+IF(INDEX('Tournament Setup'!$AM:$AM,MATCH($A249,'Tournament Setup'!$A:$A,0))&lt;=MOD($Y249,18),1,0)))</f>
      </c>
      <c r="AJ249" t="e">
        <f>IF(OR(OR($A249="",$D249=""),P249=""),"",P249-(INT($Y249/18)+IF(INDEX('Tournament Setup'!$AN:$AN,MATCH($A249,'Tournament Setup'!$A:$A,0))&lt;=MOD($Y249,18),1,0)))</f>
      </c>
      <c r="AK249" t="e">
        <f>IF(OR(OR($A249="",$D249=""),Q249=""),"",Q249-(INT($Y249/18)+IF(INDEX('Tournament Setup'!$AO:$AO,MATCH($A249,'Tournament Setup'!$A:$A,0))&lt;=MOD($Y249,18),1,0)))</f>
      </c>
      <c r="AL249" t="e">
        <f>IF(OR(OR($A249="",$D249=""),R249=""),"",R249-(INT($Y249/18)+IF(INDEX('Tournament Setup'!$AP:$AP,MATCH($A249,'Tournament Setup'!$A:$A,0))&lt;=MOD($Y249,18),1,0)))</f>
      </c>
      <c r="AM249" t="e">
        <f>IF(OR(OR($A249="",$D249=""),S249=""),"",S249-(INT($Y249/18)+IF(INDEX('Tournament Setup'!$AQ:$AQ,MATCH($A249,'Tournament Setup'!$A:$A,0))&lt;=MOD($Y249,18),1,0)))</f>
      </c>
      <c r="AN249" t="e">
        <f>IF(OR(OR($A249="",$D249=""),T249=""),"",T249-(INT($Y249/18)+IF(INDEX('Tournament Setup'!$AR:$AR,MATCH($A249,'Tournament Setup'!$A:$A,0))&lt;=MOD($Y249,18),1,0)))</f>
      </c>
      <c r="AO249" t="e">
        <f>IF(OR(OR($A249="",$D249=""),U249=""),"",U249-(INT($Y249/18)+IF(INDEX('Tournament Setup'!$AS:$AS,MATCH($A249,'Tournament Setup'!$A:$A,0))&lt;=MOD($Y249,18),1,0)))</f>
      </c>
      <c r="AP249" t="e">
        <f>IF(OR(OR($A249="",$D249=""),V249=""),"",V249-(INT($Y249/18)+IF(INDEX('Tournament Setup'!$AT:$AT,MATCH($A249,'Tournament Setup'!$A:$A,0))&lt;=MOD($Y249,18),1,0)))</f>
      </c>
      <c r="AQ249" t="e">
        <f>IF(OR(OR($A249="",$D249=""),W249=""),"",W249-(INT($Y249/18)+IF(INDEX('Tournament Setup'!$AU:$AU,MATCH($A249,'Tournament Setup'!$A:$A,0))&lt;=MOD($Y249,18),1,0)))</f>
      </c>
    </row>
    <row r="250">
      <c r="X250" t="e">
        <f>IF(OR($A250="",$D250=""),"",SUM(F250:W250))</f>
      </c>
      <c r="Y250" t="e">
        <f>IF(OR($A250="",$D250=""),"",IF(INDEX('Tournament Setup'!$F:$F,MATCH($A250,'Tournament Setup'!$A:$A,0))="Net",ROUND(($E250-_xlfn.MINIFS($E$2:$E$401,$A$2:$A$401,$A250,$B$2:$B$401,$B250))*INDEX('Tournament Setup'!$G:$G,MATCH($A250,'Tournament Setup'!$A:$A,0))/100,0),0))</f>
      </c>
      <c r="Z250" t="e">
        <f>IF(OR(OR($A250="",$D250=""),F250=""),"",F250-(INT($Y250/18)+IF(INDEX('Tournament Setup'!$AD:$AD,MATCH($A250,'Tournament Setup'!$A:$A,0))&lt;=MOD($Y250,18),1,0)))</f>
      </c>
      <c r="AA250" t="e">
        <f>IF(OR(OR($A250="",$D250=""),G250=""),"",G250-(INT($Y250/18)+IF(INDEX('Tournament Setup'!$AE:$AE,MATCH($A250,'Tournament Setup'!$A:$A,0))&lt;=MOD($Y250,18),1,0)))</f>
      </c>
      <c r="AB250" t="e">
        <f>IF(OR(OR($A250="",$D250=""),H250=""),"",H250-(INT($Y250/18)+IF(INDEX('Tournament Setup'!$AF:$AF,MATCH($A250,'Tournament Setup'!$A:$A,0))&lt;=MOD($Y250,18),1,0)))</f>
      </c>
      <c r="AC250" t="e">
        <f>IF(OR(OR($A250="",$D250=""),I250=""),"",I250-(INT($Y250/18)+IF(INDEX('Tournament Setup'!$AG:$AG,MATCH($A250,'Tournament Setup'!$A:$A,0))&lt;=MOD($Y250,18),1,0)))</f>
      </c>
      <c r="AD250" t="e">
        <f>IF(OR(OR($A250="",$D250=""),J250=""),"",J250-(INT($Y250/18)+IF(INDEX('Tournament Setup'!$AH:$AH,MATCH($A250,'Tournament Setup'!$A:$A,0))&lt;=MOD($Y250,18),1,0)))</f>
      </c>
      <c r="AE250" t="e">
        <f>IF(OR(OR($A250="",$D250=""),K250=""),"",K250-(INT($Y250/18)+IF(INDEX('Tournament Setup'!$AI:$AI,MATCH($A250,'Tournament Setup'!$A:$A,0))&lt;=MOD($Y250,18),1,0)))</f>
      </c>
      <c r="AF250" t="e">
        <f>IF(OR(OR($A250="",$D250=""),L250=""),"",L250-(INT($Y250/18)+IF(INDEX('Tournament Setup'!$AJ:$AJ,MATCH($A250,'Tournament Setup'!$A:$A,0))&lt;=MOD($Y250,18),1,0)))</f>
      </c>
      <c r="AG250" t="e">
        <f>IF(OR(OR($A250="",$D250=""),M250=""),"",M250-(INT($Y250/18)+IF(INDEX('Tournament Setup'!$AK:$AK,MATCH($A250,'Tournament Setup'!$A:$A,0))&lt;=MOD($Y250,18),1,0)))</f>
      </c>
      <c r="AH250" t="e">
        <f>IF(OR(OR($A250="",$D250=""),N250=""),"",N250-(INT($Y250/18)+IF(INDEX('Tournament Setup'!$AL:$AL,MATCH($A250,'Tournament Setup'!$A:$A,0))&lt;=MOD($Y250,18),1,0)))</f>
      </c>
      <c r="AI250" t="e">
        <f>IF(OR(OR($A250="",$D250=""),O250=""),"",O250-(INT($Y250/18)+IF(INDEX('Tournament Setup'!$AM:$AM,MATCH($A250,'Tournament Setup'!$A:$A,0))&lt;=MOD($Y250,18),1,0)))</f>
      </c>
      <c r="AJ250" t="e">
        <f>IF(OR(OR($A250="",$D250=""),P250=""),"",P250-(INT($Y250/18)+IF(INDEX('Tournament Setup'!$AN:$AN,MATCH($A250,'Tournament Setup'!$A:$A,0))&lt;=MOD($Y250,18),1,0)))</f>
      </c>
      <c r="AK250" t="e">
        <f>IF(OR(OR($A250="",$D250=""),Q250=""),"",Q250-(INT($Y250/18)+IF(INDEX('Tournament Setup'!$AO:$AO,MATCH($A250,'Tournament Setup'!$A:$A,0))&lt;=MOD($Y250,18),1,0)))</f>
      </c>
      <c r="AL250" t="e">
        <f>IF(OR(OR($A250="",$D250=""),R250=""),"",R250-(INT($Y250/18)+IF(INDEX('Tournament Setup'!$AP:$AP,MATCH($A250,'Tournament Setup'!$A:$A,0))&lt;=MOD($Y250,18),1,0)))</f>
      </c>
      <c r="AM250" t="e">
        <f>IF(OR(OR($A250="",$D250=""),S250=""),"",S250-(INT($Y250/18)+IF(INDEX('Tournament Setup'!$AQ:$AQ,MATCH($A250,'Tournament Setup'!$A:$A,0))&lt;=MOD($Y250,18),1,0)))</f>
      </c>
      <c r="AN250" t="e">
        <f>IF(OR(OR($A250="",$D250=""),T250=""),"",T250-(INT($Y250/18)+IF(INDEX('Tournament Setup'!$AR:$AR,MATCH($A250,'Tournament Setup'!$A:$A,0))&lt;=MOD($Y250,18),1,0)))</f>
      </c>
      <c r="AO250" t="e">
        <f>IF(OR(OR($A250="",$D250=""),U250=""),"",U250-(INT($Y250/18)+IF(INDEX('Tournament Setup'!$AS:$AS,MATCH($A250,'Tournament Setup'!$A:$A,0))&lt;=MOD($Y250,18),1,0)))</f>
      </c>
      <c r="AP250" t="e">
        <f>IF(OR(OR($A250="",$D250=""),V250=""),"",V250-(INT($Y250/18)+IF(INDEX('Tournament Setup'!$AT:$AT,MATCH($A250,'Tournament Setup'!$A:$A,0))&lt;=MOD($Y250,18),1,0)))</f>
      </c>
      <c r="AQ250" t="e">
        <f>IF(OR(OR($A250="",$D250=""),W250=""),"",W250-(INT($Y250/18)+IF(INDEX('Tournament Setup'!$AU:$AU,MATCH($A250,'Tournament Setup'!$A:$A,0))&lt;=MOD($Y250,18),1,0)))</f>
      </c>
    </row>
    <row r="251">
      <c r="X251" t="e">
        <f>IF(OR($A251="",$D251=""),"",SUM(F251:W251))</f>
      </c>
      <c r="Y251" t="e">
        <f>IF(OR($A251="",$D251=""),"",IF(INDEX('Tournament Setup'!$F:$F,MATCH($A251,'Tournament Setup'!$A:$A,0))="Net",ROUND(($E251-_xlfn.MINIFS($E$2:$E$401,$A$2:$A$401,$A251,$B$2:$B$401,$B251))*INDEX('Tournament Setup'!$G:$G,MATCH($A251,'Tournament Setup'!$A:$A,0))/100,0),0))</f>
      </c>
      <c r="Z251" t="e">
        <f>IF(OR(OR($A251="",$D251=""),F251=""),"",F251-(INT($Y251/18)+IF(INDEX('Tournament Setup'!$AD:$AD,MATCH($A251,'Tournament Setup'!$A:$A,0))&lt;=MOD($Y251,18),1,0)))</f>
      </c>
      <c r="AA251" t="e">
        <f>IF(OR(OR($A251="",$D251=""),G251=""),"",G251-(INT($Y251/18)+IF(INDEX('Tournament Setup'!$AE:$AE,MATCH($A251,'Tournament Setup'!$A:$A,0))&lt;=MOD($Y251,18),1,0)))</f>
      </c>
      <c r="AB251" t="e">
        <f>IF(OR(OR($A251="",$D251=""),H251=""),"",H251-(INT($Y251/18)+IF(INDEX('Tournament Setup'!$AF:$AF,MATCH($A251,'Tournament Setup'!$A:$A,0))&lt;=MOD($Y251,18),1,0)))</f>
      </c>
      <c r="AC251" t="e">
        <f>IF(OR(OR($A251="",$D251=""),I251=""),"",I251-(INT($Y251/18)+IF(INDEX('Tournament Setup'!$AG:$AG,MATCH($A251,'Tournament Setup'!$A:$A,0))&lt;=MOD($Y251,18),1,0)))</f>
      </c>
      <c r="AD251" t="e">
        <f>IF(OR(OR($A251="",$D251=""),J251=""),"",J251-(INT($Y251/18)+IF(INDEX('Tournament Setup'!$AH:$AH,MATCH($A251,'Tournament Setup'!$A:$A,0))&lt;=MOD($Y251,18),1,0)))</f>
      </c>
      <c r="AE251" t="e">
        <f>IF(OR(OR($A251="",$D251=""),K251=""),"",K251-(INT($Y251/18)+IF(INDEX('Tournament Setup'!$AI:$AI,MATCH($A251,'Tournament Setup'!$A:$A,0))&lt;=MOD($Y251,18),1,0)))</f>
      </c>
      <c r="AF251" t="e">
        <f>IF(OR(OR($A251="",$D251=""),L251=""),"",L251-(INT($Y251/18)+IF(INDEX('Tournament Setup'!$AJ:$AJ,MATCH($A251,'Tournament Setup'!$A:$A,0))&lt;=MOD($Y251,18),1,0)))</f>
      </c>
      <c r="AG251" t="e">
        <f>IF(OR(OR($A251="",$D251=""),M251=""),"",M251-(INT($Y251/18)+IF(INDEX('Tournament Setup'!$AK:$AK,MATCH($A251,'Tournament Setup'!$A:$A,0))&lt;=MOD($Y251,18),1,0)))</f>
      </c>
      <c r="AH251" t="e">
        <f>IF(OR(OR($A251="",$D251=""),N251=""),"",N251-(INT($Y251/18)+IF(INDEX('Tournament Setup'!$AL:$AL,MATCH($A251,'Tournament Setup'!$A:$A,0))&lt;=MOD($Y251,18),1,0)))</f>
      </c>
      <c r="AI251" t="e">
        <f>IF(OR(OR($A251="",$D251=""),O251=""),"",O251-(INT($Y251/18)+IF(INDEX('Tournament Setup'!$AM:$AM,MATCH($A251,'Tournament Setup'!$A:$A,0))&lt;=MOD($Y251,18),1,0)))</f>
      </c>
      <c r="AJ251" t="e">
        <f>IF(OR(OR($A251="",$D251=""),P251=""),"",P251-(INT($Y251/18)+IF(INDEX('Tournament Setup'!$AN:$AN,MATCH($A251,'Tournament Setup'!$A:$A,0))&lt;=MOD($Y251,18),1,0)))</f>
      </c>
      <c r="AK251" t="e">
        <f>IF(OR(OR($A251="",$D251=""),Q251=""),"",Q251-(INT($Y251/18)+IF(INDEX('Tournament Setup'!$AO:$AO,MATCH($A251,'Tournament Setup'!$A:$A,0))&lt;=MOD($Y251,18),1,0)))</f>
      </c>
      <c r="AL251" t="e">
        <f>IF(OR(OR($A251="",$D251=""),R251=""),"",R251-(INT($Y251/18)+IF(INDEX('Tournament Setup'!$AP:$AP,MATCH($A251,'Tournament Setup'!$A:$A,0))&lt;=MOD($Y251,18),1,0)))</f>
      </c>
      <c r="AM251" t="e">
        <f>IF(OR(OR($A251="",$D251=""),S251=""),"",S251-(INT($Y251/18)+IF(INDEX('Tournament Setup'!$AQ:$AQ,MATCH($A251,'Tournament Setup'!$A:$A,0))&lt;=MOD($Y251,18),1,0)))</f>
      </c>
      <c r="AN251" t="e">
        <f>IF(OR(OR($A251="",$D251=""),T251=""),"",T251-(INT($Y251/18)+IF(INDEX('Tournament Setup'!$AR:$AR,MATCH($A251,'Tournament Setup'!$A:$A,0))&lt;=MOD($Y251,18),1,0)))</f>
      </c>
      <c r="AO251" t="e">
        <f>IF(OR(OR($A251="",$D251=""),U251=""),"",U251-(INT($Y251/18)+IF(INDEX('Tournament Setup'!$AS:$AS,MATCH($A251,'Tournament Setup'!$A:$A,0))&lt;=MOD($Y251,18),1,0)))</f>
      </c>
      <c r="AP251" t="e">
        <f>IF(OR(OR($A251="",$D251=""),V251=""),"",V251-(INT($Y251/18)+IF(INDEX('Tournament Setup'!$AT:$AT,MATCH($A251,'Tournament Setup'!$A:$A,0))&lt;=MOD($Y251,18),1,0)))</f>
      </c>
      <c r="AQ251" t="e">
        <f>IF(OR(OR($A251="",$D251=""),W251=""),"",W251-(INT($Y251/18)+IF(INDEX('Tournament Setup'!$AU:$AU,MATCH($A251,'Tournament Setup'!$A:$A,0))&lt;=MOD($Y251,18),1,0)))</f>
      </c>
    </row>
    <row r="252">
      <c r="X252" t="e">
        <f>IF(OR($A252="",$D252=""),"",SUM(F252:W252))</f>
      </c>
      <c r="Y252" t="e">
        <f>IF(OR($A252="",$D252=""),"",IF(INDEX('Tournament Setup'!$F:$F,MATCH($A252,'Tournament Setup'!$A:$A,0))="Net",ROUND(($E252-_xlfn.MINIFS($E$2:$E$401,$A$2:$A$401,$A252,$B$2:$B$401,$B252))*INDEX('Tournament Setup'!$G:$G,MATCH($A252,'Tournament Setup'!$A:$A,0))/100,0),0))</f>
      </c>
      <c r="Z252" t="e">
        <f>IF(OR(OR($A252="",$D252=""),F252=""),"",F252-(INT($Y252/18)+IF(INDEX('Tournament Setup'!$AD:$AD,MATCH($A252,'Tournament Setup'!$A:$A,0))&lt;=MOD($Y252,18),1,0)))</f>
      </c>
      <c r="AA252" t="e">
        <f>IF(OR(OR($A252="",$D252=""),G252=""),"",G252-(INT($Y252/18)+IF(INDEX('Tournament Setup'!$AE:$AE,MATCH($A252,'Tournament Setup'!$A:$A,0))&lt;=MOD($Y252,18),1,0)))</f>
      </c>
      <c r="AB252" t="e">
        <f>IF(OR(OR($A252="",$D252=""),H252=""),"",H252-(INT($Y252/18)+IF(INDEX('Tournament Setup'!$AF:$AF,MATCH($A252,'Tournament Setup'!$A:$A,0))&lt;=MOD($Y252,18),1,0)))</f>
      </c>
      <c r="AC252" t="e">
        <f>IF(OR(OR($A252="",$D252=""),I252=""),"",I252-(INT($Y252/18)+IF(INDEX('Tournament Setup'!$AG:$AG,MATCH($A252,'Tournament Setup'!$A:$A,0))&lt;=MOD($Y252,18),1,0)))</f>
      </c>
      <c r="AD252" t="e">
        <f>IF(OR(OR($A252="",$D252=""),J252=""),"",J252-(INT($Y252/18)+IF(INDEX('Tournament Setup'!$AH:$AH,MATCH($A252,'Tournament Setup'!$A:$A,0))&lt;=MOD($Y252,18),1,0)))</f>
      </c>
      <c r="AE252" t="e">
        <f>IF(OR(OR($A252="",$D252=""),K252=""),"",K252-(INT($Y252/18)+IF(INDEX('Tournament Setup'!$AI:$AI,MATCH($A252,'Tournament Setup'!$A:$A,0))&lt;=MOD($Y252,18),1,0)))</f>
      </c>
      <c r="AF252" t="e">
        <f>IF(OR(OR($A252="",$D252=""),L252=""),"",L252-(INT($Y252/18)+IF(INDEX('Tournament Setup'!$AJ:$AJ,MATCH($A252,'Tournament Setup'!$A:$A,0))&lt;=MOD($Y252,18),1,0)))</f>
      </c>
      <c r="AG252" t="e">
        <f>IF(OR(OR($A252="",$D252=""),M252=""),"",M252-(INT($Y252/18)+IF(INDEX('Tournament Setup'!$AK:$AK,MATCH($A252,'Tournament Setup'!$A:$A,0))&lt;=MOD($Y252,18),1,0)))</f>
      </c>
      <c r="AH252" t="e">
        <f>IF(OR(OR($A252="",$D252=""),N252=""),"",N252-(INT($Y252/18)+IF(INDEX('Tournament Setup'!$AL:$AL,MATCH($A252,'Tournament Setup'!$A:$A,0))&lt;=MOD($Y252,18),1,0)))</f>
      </c>
      <c r="AI252" t="e">
        <f>IF(OR(OR($A252="",$D252=""),O252=""),"",O252-(INT($Y252/18)+IF(INDEX('Tournament Setup'!$AM:$AM,MATCH($A252,'Tournament Setup'!$A:$A,0))&lt;=MOD($Y252,18),1,0)))</f>
      </c>
      <c r="AJ252" t="e">
        <f>IF(OR(OR($A252="",$D252=""),P252=""),"",P252-(INT($Y252/18)+IF(INDEX('Tournament Setup'!$AN:$AN,MATCH($A252,'Tournament Setup'!$A:$A,0))&lt;=MOD($Y252,18),1,0)))</f>
      </c>
      <c r="AK252" t="e">
        <f>IF(OR(OR($A252="",$D252=""),Q252=""),"",Q252-(INT($Y252/18)+IF(INDEX('Tournament Setup'!$AO:$AO,MATCH($A252,'Tournament Setup'!$A:$A,0))&lt;=MOD($Y252,18),1,0)))</f>
      </c>
      <c r="AL252" t="e">
        <f>IF(OR(OR($A252="",$D252=""),R252=""),"",R252-(INT($Y252/18)+IF(INDEX('Tournament Setup'!$AP:$AP,MATCH($A252,'Tournament Setup'!$A:$A,0))&lt;=MOD($Y252,18),1,0)))</f>
      </c>
      <c r="AM252" t="e">
        <f>IF(OR(OR($A252="",$D252=""),S252=""),"",S252-(INT($Y252/18)+IF(INDEX('Tournament Setup'!$AQ:$AQ,MATCH($A252,'Tournament Setup'!$A:$A,0))&lt;=MOD($Y252,18),1,0)))</f>
      </c>
      <c r="AN252" t="e">
        <f>IF(OR(OR($A252="",$D252=""),T252=""),"",T252-(INT($Y252/18)+IF(INDEX('Tournament Setup'!$AR:$AR,MATCH($A252,'Tournament Setup'!$A:$A,0))&lt;=MOD($Y252,18),1,0)))</f>
      </c>
      <c r="AO252" t="e">
        <f>IF(OR(OR($A252="",$D252=""),U252=""),"",U252-(INT($Y252/18)+IF(INDEX('Tournament Setup'!$AS:$AS,MATCH($A252,'Tournament Setup'!$A:$A,0))&lt;=MOD($Y252,18),1,0)))</f>
      </c>
      <c r="AP252" t="e">
        <f>IF(OR(OR($A252="",$D252=""),V252=""),"",V252-(INT($Y252/18)+IF(INDEX('Tournament Setup'!$AT:$AT,MATCH($A252,'Tournament Setup'!$A:$A,0))&lt;=MOD($Y252,18),1,0)))</f>
      </c>
      <c r="AQ252" t="e">
        <f>IF(OR(OR($A252="",$D252=""),W252=""),"",W252-(INT($Y252/18)+IF(INDEX('Tournament Setup'!$AU:$AU,MATCH($A252,'Tournament Setup'!$A:$A,0))&lt;=MOD($Y252,18),1,0)))</f>
      </c>
    </row>
    <row r="253">
      <c r="X253" t="e">
        <f>IF(OR($A253="",$D253=""),"",SUM(F253:W253))</f>
      </c>
      <c r="Y253" t="e">
        <f>IF(OR($A253="",$D253=""),"",IF(INDEX('Tournament Setup'!$F:$F,MATCH($A253,'Tournament Setup'!$A:$A,0))="Net",ROUND(($E253-_xlfn.MINIFS($E$2:$E$401,$A$2:$A$401,$A253,$B$2:$B$401,$B253))*INDEX('Tournament Setup'!$G:$G,MATCH($A253,'Tournament Setup'!$A:$A,0))/100,0),0))</f>
      </c>
      <c r="Z253" t="e">
        <f>IF(OR(OR($A253="",$D253=""),F253=""),"",F253-(INT($Y253/18)+IF(INDEX('Tournament Setup'!$AD:$AD,MATCH($A253,'Tournament Setup'!$A:$A,0))&lt;=MOD($Y253,18),1,0)))</f>
      </c>
      <c r="AA253" t="e">
        <f>IF(OR(OR($A253="",$D253=""),G253=""),"",G253-(INT($Y253/18)+IF(INDEX('Tournament Setup'!$AE:$AE,MATCH($A253,'Tournament Setup'!$A:$A,0))&lt;=MOD($Y253,18),1,0)))</f>
      </c>
      <c r="AB253" t="e">
        <f>IF(OR(OR($A253="",$D253=""),H253=""),"",H253-(INT($Y253/18)+IF(INDEX('Tournament Setup'!$AF:$AF,MATCH($A253,'Tournament Setup'!$A:$A,0))&lt;=MOD($Y253,18),1,0)))</f>
      </c>
      <c r="AC253" t="e">
        <f>IF(OR(OR($A253="",$D253=""),I253=""),"",I253-(INT($Y253/18)+IF(INDEX('Tournament Setup'!$AG:$AG,MATCH($A253,'Tournament Setup'!$A:$A,0))&lt;=MOD($Y253,18),1,0)))</f>
      </c>
      <c r="AD253" t="e">
        <f>IF(OR(OR($A253="",$D253=""),J253=""),"",J253-(INT($Y253/18)+IF(INDEX('Tournament Setup'!$AH:$AH,MATCH($A253,'Tournament Setup'!$A:$A,0))&lt;=MOD($Y253,18),1,0)))</f>
      </c>
      <c r="AE253" t="e">
        <f>IF(OR(OR($A253="",$D253=""),K253=""),"",K253-(INT($Y253/18)+IF(INDEX('Tournament Setup'!$AI:$AI,MATCH($A253,'Tournament Setup'!$A:$A,0))&lt;=MOD($Y253,18),1,0)))</f>
      </c>
      <c r="AF253" t="e">
        <f>IF(OR(OR($A253="",$D253=""),L253=""),"",L253-(INT($Y253/18)+IF(INDEX('Tournament Setup'!$AJ:$AJ,MATCH($A253,'Tournament Setup'!$A:$A,0))&lt;=MOD($Y253,18),1,0)))</f>
      </c>
      <c r="AG253" t="e">
        <f>IF(OR(OR($A253="",$D253=""),M253=""),"",M253-(INT($Y253/18)+IF(INDEX('Tournament Setup'!$AK:$AK,MATCH($A253,'Tournament Setup'!$A:$A,0))&lt;=MOD($Y253,18),1,0)))</f>
      </c>
      <c r="AH253" t="e">
        <f>IF(OR(OR($A253="",$D253=""),N253=""),"",N253-(INT($Y253/18)+IF(INDEX('Tournament Setup'!$AL:$AL,MATCH($A253,'Tournament Setup'!$A:$A,0))&lt;=MOD($Y253,18),1,0)))</f>
      </c>
      <c r="AI253" t="e">
        <f>IF(OR(OR($A253="",$D253=""),O253=""),"",O253-(INT($Y253/18)+IF(INDEX('Tournament Setup'!$AM:$AM,MATCH($A253,'Tournament Setup'!$A:$A,0))&lt;=MOD($Y253,18),1,0)))</f>
      </c>
      <c r="AJ253" t="e">
        <f>IF(OR(OR($A253="",$D253=""),P253=""),"",P253-(INT($Y253/18)+IF(INDEX('Tournament Setup'!$AN:$AN,MATCH($A253,'Tournament Setup'!$A:$A,0))&lt;=MOD($Y253,18),1,0)))</f>
      </c>
      <c r="AK253" t="e">
        <f>IF(OR(OR($A253="",$D253=""),Q253=""),"",Q253-(INT($Y253/18)+IF(INDEX('Tournament Setup'!$AO:$AO,MATCH($A253,'Tournament Setup'!$A:$A,0))&lt;=MOD($Y253,18),1,0)))</f>
      </c>
      <c r="AL253" t="e">
        <f>IF(OR(OR($A253="",$D253=""),R253=""),"",R253-(INT($Y253/18)+IF(INDEX('Tournament Setup'!$AP:$AP,MATCH($A253,'Tournament Setup'!$A:$A,0))&lt;=MOD($Y253,18),1,0)))</f>
      </c>
      <c r="AM253" t="e">
        <f>IF(OR(OR($A253="",$D253=""),S253=""),"",S253-(INT($Y253/18)+IF(INDEX('Tournament Setup'!$AQ:$AQ,MATCH($A253,'Tournament Setup'!$A:$A,0))&lt;=MOD($Y253,18),1,0)))</f>
      </c>
      <c r="AN253" t="e">
        <f>IF(OR(OR($A253="",$D253=""),T253=""),"",T253-(INT($Y253/18)+IF(INDEX('Tournament Setup'!$AR:$AR,MATCH($A253,'Tournament Setup'!$A:$A,0))&lt;=MOD($Y253,18),1,0)))</f>
      </c>
      <c r="AO253" t="e">
        <f>IF(OR(OR($A253="",$D253=""),U253=""),"",U253-(INT($Y253/18)+IF(INDEX('Tournament Setup'!$AS:$AS,MATCH($A253,'Tournament Setup'!$A:$A,0))&lt;=MOD($Y253,18),1,0)))</f>
      </c>
      <c r="AP253" t="e">
        <f>IF(OR(OR($A253="",$D253=""),V253=""),"",V253-(INT($Y253/18)+IF(INDEX('Tournament Setup'!$AT:$AT,MATCH($A253,'Tournament Setup'!$A:$A,0))&lt;=MOD($Y253,18),1,0)))</f>
      </c>
      <c r="AQ253" t="e">
        <f>IF(OR(OR($A253="",$D253=""),W253=""),"",W253-(INT($Y253/18)+IF(INDEX('Tournament Setup'!$AU:$AU,MATCH($A253,'Tournament Setup'!$A:$A,0))&lt;=MOD($Y253,18),1,0)))</f>
      </c>
    </row>
    <row r="254">
      <c r="X254" t="e">
        <f>IF(OR($A254="",$D254=""),"",SUM(F254:W254))</f>
      </c>
      <c r="Y254" t="e">
        <f>IF(OR($A254="",$D254=""),"",IF(INDEX('Tournament Setup'!$F:$F,MATCH($A254,'Tournament Setup'!$A:$A,0))="Net",ROUND(($E254-_xlfn.MINIFS($E$2:$E$401,$A$2:$A$401,$A254,$B$2:$B$401,$B254))*INDEX('Tournament Setup'!$G:$G,MATCH($A254,'Tournament Setup'!$A:$A,0))/100,0),0))</f>
      </c>
      <c r="Z254" t="e">
        <f>IF(OR(OR($A254="",$D254=""),F254=""),"",F254-(INT($Y254/18)+IF(INDEX('Tournament Setup'!$AD:$AD,MATCH($A254,'Tournament Setup'!$A:$A,0))&lt;=MOD($Y254,18),1,0)))</f>
      </c>
      <c r="AA254" t="e">
        <f>IF(OR(OR($A254="",$D254=""),G254=""),"",G254-(INT($Y254/18)+IF(INDEX('Tournament Setup'!$AE:$AE,MATCH($A254,'Tournament Setup'!$A:$A,0))&lt;=MOD($Y254,18),1,0)))</f>
      </c>
      <c r="AB254" t="e">
        <f>IF(OR(OR($A254="",$D254=""),H254=""),"",H254-(INT($Y254/18)+IF(INDEX('Tournament Setup'!$AF:$AF,MATCH($A254,'Tournament Setup'!$A:$A,0))&lt;=MOD($Y254,18),1,0)))</f>
      </c>
      <c r="AC254" t="e">
        <f>IF(OR(OR($A254="",$D254=""),I254=""),"",I254-(INT($Y254/18)+IF(INDEX('Tournament Setup'!$AG:$AG,MATCH($A254,'Tournament Setup'!$A:$A,0))&lt;=MOD($Y254,18),1,0)))</f>
      </c>
      <c r="AD254" t="e">
        <f>IF(OR(OR($A254="",$D254=""),J254=""),"",J254-(INT($Y254/18)+IF(INDEX('Tournament Setup'!$AH:$AH,MATCH($A254,'Tournament Setup'!$A:$A,0))&lt;=MOD($Y254,18),1,0)))</f>
      </c>
      <c r="AE254" t="e">
        <f>IF(OR(OR($A254="",$D254=""),K254=""),"",K254-(INT($Y254/18)+IF(INDEX('Tournament Setup'!$AI:$AI,MATCH($A254,'Tournament Setup'!$A:$A,0))&lt;=MOD($Y254,18),1,0)))</f>
      </c>
      <c r="AF254" t="e">
        <f>IF(OR(OR($A254="",$D254=""),L254=""),"",L254-(INT($Y254/18)+IF(INDEX('Tournament Setup'!$AJ:$AJ,MATCH($A254,'Tournament Setup'!$A:$A,0))&lt;=MOD($Y254,18),1,0)))</f>
      </c>
      <c r="AG254" t="e">
        <f>IF(OR(OR($A254="",$D254=""),M254=""),"",M254-(INT($Y254/18)+IF(INDEX('Tournament Setup'!$AK:$AK,MATCH($A254,'Tournament Setup'!$A:$A,0))&lt;=MOD($Y254,18),1,0)))</f>
      </c>
      <c r="AH254" t="e">
        <f>IF(OR(OR($A254="",$D254=""),N254=""),"",N254-(INT($Y254/18)+IF(INDEX('Tournament Setup'!$AL:$AL,MATCH($A254,'Tournament Setup'!$A:$A,0))&lt;=MOD($Y254,18),1,0)))</f>
      </c>
      <c r="AI254" t="e">
        <f>IF(OR(OR($A254="",$D254=""),O254=""),"",O254-(INT($Y254/18)+IF(INDEX('Tournament Setup'!$AM:$AM,MATCH($A254,'Tournament Setup'!$A:$A,0))&lt;=MOD($Y254,18),1,0)))</f>
      </c>
      <c r="AJ254" t="e">
        <f>IF(OR(OR($A254="",$D254=""),P254=""),"",P254-(INT($Y254/18)+IF(INDEX('Tournament Setup'!$AN:$AN,MATCH($A254,'Tournament Setup'!$A:$A,0))&lt;=MOD($Y254,18),1,0)))</f>
      </c>
      <c r="AK254" t="e">
        <f>IF(OR(OR($A254="",$D254=""),Q254=""),"",Q254-(INT($Y254/18)+IF(INDEX('Tournament Setup'!$AO:$AO,MATCH($A254,'Tournament Setup'!$A:$A,0))&lt;=MOD($Y254,18),1,0)))</f>
      </c>
      <c r="AL254" t="e">
        <f>IF(OR(OR($A254="",$D254=""),R254=""),"",R254-(INT($Y254/18)+IF(INDEX('Tournament Setup'!$AP:$AP,MATCH($A254,'Tournament Setup'!$A:$A,0))&lt;=MOD($Y254,18),1,0)))</f>
      </c>
      <c r="AM254" t="e">
        <f>IF(OR(OR($A254="",$D254=""),S254=""),"",S254-(INT($Y254/18)+IF(INDEX('Tournament Setup'!$AQ:$AQ,MATCH($A254,'Tournament Setup'!$A:$A,0))&lt;=MOD($Y254,18),1,0)))</f>
      </c>
      <c r="AN254" t="e">
        <f>IF(OR(OR($A254="",$D254=""),T254=""),"",T254-(INT($Y254/18)+IF(INDEX('Tournament Setup'!$AR:$AR,MATCH($A254,'Tournament Setup'!$A:$A,0))&lt;=MOD($Y254,18),1,0)))</f>
      </c>
      <c r="AO254" t="e">
        <f>IF(OR(OR($A254="",$D254=""),U254=""),"",U254-(INT($Y254/18)+IF(INDEX('Tournament Setup'!$AS:$AS,MATCH($A254,'Tournament Setup'!$A:$A,0))&lt;=MOD($Y254,18),1,0)))</f>
      </c>
      <c r="AP254" t="e">
        <f>IF(OR(OR($A254="",$D254=""),V254=""),"",V254-(INT($Y254/18)+IF(INDEX('Tournament Setup'!$AT:$AT,MATCH($A254,'Tournament Setup'!$A:$A,0))&lt;=MOD($Y254,18),1,0)))</f>
      </c>
      <c r="AQ254" t="e">
        <f>IF(OR(OR($A254="",$D254=""),W254=""),"",W254-(INT($Y254/18)+IF(INDEX('Tournament Setup'!$AU:$AU,MATCH($A254,'Tournament Setup'!$A:$A,0))&lt;=MOD($Y254,18),1,0)))</f>
      </c>
    </row>
    <row r="255">
      <c r="X255" t="e">
        <f>IF(OR($A255="",$D255=""),"",SUM(F255:W255))</f>
      </c>
      <c r="Y255" t="e">
        <f>IF(OR($A255="",$D255=""),"",IF(INDEX('Tournament Setup'!$F:$F,MATCH($A255,'Tournament Setup'!$A:$A,0))="Net",ROUND(($E255-_xlfn.MINIFS($E$2:$E$401,$A$2:$A$401,$A255,$B$2:$B$401,$B255))*INDEX('Tournament Setup'!$G:$G,MATCH($A255,'Tournament Setup'!$A:$A,0))/100,0),0))</f>
      </c>
      <c r="Z255" t="e">
        <f>IF(OR(OR($A255="",$D255=""),F255=""),"",F255-(INT($Y255/18)+IF(INDEX('Tournament Setup'!$AD:$AD,MATCH($A255,'Tournament Setup'!$A:$A,0))&lt;=MOD($Y255,18),1,0)))</f>
      </c>
      <c r="AA255" t="e">
        <f>IF(OR(OR($A255="",$D255=""),G255=""),"",G255-(INT($Y255/18)+IF(INDEX('Tournament Setup'!$AE:$AE,MATCH($A255,'Tournament Setup'!$A:$A,0))&lt;=MOD($Y255,18),1,0)))</f>
      </c>
      <c r="AB255" t="e">
        <f>IF(OR(OR($A255="",$D255=""),H255=""),"",H255-(INT($Y255/18)+IF(INDEX('Tournament Setup'!$AF:$AF,MATCH($A255,'Tournament Setup'!$A:$A,0))&lt;=MOD($Y255,18),1,0)))</f>
      </c>
      <c r="AC255" t="e">
        <f>IF(OR(OR($A255="",$D255=""),I255=""),"",I255-(INT($Y255/18)+IF(INDEX('Tournament Setup'!$AG:$AG,MATCH($A255,'Tournament Setup'!$A:$A,0))&lt;=MOD($Y255,18),1,0)))</f>
      </c>
      <c r="AD255" t="e">
        <f>IF(OR(OR($A255="",$D255=""),J255=""),"",J255-(INT($Y255/18)+IF(INDEX('Tournament Setup'!$AH:$AH,MATCH($A255,'Tournament Setup'!$A:$A,0))&lt;=MOD($Y255,18),1,0)))</f>
      </c>
      <c r="AE255" t="e">
        <f>IF(OR(OR($A255="",$D255=""),K255=""),"",K255-(INT($Y255/18)+IF(INDEX('Tournament Setup'!$AI:$AI,MATCH($A255,'Tournament Setup'!$A:$A,0))&lt;=MOD($Y255,18),1,0)))</f>
      </c>
      <c r="AF255" t="e">
        <f>IF(OR(OR($A255="",$D255=""),L255=""),"",L255-(INT($Y255/18)+IF(INDEX('Tournament Setup'!$AJ:$AJ,MATCH($A255,'Tournament Setup'!$A:$A,0))&lt;=MOD($Y255,18),1,0)))</f>
      </c>
      <c r="AG255" t="e">
        <f>IF(OR(OR($A255="",$D255=""),M255=""),"",M255-(INT($Y255/18)+IF(INDEX('Tournament Setup'!$AK:$AK,MATCH($A255,'Tournament Setup'!$A:$A,0))&lt;=MOD($Y255,18),1,0)))</f>
      </c>
      <c r="AH255" t="e">
        <f>IF(OR(OR($A255="",$D255=""),N255=""),"",N255-(INT($Y255/18)+IF(INDEX('Tournament Setup'!$AL:$AL,MATCH($A255,'Tournament Setup'!$A:$A,0))&lt;=MOD($Y255,18),1,0)))</f>
      </c>
      <c r="AI255" t="e">
        <f>IF(OR(OR($A255="",$D255=""),O255=""),"",O255-(INT($Y255/18)+IF(INDEX('Tournament Setup'!$AM:$AM,MATCH($A255,'Tournament Setup'!$A:$A,0))&lt;=MOD($Y255,18),1,0)))</f>
      </c>
      <c r="AJ255" t="e">
        <f>IF(OR(OR($A255="",$D255=""),P255=""),"",P255-(INT($Y255/18)+IF(INDEX('Tournament Setup'!$AN:$AN,MATCH($A255,'Tournament Setup'!$A:$A,0))&lt;=MOD($Y255,18),1,0)))</f>
      </c>
      <c r="AK255" t="e">
        <f>IF(OR(OR($A255="",$D255=""),Q255=""),"",Q255-(INT($Y255/18)+IF(INDEX('Tournament Setup'!$AO:$AO,MATCH($A255,'Tournament Setup'!$A:$A,0))&lt;=MOD($Y255,18),1,0)))</f>
      </c>
      <c r="AL255" t="e">
        <f>IF(OR(OR($A255="",$D255=""),R255=""),"",R255-(INT($Y255/18)+IF(INDEX('Tournament Setup'!$AP:$AP,MATCH($A255,'Tournament Setup'!$A:$A,0))&lt;=MOD($Y255,18),1,0)))</f>
      </c>
      <c r="AM255" t="e">
        <f>IF(OR(OR($A255="",$D255=""),S255=""),"",S255-(INT($Y255/18)+IF(INDEX('Tournament Setup'!$AQ:$AQ,MATCH($A255,'Tournament Setup'!$A:$A,0))&lt;=MOD($Y255,18),1,0)))</f>
      </c>
      <c r="AN255" t="e">
        <f>IF(OR(OR($A255="",$D255=""),T255=""),"",T255-(INT($Y255/18)+IF(INDEX('Tournament Setup'!$AR:$AR,MATCH($A255,'Tournament Setup'!$A:$A,0))&lt;=MOD($Y255,18),1,0)))</f>
      </c>
      <c r="AO255" t="e">
        <f>IF(OR(OR($A255="",$D255=""),U255=""),"",U255-(INT($Y255/18)+IF(INDEX('Tournament Setup'!$AS:$AS,MATCH($A255,'Tournament Setup'!$A:$A,0))&lt;=MOD($Y255,18),1,0)))</f>
      </c>
      <c r="AP255" t="e">
        <f>IF(OR(OR($A255="",$D255=""),V255=""),"",V255-(INT($Y255/18)+IF(INDEX('Tournament Setup'!$AT:$AT,MATCH($A255,'Tournament Setup'!$A:$A,0))&lt;=MOD($Y255,18),1,0)))</f>
      </c>
      <c r="AQ255" t="e">
        <f>IF(OR(OR($A255="",$D255=""),W255=""),"",W255-(INT($Y255/18)+IF(INDEX('Tournament Setup'!$AU:$AU,MATCH($A255,'Tournament Setup'!$A:$A,0))&lt;=MOD($Y255,18),1,0)))</f>
      </c>
    </row>
    <row r="256">
      <c r="X256" t="e">
        <f>IF(OR($A256="",$D256=""),"",SUM(F256:W256))</f>
      </c>
      <c r="Y256" t="e">
        <f>IF(OR($A256="",$D256=""),"",IF(INDEX('Tournament Setup'!$F:$F,MATCH($A256,'Tournament Setup'!$A:$A,0))="Net",ROUND(($E256-_xlfn.MINIFS($E$2:$E$401,$A$2:$A$401,$A256,$B$2:$B$401,$B256))*INDEX('Tournament Setup'!$G:$G,MATCH($A256,'Tournament Setup'!$A:$A,0))/100,0),0))</f>
      </c>
      <c r="Z256" t="e">
        <f>IF(OR(OR($A256="",$D256=""),F256=""),"",F256-(INT($Y256/18)+IF(INDEX('Tournament Setup'!$AD:$AD,MATCH($A256,'Tournament Setup'!$A:$A,0))&lt;=MOD($Y256,18),1,0)))</f>
      </c>
      <c r="AA256" t="e">
        <f>IF(OR(OR($A256="",$D256=""),G256=""),"",G256-(INT($Y256/18)+IF(INDEX('Tournament Setup'!$AE:$AE,MATCH($A256,'Tournament Setup'!$A:$A,0))&lt;=MOD($Y256,18),1,0)))</f>
      </c>
      <c r="AB256" t="e">
        <f>IF(OR(OR($A256="",$D256=""),H256=""),"",H256-(INT($Y256/18)+IF(INDEX('Tournament Setup'!$AF:$AF,MATCH($A256,'Tournament Setup'!$A:$A,0))&lt;=MOD($Y256,18),1,0)))</f>
      </c>
      <c r="AC256" t="e">
        <f>IF(OR(OR($A256="",$D256=""),I256=""),"",I256-(INT($Y256/18)+IF(INDEX('Tournament Setup'!$AG:$AG,MATCH($A256,'Tournament Setup'!$A:$A,0))&lt;=MOD($Y256,18),1,0)))</f>
      </c>
      <c r="AD256" t="e">
        <f>IF(OR(OR($A256="",$D256=""),J256=""),"",J256-(INT($Y256/18)+IF(INDEX('Tournament Setup'!$AH:$AH,MATCH($A256,'Tournament Setup'!$A:$A,0))&lt;=MOD($Y256,18),1,0)))</f>
      </c>
      <c r="AE256" t="e">
        <f>IF(OR(OR($A256="",$D256=""),K256=""),"",K256-(INT($Y256/18)+IF(INDEX('Tournament Setup'!$AI:$AI,MATCH($A256,'Tournament Setup'!$A:$A,0))&lt;=MOD($Y256,18),1,0)))</f>
      </c>
      <c r="AF256" t="e">
        <f>IF(OR(OR($A256="",$D256=""),L256=""),"",L256-(INT($Y256/18)+IF(INDEX('Tournament Setup'!$AJ:$AJ,MATCH($A256,'Tournament Setup'!$A:$A,0))&lt;=MOD($Y256,18),1,0)))</f>
      </c>
      <c r="AG256" t="e">
        <f>IF(OR(OR($A256="",$D256=""),M256=""),"",M256-(INT($Y256/18)+IF(INDEX('Tournament Setup'!$AK:$AK,MATCH($A256,'Tournament Setup'!$A:$A,0))&lt;=MOD($Y256,18),1,0)))</f>
      </c>
      <c r="AH256" t="e">
        <f>IF(OR(OR($A256="",$D256=""),N256=""),"",N256-(INT($Y256/18)+IF(INDEX('Tournament Setup'!$AL:$AL,MATCH($A256,'Tournament Setup'!$A:$A,0))&lt;=MOD($Y256,18),1,0)))</f>
      </c>
      <c r="AI256" t="e">
        <f>IF(OR(OR($A256="",$D256=""),O256=""),"",O256-(INT($Y256/18)+IF(INDEX('Tournament Setup'!$AM:$AM,MATCH($A256,'Tournament Setup'!$A:$A,0))&lt;=MOD($Y256,18),1,0)))</f>
      </c>
      <c r="AJ256" t="e">
        <f>IF(OR(OR($A256="",$D256=""),P256=""),"",P256-(INT($Y256/18)+IF(INDEX('Tournament Setup'!$AN:$AN,MATCH($A256,'Tournament Setup'!$A:$A,0))&lt;=MOD($Y256,18),1,0)))</f>
      </c>
      <c r="AK256" t="e">
        <f>IF(OR(OR($A256="",$D256=""),Q256=""),"",Q256-(INT($Y256/18)+IF(INDEX('Tournament Setup'!$AO:$AO,MATCH($A256,'Tournament Setup'!$A:$A,0))&lt;=MOD($Y256,18),1,0)))</f>
      </c>
      <c r="AL256" t="e">
        <f>IF(OR(OR($A256="",$D256=""),R256=""),"",R256-(INT($Y256/18)+IF(INDEX('Tournament Setup'!$AP:$AP,MATCH($A256,'Tournament Setup'!$A:$A,0))&lt;=MOD($Y256,18),1,0)))</f>
      </c>
      <c r="AM256" t="e">
        <f>IF(OR(OR($A256="",$D256=""),S256=""),"",S256-(INT($Y256/18)+IF(INDEX('Tournament Setup'!$AQ:$AQ,MATCH($A256,'Tournament Setup'!$A:$A,0))&lt;=MOD($Y256,18),1,0)))</f>
      </c>
      <c r="AN256" t="e">
        <f>IF(OR(OR($A256="",$D256=""),T256=""),"",T256-(INT($Y256/18)+IF(INDEX('Tournament Setup'!$AR:$AR,MATCH($A256,'Tournament Setup'!$A:$A,0))&lt;=MOD($Y256,18),1,0)))</f>
      </c>
      <c r="AO256" t="e">
        <f>IF(OR(OR($A256="",$D256=""),U256=""),"",U256-(INT($Y256/18)+IF(INDEX('Tournament Setup'!$AS:$AS,MATCH($A256,'Tournament Setup'!$A:$A,0))&lt;=MOD($Y256,18),1,0)))</f>
      </c>
      <c r="AP256" t="e">
        <f>IF(OR(OR($A256="",$D256=""),V256=""),"",V256-(INT($Y256/18)+IF(INDEX('Tournament Setup'!$AT:$AT,MATCH($A256,'Tournament Setup'!$A:$A,0))&lt;=MOD($Y256,18),1,0)))</f>
      </c>
      <c r="AQ256" t="e">
        <f>IF(OR(OR($A256="",$D256=""),W256=""),"",W256-(INT($Y256/18)+IF(INDEX('Tournament Setup'!$AU:$AU,MATCH($A256,'Tournament Setup'!$A:$A,0))&lt;=MOD($Y256,18),1,0)))</f>
      </c>
    </row>
    <row r="257">
      <c r="X257" t="e">
        <f>IF(OR($A257="",$D257=""),"",SUM(F257:W257))</f>
      </c>
      <c r="Y257" t="e">
        <f>IF(OR($A257="",$D257=""),"",IF(INDEX('Tournament Setup'!$F:$F,MATCH($A257,'Tournament Setup'!$A:$A,0))="Net",ROUND(($E257-_xlfn.MINIFS($E$2:$E$401,$A$2:$A$401,$A257,$B$2:$B$401,$B257))*INDEX('Tournament Setup'!$G:$G,MATCH($A257,'Tournament Setup'!$A:$A,0))/100,0),0))</f>
      </c>
      <c r="Z257" t="e">
        <f>IF(OR(OR($A257="",$D257=""),F257=""),"",F257-(INT($Y257/18)+IF(INDEX('Tournament Setup'!$AD:$AD,MATCH($A257,'Tournament Setup'!$A:$A,0))&lt;=MOD($Y257,18),1,0)))</f>
      </c>
      <c r="AA257" t="e">
        <f>IF(OR(OR($A257="",$D257=""),G257=""),"",G257-(INT($Y257/18)+IF(INDEX('Tournament Setup'!$AE:$AE,MATCH($A257,'Tournament Setup'!$A:$A,0))&lt;=MOD($Y257,18),1,0)))</f>
      </c>
      <c r="AB257" t="e">
        <f>IF(OR(OR($A257="",$D257=""),H257=""),"",H257-(INT($Y257/18)+IF(INDEX('Tournament Setup'!$AF:$AF,MATCH($A257,'Tournament Setup'!$A:$A,0))&lt;=MOD($Y257,18),1,0)))</f>
      </c>
      <c r="AC257" t="e">
        <f>IF(OR(OR($A257="",$D257=""),I257=""),"",I257-(INT($Y257/18)+IF(INDEX('Tournament Setup'!$AG:$AG,MATCH($A257,'Tournament Setup'!$A:$A,0))&lt;=MOD($Y257,18),1,0)))</f>
      </c>
      <c r="AD257" t="e">
        <f>IF(OR(OR($A257="",$D257=""),J257=""),"",J257-(INT($Y257/18)+IF(INDEX('Tournament Setup'!$AH:$AH,MATCH($A257,'Tournament Setup'!$A:$A,0))&lt;=MOD($Y257,18),1,0)))</f>
      </c>
      <c r="AE257" t="e">
        <f>IF(OR(OR($A257="",$D257=""),K257=""),"",K257-(INT($Y257/18)+IF(INDEX('Tournament Setup'!$AI:$AI,MATCH($A257,'Tournament Setup'!$A:$A,0))&lt;=MOD($Y257,18),1,0)))</f>
      </c>
      <c r="AF257" t="e">
        <f>IF(OR(OR($A257="",$D257=""),L257=""),"",L257-(INT($Y257/18)+IF(INDEX('Tournament Setup'!$AJ:$AJ,MATCH($A257,'Tournament Setup'!$A:$A,0))&lt;=MOD($Y257,18),1,0)))</f>
      </c>
      <c r="AG257" t="e">
        <f>IF(OR(OR($A257="",$D257=""),M257=""),"",M257-(INT($Y257/18)+IF(INDEX('Tournament Setup'!$AK:$AK,MATCH($A257,'Tournament Setup'!$A:$A,0))&lt;=MOD($Y257,18),1,0)))</f>
      </c>
      <c r="AH257" t="e">
        <f>IF(OR(OR($A257="",$D257=""),N257=""),"",N257-(INT($Y257/18)+IF(INDEX('Tournament Setup'!$AL:$AL,MATCH($A257,'Tournament Setup'!$A:$A,0))&lt;=MOD($Y257,18),1,0)))</f>
      </c>
      <c r="AI257" t="e">
        <f>IF(OR(OR($A257="",$D257=""),O257=""),"",O257-(INT($Y257/18)+IF(INDEX('Tournament Setup'!$AM:$AM,MATCH($A257,'Tournament Setup'!$A:$A,0))&lt;=MOD($Y257,18),1,0)))</f>
      </c>
      <c r="AJ257" t="e">
        <f>IF(OR(OR($A257="",$D257=""),P257=""),"",P257-(INT($Y257/18)+IF(INDEX('Tournament Setup'!$AN:$AN,MATCH($A257,'Tournament Setup'!$A:$A,0))&lt;=MOD($Y257,18),1,0)))</f>
      </c>
      <c r="AK257" t="e">
        <f>IF(OR(OR($A257="",$D257=""),Q257=""),"",Q257-(INT($Y257/18)+IF(INDEX('Tournament Setup'!$AO:$AO,MATCH($A257,'Tournament Setup'!$A:$A,0))&lt;=MOD($Y257,18),1,0)))</f>
      </c>
      <c r="AL257" t="e">
        <f>IF(OR(OR($A257="",$D257=""),R257=""),"",R257-(INT($Y257/18)+IF(INDEX('Tournament Setup'!$AP:$AP,MATCH($A257,'Tournament Setup'!$A:$A,0))&lt;=MOD($Y257,18),1,0)))</f>
      </c>
      <c r="AM257" t="e">
        <f>IF(OR(OR($A257="",$D257=""),S257=""),"",S257-(INT($Y257/18)+IF(INDEX('Tournament Setup'!$AQ:$AQ,MATCH($A257,'Tournament Setup'!$A:$A,0))&lt;=MOD($Y257,18),1,0)))</f>
      </c>
      <c r="AN257" t="e">
        <f>IF(OR(OR($A257="",$D257=""),T257=""),"",T257-(INT($Y257/18)+IF(INDEX('Tournament Setup'!$AR:$AR,MATCH($A257,'Tournament Setup'!$A:$A,0))&lt;=MOD($Y257,18),1,0)))</f>
      </c>
      <c r="AO257" t="e">
        <f>IF(OR(OR($A257="",$D257=""),U257=""),"",U257-(INT($Y257/18)+IF(INDEX('Tournament Setup'!$AS:$AS,MATCH($A257,'Tournament Setup'!$A:$A,0))&lt;=MOD($Y257,18),1,0)))</f>
      </c>
      <c r="AP257" t="e">
        <f>IF(OR(OR($A257="",$D257=""),V257=""),"",V257-(INT($Y257/18)+IF(INDEX('Tournament Setup'!$AT:$AT,MATCH($A257,'Tournament Setup'!$A:$A,0))&lt;=MOD($Y257,18),1,0)))</f>
      </c>
      <c r="AQ257" t="e">
        <f>IF(OR(OR($A257="",$D257=""),W257=""),"",W257-(INT($Y257/18)+IF(INDEX('Tournament Setup'!$AU:$AU,MATCH($A257,'Tournament Setup'!$A:$A,0))&lt;=MOD($Y257,18),1,0)))</f>
      </c>
    </row>
    <row r="258">
      <c r="X258" t="e">
        <f>IF(OR($A258="",$D258=""),"",SUM(F258:W258))</f>
      </c>
      <c r="Y258" t="e">
        <f>IF(OR($A258="",$D258=""),"",IF(INDEX('Tournament Setup'!$F:$F,MATCH($A258,'Tournament Setup'!$A:$A,0))="Net",ROUND(($E258-_xlfn.MINIFS($E$2:$E$401,$A$2:$A$401,$A258,$B$2:$B$401,$B258))*INDEX('Tournament Setup'!$G:$G,MATCH($A258,'Tournament Setup'!$A:$A,0))/100,0),0))</f>
      </c>
      <c r="Z258" t="e">
        <f>IF(OR(OR($A258="",$D258=""),F258=""),"",F258-(INT($Y258/18)+IF(INDEX('Tournament Setup'!$AD:$AD,MATCH($A258,'Tournament Setup'!$A:$A,0))&lt;=MOD($Y258,18),1,0)))</f>
      </c>
      <c r="AA258" t="e">
        <f>IF(OR(OR($A258="",$D258=""),G258=""),"",G258-(INT($Y258/18)+IF(INDEX('Tournament Setup'!$AE:$AE,MATCH($A258,'Tournament Setup'!$A:$A,0))&lt;=MOD($Y258,18),1,0)))</f>
      </c>
      <c r="AB258" t="e">
        <f>IF(OR(OR($A258="",$D258=""),H258=""),"",H258-(INT($Y258/18)+IF(INDEX('Tournament Setup'!$AF:$AF,MATCH($A258,'Tournament Setup'!$A:$A,0))&lt;=MOD($Y258,18),1,0)))</f>
      </c>
      <c r="AC258" t="e">
        <f>IF(OR(OR($A258="",$D258=""),I258=""),"",I258-(INT($Y258/18)+IF(INDEX('Tournament Setup'!$AG:$AG,MATCH($A258,'Tournament Setup'!$A:$A,0))&lt;=MOD($Y258,18),1,0)))</f>
      </c>
      <c r="AD258" t="e">
        <f>IF(OR(OR($A258="",$D258=""),J258=""),"",J258-(INT($Y258/18)+IF(INDEX('Tournament Setup'!$AH:$AH,MATCH($A258,'Tournament Setup'!$A:$A,0))&lt;=MOD($Y258,18),1,0)))</f>
      </c>
      <c r="AE258" t="e">
        <f>IF(OR(OR($A258="",$D258=""),K258=""),"",K258-(INT($Y258/18)+IF(INDEX('Tournament Setup'!$AI:$AI,MATCH($A258,'Tournament Setup'!$A:$A,0))&lt;=MOD($Y258,18),1,0)))</f>
      </c>
      <c r="AF258" t="e">
        <f>IF(OR(OR($A258="",$D258=""),L258=""),"",L258-(INT($Y258/18)+IF(INDEX('Tournament Setup'!$AJ:$AJ,MATCH($A258,'Tournament Setup'!$A:$A,0))&lt;=MOD($Y258,18),1,0)))</f>
      </c>
      <c r="AG258" t="e">
        <f>IF(OR(OR($A258="",$D258=""),M258=""),"",M258-(INT($Y258/18)+IF(INDEX('Tournament Setup'!$AK:$AK,MATCH($A258,'Tournament Setup'!$A:$A,0))&lt;=MOD($Y258,18),1,0)))</f>
      </c>
      <c r="AH258" t="e">
        <f>IF(OR(OR($A258="",$D258=""),N258=""),"",N258-(INT($Y258/18)+IF(INDEX('Tournament Setup'!$AL:$AL,MATCH($A258,'Tournament Setup'!$A:$A,0))&lt;=MOD($Y258,18),1,0)))</f>
      </c>
      <c r="AI258" t="e">
        <f>IF(OR(OR($A258="",$D258=""),O258=""),"",O258-(INT($Y258/18)+IF(INDEX('Tournament Setup'!$AM:$AM,MATCH($A258,'Tournament Setup'!$A:$A,0))&lt;=MOD($Y258,18),1,0)))</f>
      </c>
      <c r="AJ258" t="e">
        <f>IF(OR(OR($A258="",$D258=""),P258=""),"",P258-(INT($Y258/18)+IF(INDEX('Tournament Setup'!$AN:$AN,MATCH($A258,'Tournament Setup'!$A:$A,0))&lt;=MOD($Y258,18),1,0)))</f>
      </c>
      <c r="AK258" t="e">
        <f>IF(OR(OR($A258="",$D258=""),Q258=""),"",Q258-(INT($Y258/18)+IF(INDEX('Tournament Setup'!$AO:$AO,MATCH($A258,'Tournament Setup'!$A:$A,0))&lt;=MOD($Y258,18),1,0)))</f>
      </c>
      <c r="AL258" t="e">
        <f>IF(OR(OR($A258="",$D258=""),R258=""),"",R258-(INT($Y258/18)+IF(INDEX('Tournament Setup'!$AP:$AP,MATCH($A258,'Tournament Setup'!$A:$A,0))&lt;=MOD($Y258,18),1,0)))</f>
      </c>
      <c r="AM258" t="e">
        <f>IF(OR(OR($A258="",$D258=""),S258=""),"",S258-(INT($Y258/18)+IF(INDEX('Tournament Setup'!$AQ:$AQ,MATCH($A258,'Tournament Setup'!$A:$A,0))&lt;=MOD($Y258,18),1,0)))</f>
      </c>
      <c r="AN258" t="e">
        <f>IF(OR(OR($A258="",$D258=""),T258=""),"",T258-(INT($Y258/18)+IF(INDEX('Tournament Setup'!$AR:$AR,MATCH($A258,'Tournament Setup'!$A:$A,0))&lt;=MOD($Y258,18),1,0)))</f>
      </c>
      <c r="AO258" t="e">
        <f>IF(OR(OR($A258="",$D258=""),U258=""),"",U258-(INT($Y258/18)+IF(INDEX('Tournament Setup'!$AS:$AS,MATCH($A258,'Tournament Setup'!$A:$A,0))&lt;=MOD($Y258,18),1,0)))</f>
      </c>
      <c r="AP258" t="e">
        <f>IF(OR(OR($A258="",$D258=""),V258=""),"",V258-(INT($Y258/18)+IF(INDEX('Tournament Setup'!$AT:$AT,MATCH($A258,'Tournament Setup'!$A:$A,0))&lt;=MOD($Y258,18),1,0)))</f>
      </c>
      <c r="AQ258" t="e">
        <f>IF(OR(OR($A258="",$D258=""),W258=""),"",W258-(INT($Y258/18)+IF(INDEX('Tournament Setup'!$AU:$AU,MATCH($A258,'Tournament Setup'!$A:$A,0))&lt;=MOD($Y258,18),1,0)))</f>
      </c>
    </row>
    <row r="259">
      <c r="X259" t="e">
        <f>IF(OR($A259="",$D259=""),"",SUM(F259:W259))</f>
      </c>
      <c r="Y259" t="e">
        <f>IF(OR($A259="",$D259=""),"",IF(INDEX('Tournament Setup'!$F:$F,MATCH($A259,'Tournament Setup'!$A:$A,0))="Net",ROUND(($E259-_xlfn.MINIFS($E$2:$E$401,$A$2:$A$401,$A259,$B$2:$B$401,$B259))*INDEX('Tournament Setup'!$G:$G,MATCH($A259,'Tournament Setup'!$A:$A,0))/100,0),0))</f>
      </c>
      <c r="Z259" t="e">
        <f>IF(OR(OR($A259="",$D259=""),F259=""),"",F259-(INT($Y259/18)+IF(INDEX('Tournament Setup'!$AD:$AD,MATCH($A259,'Tournament Setup'!$A:$A,0))&lt;=MOD($Y259,18),1,0)))</f>
      </c>
      <c r="AA259" t="e">
        <f>IF(OR(OR($A259="",$D259=""),G259=""),"",G259-(INT($Y259/18)+IF(INDEX('Tournament Setup'!$AE:$AE,MATCH($A259,'Tournament Setup'!$A:$A,0))&lt;=MOD($Y259,18),1,0)))</f>
      </c>
      <c r="AB259" t="e">
        <f>IF(OR(OR($A259="",$D259=""),H259=""),"",H259-(INT($Y259/18)+IF(INDEX('Tournament Setup'!$AF:$AF,MATCH($A259,'Tournament Setup'!$A:$A,0))&lt;=MOD($Y259,18),1,0)))</f>
      </c>
      <c r="AC259" t="e">
        <f>IF(OR(OR($A259="",$D259=""),I259=""),"",I259-(INT($Y259/18)+IF(INDEX('Tournament Setup'!$AG:$AG,MATCH($A259,'Tournament Setup'!$A:$A,0))&lt;=MOD($Y259,18),1,0)))</f>
      </c>
      <c r="AD259" t="e">
        <f>IF(OR(OR($A259="",$D259=""),J259=""),"",J259-(INT($Y259/18)+IF(INDEX('Tournament Setup'!$AH:$AH,MATCH($A259,'Tournament Setup'!$A:$A,0))&lt;=MOD($Y259,18),1,0)))</f>
      </c>
      <c r="AE259" t="e">
        <f>IF(OR(OR($A259="",$D259=""),K259=""),"",K259-(INT($Y259/18)+IF(INDEX('Tournament Setup'!$AI:$AI,MATCH($A259,'Tournament Setup'!$A:$A,0))&lt;=MOD($Y259,18),1,0)))</f>
      </c>
      <c r="AF259" t="e">
        <f>IF(OR(OR($A259="",$D259=""),L259=""),"",L259-(INT($Y259/18)+IF(INDEX('Tournament Setup'!$AJ:$AJ,MATCH($A259,'Tournament Setup'!$A:$A,0))&lt;=MOD($Y259,18),1,0)))</f>
      </c>
      <c r="AG259" t="e">
        <f>IF(OR(OR($A259="",$D259=""),M259=""),"",M259-(INT($Y259/18)+IF(INDEX('Tournament Setup'!$AK:$AK,MATCH($A259,'Tournament Setup'!$A:$A,0))&lt;=MOD($Y259,18),1,0)))</f>
      </c>
      <c r="AH259" t="e">
        <f>IF(OR(OR($A259="",$D259=""),N259=""),"",N259-(INT($Y259/18)+IF(INDEX('Tournament Setup'!$AL:$AL,MATCH($A259,'Tournament Setup'!$A:$A,0))&lt;=MOD($Y259,18),1,0)))</f>
      </c>
      <c r="AI259" t="e">
        <f>IF(OR(OR($A259="",$D259=""),O259=""),"",O259-(INT($Y259/18)+IF(INDEX('Tournament Setup'!$AM:$AM,MATCH($A259,'Tournament Setup'!$A:$A,0))&lt;=MOD($Y259,18),1,0)))</f>
      </c>
      <c r="AJ259" t="e">
        <f>IF(OR(OR($A259="",$D259=""),P259=""),"",P259-(INT($Y259/18)+IF(INDEX('Tournament Setup'!$AN:$AN,MATCH($A259,'Tournament Setup'!$A:$A,0))&lt;=MOD($Y259,18),1,0)))</f>
      </c>
      <c r="AK259" t="e">
        <f>IF(OR(OR($A259="",$D259=""),Q259=""),"",Q259-(INT($Y259/18)+IF(INDEX('Tournament Setup'!$AO:$AO,MATCH($A259,'Tournament Setup'!$A:$A,0))&lt;=MOD($Y259,18),1,0)))</f>
      </c>
      <c r="AL259" t="e">
        <f>IF(OR(OR($A259="",$D259=""),R259=""),"",R259-(INT($Y259/18)+IF(INDEX('Tournament Setup'!$AP:$AP,MATCH($A259,'Tournament Setup'!$A:$A,0))&lt;=MOD($Y259,18),1,0)))</f>
      </c>
      <c r="AM259" t="e">
        <f>IF(OR(OR($A259="",$D259=""),S259=""),"",S259-(INT($Y259/18)+IF(INDEX('Tournament Setup'!$AQ:$AQ,MATCH($A259,'Tournament Setup'!$A:$A,0))&lt;=MOD($Y259,18),1,0)))</f>
      </c>
      <c r="AN259" t="e">
        <f>IF(OR(OR($A259="",$D259=""),T259=""),"",T259-(INT($Y259/18)+IF(INDEX('Tournament Setup'!$AR:$AR,MATCH($A259,'Tournament Setup'!$A:$A,0))&lt;=MOD($Y259,18),1,0)))</f>
      </c>
      <c r="AO259" t="e">
        <f>IF(OR(OR($A259="",$D259=""),U259=""),"",U259-(INT($Y259/18)+IF(INDEX('Tournament Setup'!$AS:$AS,MATCH($A259,'Tournament Setup'!$A:$A,0))&lt;=MOD($Y259,18),1,0)))</f>
      </c>
      <c r="AP259" t="e">
        <f>IF(OR(OR($A259="",$D259=""),V259=""),"",V259-(INT($Y259/18)+IF(INDEX('Tournament Setup'!$AT:$AT,MATCH($A259,'Tournament Setup'!$A:$A,0))&lt;=MOD($Y259,18),1,0)))</f>
      </c>
      <c r="AQ259" t="e">
        <f>IF(OR(OR($A259="",$D259=""),W259=""),"",W259-(INT($Y259/18)+IF(INDEX('Tournament Setup'!$AU:$AU,MATCH($A259,'Tournament Setup'!$A:$A,0))&lt;=MOD($Y259,18),1,0)))</f>
      </c>
    </row>
    <row r="260">
      <c r="X260" t="e">
        <f>IF(OR($A260="",$D260=""),"",SUM(F260:W260))</f>
      </c>
      <c r="Y260" t="e">
        <f>IF(OR($A260="",$D260=""),"",IF(INDEX('Tournament Setup'!$F:$F,MATCH($A260,'Tournament Setup'!$A:$A,0))="Net",ROUND(($E260-_xlfn.MINIFS($E$2:$E$401,$A$2:$A$401,$A260,$B$2:$B$401,$B260))*INDEX('Tournament Setup'!$G:$G,MATCH($A260,'Tournament Setup'!$A:$A,0))/100,0),0))</f>
      </c>
      <c r="Z260" t="e">
        <f>IF(OR(OR($A260="",$D260=""),F260=""),"",F260-(INT($Y260/18)+IF(INDEX('Tournament Setup'!$AD:$AD,MATCH($A260,'Tournament Setup'!$A:$A,0))&lt;=MOD($Y260,18),1,0)))</f>
      </c>
      <c r="AA260" t="e">
        <f>IF(OR(OR($A260="",$D260=""),G260=""),"",G260-(INT($Y260/18)+IF(INDEX('Tournament Setup'!$AE:$AE,MATCH($A260,'Tournament Setup'!$A:$A,0))&lt;=MOD($Y260,18),1,0)))</f>
      </c>
      <c r="AB260" t="e">
        <f>IF(OR(OR($A260="",$D260=""),H260=""),"",H260-(INT($Y260/18)+IF(INDEX('Tournament Setup'!$AF:$AF,MATCH($A260,'Tournament Setup'!$A:$A,0))&lt;=MOD($Y260,18),1,0)))</f>
      </c>
      <c r="AC260" t="e">
        <f>IF(OR(OR($A260="",$D260=""),I260=""),"",I260-(INT($Y260/18)+IF(INDEX('Tournament Setup'!$AG:$AG,MATCH($A260,'Tournament Setup'!$A:$A,0))&lt;=MOD($Y260,18),1,0)))</f>
      </c>
      <c r="AD260" t="e">
        <f>IF(OR(OR($A260="",$D260=""),J260=""),"",J260-(INT($Y260/18)+IF(INDEX('Tournament Setup'!$AH:$AH,MATCH($A260,'Tournament Setup'!$A:$A,0))&lt;=MOD($Y260,18),1,0)))</f>
      </c>
      <c r="AE260" t="e">
        <f>IF(OR(OR($A260="",$D260=""),K260=""),"",K260-(INT($Y260/18)+IF(INDEX('Tournament Setup'!$AI:$AI,MATCH($A260,'Tournament Setup'!$A:$A,0))&lt;=MOD($Y260,18),1,0)))</f>
      </c>
      <c r="AF260" t="e">
        <f>IF(OR(OR($A260="",$D260=""),L260=""),"",L260-(INT($Y260/18)+IF(INDEX('Tournament Setup'!$AJ:$AJ,MATCH($A260,'Tournament Setup'!$A:$A,0))&lt;=MOD($Y260,18),1,0)))</f>
      </c>
      <c r="AG260" t="e">
        <f>IF(OR(OR($A260="",$D260=""),M260=""),"",M260-(INT($Y260/18)+IF(INDEX('Tournament Setup'!$AK:$AK,MATCH($A260,'Tournament Setup'!$A:$A,0))&lt;=MOD($Y260,18),1,0)))</f>
      </c>
      <c r="AH260" t="e">
        <f>IF(OR(OR($A260="",$D260=""),N260=""),"",N260-(INT($Y260/18)+IF(INDEX('Tournament Setup'!$AL:$AL,MATCH($A260,'Tournament Setup'!$A:$A,0))&lt;=MOD($Y260,18),1,0)))</f>
      </c>
      <c r="AI260" t="e">
        <f>IF(OR(OR($A260="",$D260=""),O260=""),"",O260-(INT($Y260/18)+IF(INDEX('Tournament Setup'!$AM:$AM,MATCH($A260,'Tournament Setup'!$A:$A,0))&lt;=MOD($Y260,18),1,0)))</f>
      </c>
      <c r="AJ260" t="e">
        <f>IF(OR(OR($A260="",$D260=""),P260=""),"",P260-(INT($Y260/18)+IF(INDEX('Tournament Setup'!$AN:$AN,MATCH($A260,'Tournament Setup'!$A:$A,0))&lt;=MOD($Y260,18),1,0)))</f>
      </c>
      <c r="AK260" t="e">
        <f>IF(OR(OR($A260="",$D260=""),Q260=""),"",Q260-(INT($Y260/18)+IF(INDEX('Tournament Setup'!$AO:$AO,MATCH($A260,'Tournament Setup'!$A:$A,0))&lt;=MOD($Y260,18),1,0)))</f>
      </c>
      <c r="AL260" t="e">
        <f>IF(OR(OR($A260="",$D260=""),R260=""),"",R260-(INT($Y260/18)+IF(INDEX('Tournament Setup'!$AP:$AP,MATCH($A260,'Tournament Setup'!$A:$A,0))&lt;=MOD($Y260,18),1,0)))</f>
      </c>
      <c r="AM260" t="e">
        <f>IF(OR(OR($A260="",$D260=""),S260=""),"",S260-(INT($Y260/18)+IF(INDEX('Tournament Setup'!$AQ:$AQ,MATCH($A260,'Tournament Setup'!$A:$A,0))&lt;=MOD($Y260,18),1,0)))</f>
      </c>
      <c r="AN260" t="e">
        <f>IF(OR(OR($A260="",$D260=""),T260=""),"",T260-(INT($Y260/18)+IF(INDEX('Tournament Setup'!$AR:$AR,MATCH($A260,'Tournament Setup'!$A:$A,0))&lt;=MOD($Y260,18),1,0)))</f>
      </c>
      <c r="AO260" t="e">
        <f>IF(OR(OR($A260="",$D260=""),U260=""),"",U260-(INT($Y260/18)+IF(INDEX('Tournament Setup'!$AS:$AS,MATCH($A260,'Tournament Setup'!$A:$A,0))&lt;=MOD($Y260,18),1,0)))</f>
      </c>
      <c r="AP260" t="e">
        <f>IF(OR(OR($A260="",$D260=""),V260=""),"",V260-(INT($Y260/18)+IF(INDEX('Tournament Setup'!$AT:$AT,MATCH($A260,'Tournament Setup'!$A:$A,0))&lt;=MOD($Y260,18),1,0)))</f>
      </c>
      <c r="AQ260" t="e">
        <f>IF(OR(OR($A260="",$D260=""),W260=""),"",W260-(INT($Y260/18)+IF(INDEX('Tournament Setup'!$AU:$AU,MATCH($A260,'Tournament Setup'!$A:$A,0))&lt;=MOD($Y260,18),1,0)))</f>
      </c>
    </row>
    <row r="261">
      <c r="X261" t="e">
        <f>IF(OR($A261="",$D261=""),"",SUM(F261:W261))</f>
      </c>
      <c r="Y261" t="e">
        <f>IF(OR($A261="",$D261=""),"",IF(INDEX('Tournament Setup'!$F:$F,MATCH($A261,'Tournament Setup'!$A:$A,0))="Net",ROUND(($E261-_xlfn.MINIFS($E$2:$E$401,$A$2:$A$401,$A261,$B$2:$B$401,$B261))*INDEX('Tournament Setup'!$G:$G,MATCH($A261,'Tournament Setup'!$A:$A,0))/100,0),0))</f>
      </c>
      <c r="Z261" t="e">
        <f>IF(OR(OR($A261="",$D261=""),F261=""),"",F261-(INT($Y261/18)+IF(INDEX('Tournament Setup'!$AD:$AD,MATCH($A261,'Tournament Setup'!$A:$A,0))&lt;=MOD($Y261,18),1,0)))</f>
      </c>
      <c r="AA261" t="e">
        <f>IF(OR(OR($A261="",$D261=""),G261=""),"",G261-(INT($Y261/18)+IF(INDEX('Tournament Setup'!$AE:$AE,MATCH($A261,'Tournament Setup'!$A:$A,0))&lt;=MOD($Y261,18),1,0)))</f>
      </c>
      <c r="AB261" t="e">
        <f>IF(OR(OR($A261="",$D261=""),H261=""),"",H261-(INT($Y261/18)+IF(INDEX('Tournament Setup'!$AF:$AF,MATCH($A261,'Tournament Setup'!$A:$A,0))&lt;=MOD($Y261,18),1,0)))</f>
      </c>
      <c r="AC261" t="e">
        <f>IF(OR(OR($A261="",$D261=""),I261=""),"",I261-(INT($Y261/18)+IF(INDEX('Tournament Setup'!$AG:$AG,MATCH($A261,'Tournament Setup'!$A:$A,0))&lt;=MOD($Y261,18),1,0)))</f>
      </c>
      <c r="AD261" t="e">
        <f>IF(OR(OR($A261="",$D261=""),J261=""),"",J261-(INT($Y261/18)+IF(INDEX('Tournament Setup'!$AH:$AH,MATCH($A261,'Tournament Setup'!$A:$A,0))&lt;=MOD($Y261,18),1,0)))</f>
      </c>
      <c r="AE261" t="e">
        <f>IF(OR(OR($A261="",$D261=""),K261=""),"",K261-(INT($Y261/18)+IF(INDEX('Tournament Setup'!$AI:$AI,MATCH($A261,'Tournament Setup'!$A:$A,0))&lt;=MOD($Y261,18),1,0)))</f>
      </c>
      <c r="AF261" t="e">
        <f>IF(OR(OR($A261="",$D261=""),L261=""),"",L261-(INT($Y261/18)+IF(INDEX('Tournament Setup'!$AJ:$AJ,MATCH($A261,'Tournament Setup'!$A:$A,0))&lt;=MOD($Y261,18),1,0)))</f>
      </c>
      <c r="AG261" t="e">
        <f>IF(OR(OR($A261="",$D261=""),M261=""),"",M261-(INT($Y261/18)+IF(INDEX('Tournament Setup'!$AK:$AK,MATCH($A261,'Tournament Setup'!$A:$A,0))&lt;=MOD($Y261,18),1,0)))</f>
      </c>
      <c r="AH261" t="e">
        <f>IF(OR(OR($A261="",$D261=""),N261=""),"",N261-(INT($Y261/18)+IF(INDEX('Tournament Setup'!$AL:$AL,MATCH($A261,'Tournament Setup'!$A:$A,0))&lt;=MOD($Y261,18),1,0)))</f>
      </c>
      <c r="AI261" t="e">
        <f>IF(OR(OR($A261="",$D261=""),O261=""),"",O261-(INT($Y261/18)+IF(INDEX('Tournament Setup'!$AM:$AM,MATCH($A261,'Tournament Setup'!$A:$A,0))&lt;=MOD($Y261,18),1,0)))</f>
      </c>
      <c r="AJ261" t="e">
        <f>IF(OR(OR($A261="",$D261=""),P261=""),"",P261-(INT($Y261/18)+IF(INDEX('Tournament Setup'!$AN:$AN,MATCH($A261,'Tournament Setup'!$A:$A,0))&lt;=MOD($Y261,18),1,0)))</f>
      </c>
      <c r="AK261" t="e">
        <f>IF(OR(OR($A261="",$D261=""),Q261=""),"",Q261-(INT($Y261/18)+IF(INDEX('Tournament Setup'!$AO:$AO,MATCH($A261,'Tournament Setup'!$A:$A,0))&lt;=MOD($Y261,18),1,0)))</f>
      </c>
      <c r="AL261" t="e">
        <f>IF(OR(OR($A261="",$D261=""),R261=""),"",R261-(INT($Y261/18)+IF(INDEX('Tournament Setup'!$AP:$AP,MATCH($A261,'Tournament Setup'!$A:$A,0))&lt;=MOD($Y261,18),1,0)))</f>
      </c>
      <c r="AM261" t="e">
        <f>IF(OR(OR($A261="",$D261=""),S261=""),"",S261-(INT($Y261/18)+IF(INDEX('Tournament Setup'!$AQ:$AQ,MATCH($A261,'Tournament Setup'!$A:$A,0))&lt;=MOD($Y261,18),1,0)))</f>
      </c>
      <c r="AN261" t="e">
        <f>IF(OR(OR($A261="",$D261=""),T261=""),"",T261-(INT($Y261/18)+IF(INDEX('Tournament Setup'!$AR:$AR,MATCH($A261,'Tournament Setup'!$A:$A,0))&lt;=MOD($Y261,18),1,0)))</f>
      </c>
      <c r="AO261" t="e">
        <f>IF(OR(OR($A261="",$D261=""),U261=""),"",U261-(INT($Y261/18)+IF(INDEX('Tournament Setup'!$AS:$AS,MATCH($A261,'Tournament Setup'!$A:$A,0))&lt;=MOD($Y261,18),1,0)))</f>
      </c>
      <c r="AP261" t="e">
        <f>IF(OR(OR($A261="",$D261=""),V261=""),"",V261-(INT($Y261/18)+IF(INDEX('Tournament Setup'!$AT:$AT,MATCH($A261,'Tournament Setup'!$A:$A,0))&lt;=MOD($Y261,18),1,0)))</f>
      </c>
      <c r="AQ261" t="e">
        <f>IF(OR(OR($A261="",$D261=""),W261=""),"",W261-(INT($Y261/18)+IF(INDEX('Tournament Setup'!$AU:$AU,MATCH($A261,'Tournament Setup'!$A:$A,0))&lt;=MOD($Y261,18),1,0)))</f>
      </c>
    </row>
    <row r="262">
      <c r="X262" t="e">
        <f>IF(OR($A262="",$D262=""),"",SUM(F262:W262))</f>
      </c>
      <c r="Y262" t="e">
        <f>IF(OR($A262="",$D262=""),"",IF(INDEX('Tournament Setup'!$F:$F,MATCH($A262,'Tournament Setup'!$A:$A,0))="Net",ROUND(($E262-_xlfn.MINIFS($E$2:$E$401,$A$2:$A$401,$A262,$B$2:$B$401,$B262))*INDEX('Tournament Setup'!$G:$G,MATCH($A262,'Tournament Setup'!$A:$A,0))/100,0),0))</f>
      </c>
      <c r="Z262" t="e">
        <f>IF(OR(OR($A262="",$D262=""),F262=""),"",F262-(INT($Y262/18)+IF(INDEX('Tournament Setup'!$AD:$AD,MATCH($A262,'Tournament Setup'!$A:$A,0))&lt;=MOD($Y262,18),1,0)))</f>
      </c>
      <c r="AA262" t="e">
        <f>IF(OR(OR($A262="",$D262=""),G262=""),"",G262-(INT($Y262/18)+IF(INDEX('Tournament Setup'!$AE:$AE,MATCH($A262,'Tournament Setup'!$A:$A,0))&lt;=MOD($Y262,18),1,0)))</f>
      </c>
      <c r="AB262" t="e">
        <f>IF(OR(OR($A262="",$D262=""),H262=""),"",H262-(INT($Y262/18)+IF(INDEX('Tournament Setup'!$AF:$AF,MATCH($A262,'Tournament Setup'!$A:$A,0))&lt;=MOD($Y262,18),1,0)))</f>
      </c>
      <c r="AC262" t="e">
        <f>IF(OR(OR($A262="",$D262=""),I262=""),"",I262-(INT($Y262/18)+IF(INDEX('Tournament Setup'!$AG:$AG,MATCH($A262,'Tournament Setup'!$A:$A,0))&lt;=MOD($Y262,18),1,0)))</f>
      </c>
      <c r="AD262" t="e">
        <f>IF(OR(OR($A262="",$D262=""),J262=""),"",J262-(INT($Y262/18)+IF(INDEX('Tournament Setup'!$AH:$AH,MATCH($A262,'Tournament Setup'!$A:$A,0))&lt;=MOD($Y262,18),1,0)))</f>
      </c>
      <c r="AE262" t="e">
        <f>IF(OR(OR($A262="",$D262=""),K262=""),"",K262-(INT($Y262/18)+IF(INDEX('Tournament Setup'!$AI:$AI,MATCH($A262,'Tournament Setup'!$A:$A,0))&lt;=MOD($Y262,18),1,0)))</f>
      </c>
      <c r="AF262" t="e">
        <f>IF(OR(OR($A262="",$D262=""),L262=""),"",L262-(INT($Y262/18)+IF(INDEX('Tournament Setup'!$AJ:$AJ,MATCH($A262,'Tournament Setup'!$A:$A,0))&lt;=MOD($Y262,18),1,0)))</f>
      </c>
      <c r="AG262" t="e">
        <f>IF(OR(OR($A262="",$D262=""),M262=""),"",M262-(INT($Y262/18)+IF(INDEX('Tournament Setup'!$AK:$AK,MATCH($A262,'Tournament Setup'!$A:$A,0))&lt;=MOD($Y262,18),1,0)))</f>
      </c>
      <c r="AH262" t="e">
        <f>IF(OR(OR($A262="",$D262=""),N262=""),"",N262-(INT($Y262/18)+IF(INDEX('Tournament Setup'!$AL:$AL,MATCH($A262,'Tournament Setup'!$A:$A,0))&lt;=MOD($Y262,18),1,0)))</f>
      </c>
      <c r="AI262" t="e">
        <f>IF(OR(OR($A262="",$D262=""),O262=""),"",O262-(INT($Y262/18)+IF(INDEX('Tournament Setup'!$AM:$AM,MATCH($A262,'Tournament Setup'!$A:$A,0))&lt;=MOD($Y262,18),1,0)))</f>
      </c>
      <c r="AJ262" t="e">
        <f>IF(OR(OR($A262="",$D262=""),P262=""),"",P262-(INT($Y262/18)+IF(INDEX('Tournament Setup'!$AN:$AN,MATCH($A262,'Tournament Setup'!$A:$A,0))&lt;=MOD($Y262,18),1,0)))</f>
      </c>
      <c r="AK262" t="e">
        <f>IF(OR(OR($A262="",$D262=""),Q262=""),"",Q262-(INT($Y262/18)+IF(INDEX('Tournament Setup'!$AO:$AO,MATCH($A262,'Tournament Setup'!$A:$A,0))&lt;=MOD($Y262,18),1,0)))</f>
      </c>
      <c r="AL262" t="e">
        <f>IF(OR(OR($A262="",$D262=""),R262=""),"",R262-(INT($Y262/18)+IF(INDEX('Tournament Setup'!$AP:$AP,MATCH($A262,'Tournament Setup'!$A:$A,0))&lt;=MOD($Y262,18),1,0)))</f>
      </c>
      <c r="AM262" t="e">
        <f>IF(OR(OR($A262="",$D262=""),S262=""),"",S262-(INT($Y262/18)+IF(INDEX('Tournament Setup'!$AQ:$AQ,MATCH($A262,'Tournament Setup'!$A:$A,0))&lt;=MOD($Y262,18),1,0)))</f>
      </c>
      <c r="AN262" t="e">
        <f>IF(OR(OR($A262="",$D262=""),T262=""),"",T262-(INT($Y262/18)+IF(INDEX('Tournament Setup'!$AR:$AR,MATCH($A262,'Tournament Setup'!$A:$A,0))&lt;=MOD($Y262,18),1,0)))</f>
      </c>
      <c r="AO262" t="e">
        <f>IF(OR(OR($A262="",$D262=""),U262=""),"",U262-(INT($Y262/18)+IF(INDEX('Tournament Setup'!$AS:$AS,MATCH($A262,'Tournament Setup'!$A:$A,0))&lt;=MOD($Y262,18),1,0)))</f>
      </c>
      <c r="AP262" t="e">
        <f>IF(OR(OR($A262="",$D262=""),V262=""),"",V262-(INT($Y262/18)+IF(INDEX('Tournament Setup'!$AT:$AT,MATCH($A262,'Tournament Setup'!$A:$A,0))&lt;=MOD($Y262,18),1,0)))</f>
      </c>
      <c r="AQ262" t="e">
        <f>IF(OR(OR($A262="",$D262=""),W262=""),"",W262-(INT($Y262/18)+IF(INDEX('Tournament Setup'!$AU:$AU,MATCH($A262,'Tournament Setup'!$A:$A,0))&lt;=MOD($Y262,18),1,0)))</f>
      </c>
    </row>
    <row r="263">
      <c r="X263" t="e">
        <f>IF(OR($A263="",$D263=""),"",SUM(F263:W263))</f>
      </c>
      <c r="Y263" t="e">
        <f>IF(OR($A263="",$D263=""),"",IF(INDEX('Tournament Setup'!$F:$F,MATCH($A263,'Tournament Setup'!$A:$A,0))="Net",ROUND(($E263-_xlfn.MINIFS($E$2:$E$401,$A$2:$A$401,$A263,$B$2:$B$401,$B263))*INDEX('Tournament Setup'!$G:$G,MATCH($A263,'Tournament Setup'!$A:$A,0))/100,0),0))</f>
      </c>
      <c r="Z263" t="e">
        <f>IF(OR(OR($A263="",$D263=""),F263=""),"",F263-(INT($Y263/18)+IF(INDEX('Tournament Setup'!$AD:$AD,MATCH($A263,'Tournament Setup'!$A:$A,0))&lt;=MOD($Y263,18),1,0)))</f>
      </c>
      <c r="AA263" t="e">
        <f>IF(OR(OR($A263="",$D263=""),G263=""),"",G263-(INT($Y263/18)+IF(INDEX('Tournament Setup'!$AE:$AE,MATCH($A263,'Tournament Setup'!$A:$A,0))&lt;=MOD($Y263,18),1,0)))</f>
      </c>
      <c r="AB263" t="e">
        <f>IF(OR(OR($A263="",$D263=""),H263=""),"",H263-(INT($Y263/18)+IF(INDEX('Tournament Setup'!$AF:$AF,MATCH($A263,'Tournament Setup'!$A:$A,0))&lt;=MOD($Y263,18),1,0)))</f>
      </c>
      <c r="AC263" t="e">
        <f>IF(OR(OR($A263="",$D263=""),I263=""),"",I263-(INT($Y263/18)+IF(INDEX('Tournament Setup'!$AG:$AG,MATCH($A263,'Tournament Setup'!$A:$A,0))&lt;=MOD($Y263,18),1,0)))</f>
      </c>
      <c r="AD263" t="e">
        <f>IF(OR(OR($A263="",$D263=""),J263=""),"",J263-(INT($Y263/18)+IF(INDEX('Tournament Setup'!$AH:$AH,MATCH($A263,'Tournament Setup'!$A:$A,0))&lt;=MOD($Y263,18),1,0)))</f>
      </c>
      <c r="AE263" t="e">
        <f>IF(OR(OR($A263="",$D263=""),K263=""),"",K263-(INT($Y263/18)+IF(INDEX('Tournament Setup'!$AI:$AI,MATCH($A263,'Tournament Setup'!$A:$A,0))&lt;=MOD($Y263,18),1,0)))</f>
      </c>
      <c r="AF263" t="e">
        <f>IF(OR(OR($A263="",$D263=""),L263=""),"",L263-(INT($Y263/18)+IF(INDEX('Tournament Setup'!$AJ:$AJ,MATCH($A263,'Tournament Setup'!$A:$A,0))&lt;=MOD($Y263,18),1,0)))</f>
      </c>
      <c r="AG263" t="e">
        <f>IF(OR(OR($A263="",$D263=""),M263=""),"",M263-(INT($Y263/18)+IF(INDEX('Tournament Setup'!$AK:$AK,MATCH($A263,'Tournament Setup'!$A:$A,0))&lt;=MOD($Y263,18),1,0)))</f>
      </c>
      <c r="AH263" t="e">
        <f>IF(OR(OR($A263="",$D263=""),N263=""),"",N263-(INT($Y263/18)+IF(INDEX('Tournament Setup'!$AL:$AL,MATCH($A263,'Tournament Setup'!$A:$A,0))&lt;=MOD($Y263,18),1,0)))</f>
      </c>
      <c r="AI263" t="e">
        <f>IF(OR(OR($A263="",$D263=""),O263=""),"",O263-(INT($Y263/18)+IF(INDEX('Tournament Setup'!$AM:$AM,MATCH($A263,'Tournament Setup'!$A:$A,0))&lt;=MOD($Y263,18),1,0)))</f>
      </c>
      <c r="AJ263" t="e">
        <f>IF(OR(OR($A263="",$D263=""),P263=""),"",P263-(INT($Y263/18)+IF(INDEX('Tournament Setup'!$AN:$AN,MATCH($A263,'Tournament Setup'!$A:$A,0))&lt;=MOD($Y263,18),1,0)))</f>
      </c>
      <c r="AK263" t="e">
        <f>IF(OR(OR($A263="",$D263=""),Q263=""),"",Q263-(INT($Y263/18)+IF(INDEX('Tournament Setup'!$AO:$AO,MATCH($A263,'Tournament Setup'!$A:$A,0))&lt;=MOD($Y263,18),1,0)))</f>
      </c>
      <c r="AL263" t="e">
        <f>IF(OR(OR($A263="",$D263=""),R263=""),"",R263-(INT($Y263/18)+IF(INDEX('Tournament Setup'!$AP:$AP,MATCH($A263,'Tournament Setup'!$A:$A,0))&lt;=MOD($Y263,18),1,0)))</f>
      </c>
      <c r="AM263" t="e">
        <f>IF(OR(OR($A263="",$D263=""),S263=""),"",S263-(INT($Y263/18)+IF(INDEX('Tournament Setup'!$AQ:$AQ,MATCH($A263,'Tournament Setup'!$A:$A,0))&lt;=MOD($Y263,18),1,0)))</f>
      </c>
      <c r="AN263" t="e">
        <f>IF(OR(OR($A263="",$D263=""),T263=""),"",T263-(INT($Y263/18)+IF(INDEX('Tournament Setup'!$AR:$AR,MATCH($A263,'Tournament Setup'!$A:$A,0))&lt;=MOD($Y263,18),1,0)))</f>
      </c>
      <c r="AO263" t="e">
        <f>IF(OR(OR($A263="",$D263=""),U263=""),"",U263-(INT($Y263/18)+IF(INDEX('Tournament Setup'!$AS:$AS,MATCH($A263,'Tournament Setup'!$A:$A,0))&lt;=MOD($Y263,18),1,0)))</f>
      </c>
      <c r="AP263" t="e">
        <f>IF(OR(OR($A263="",$D263=""),V263=""),"",V263-(INT($Y263/18)+IF(INDEX('Tournament Setup'!$AT:$AT,MATCH($A263,'Tournament Setup'!$A:$A,0))&lt;=MOD($Y263,18),1,0)))</f>
      </c>
      <c r="AQ263" t="e">
        <f>IF(OR(OR($A263="",$D263=""),W263=""),"",W263-(INT($Y263/18)+IF(INDEX('Tournament Setup'!$AU:$AU,MATCH($A263,'Tournament Setup'!$A:$A,0))&lt;=MOD($Y263,18),1,0)))</f>
      </c>
    </row>
    <row r="264">
      <c r="X264" t="e">
        <f>IF(OR($A264="",$D264=""),"",SUM(F264:W264))</f>
      </c>
      <c r="Y264" t="e">
        <f>IF(OR($A264="",$D264=""),"",IF(INDEX('Tournament Setup'!$F:$F,MATCH($A264,'Tournament Setup'!$A:$A,0))="Net",ROUND(($E264-_xlfn.MINIFS($E$2:$E$401,$A$2:$A$401,$A264,$B$2:$B$401,$B264))*INDEX('Tournament Setup'!$G:$G,MATCH($A264,'Tournament Setup'!$A:$A,0))/100,0),0))</f>
      </c>
      <c r="Z264" t="e">
        <f>IF(OR(OR($A264="",$D264=""),F264=""),"",F264-(INT($Y264/18)+IF(INDEX('Tournament Setup'!$AD:$AD,MATCH($A264,'Tournament Setup'!$A:$A,0))&lt;=MOD($Y264,18),1,0)))</f>
      </c>
      <c r="AA264" t="e">
        <f>IF(OR(OR($A264="",$D264=""),G264=""),"",G264-(INT($Y264/18)+IF(INDEX('Tournament Setup'!$AE:$AE,MATCH($A264,'Tournament Setup'!$A:$A,0))&lt;=MOD($Y264,18),1,0)))</f>
      </c>
      <c r="AB264" t="e">
        <f>IF(OR(OR($A264="",$D264=""),H264=""),"",H264-(INT($Y264/18)+IF(INDEX('Tournament Setup'!$AF:$AF,MATCH($A264,'Tournament Setup'!$A:$A,0))&lt;=MOD($Y264,18),1,0)))</f>
      </c>
      <c r="AC264" t="e">
        <f>IF(OR(OR($A264="",$D264=""),I264=""),"",I264-(INT($Y264/18)+IF(INDEX('Tournament Setup'!$AG:$AG,MATCH($A264,'Tournament Setup'!$A:$A,0))&lt;=MOD($Y264,18),1,0)))</f>
      </c>
      <c r="AD264" t="e">
        <f>IF(OR(OR($A264="",$D264=""),J264=""),"",J264-(INT($Y264/18)+IF(INDEX('Tournament Setup'!$AH:$AH,MATCH($A264,'Tournament Setup'!$A:$A,0))&lt;=MOD($Y264,18),1,0)))</f>
      </c>
      <c r="AE264" t="e">
        <f>IF(OR(OR($A264="",$D264=""),K264=""),"",K264-(INT($Y264/18)+IF(INDEX('Tournament Setup'!$AI:$AI,MATCH($A264,'Tournament Setup'!$A:$A,0))&lt;=MOD($Y264,18),1,0)))</f>
      </c>
      <c r="AF264" t="e">
        <f>IF(OR(OR($A264="",$D264=""),L264=""),"",L264-(INT($Y264/18)+IF(INDEX('Tournament Setup'!$AJ:$AJ,MATCH($A264,'Tournament Setup'!$A:$A,0))&lt;=MOD($Y264,18),1,0)))</f>
      </c>
      <c r="AG264" t="e">
        <f>IF(OR(OR($A264="",$D264=""),M264=""),"",M264-(INT($Y264/18)+IF(INDEX('Tournament Setup'!$AK:$AK,MATCH($A264,'Tournament Setup'!$A:$A,0))&lt;=MOD($Y264,18),1,0)))</f>
      </c>
      <c r="AH264" t="e">
        <f>IF(OR(OR($A264="",$D264=""),N264=""),"",N264-(INT($Y264/18)+IF(INDEX('Tournament Setup'!$AL:$AL,MATCH($A264,'Tournament Setup'!$A:$A,0))&lt;=MOD($Y264,18),1,0)))</f>
      </c>
      <c r="AI264" t="e">
        <f>IF(OR(OR($A264="",$D264=""),O264=""),"",O264-(INT($Y264/18)+IF(INDEX('Tournament Setup'!$AM:$AM,MATCH($A264,'Tournament Setup'!$A:$A,0))&lt;=MOD($Y264,18),1,0)))</f>
      </c>
      <c r="AJ264" t="e">
        <f>IF(OR(OR($A264="",$D264=""),P264=""),"",P264-(INT($Y264/18)+IF(INDEX('Tournament Setup'!$AN:$AN,MATCH($A264,'Tournament Setup'!$A:$A,0))&lt;=MOD($Y264,18),1,0)))</f>
      </c>
      <c r="AK264" t="e">
        <f>IF(OR(OR($A264="",$D264=""),Q264=""),"",Q264-(INT($Y264/18)+IF(INDEX('Tournament Setup'!$AO:$AO,MATCH($A264,'Tournament Setup'!$A:$A,0))&lt;=MOD($Y264,18),1,0)))</f>
      </c>
      <c r="AL264" t="e">
        <f>IF(OR(OR($A264="",$D264=""),R264=""),"",R264-(INT($Y264/18)+IF(INDEX('Tournament Setup'!$AP:$AP,MATCH($A264,'Tournament Setup'!$A:$A,0))&lt;=MOD($Y264,18),1,0)))</f>
      </c>
      <c r="AM264" t="e">
        <f>IF(OR(OR($A264="",$D264=""),S264=""),"",S264-(INT($Y264/18)+IF(INDEX('Tournament Setup'!$AQ:$AQ,MATCH($A264,'Tournament Setup'!$A:$A,0))&lt;=MOD($Y264,18),1,0)))</f>
      </c>
      <c r="AN264" t="e">
        <f>IF(OR(OR($A264="",$D264=""),T264=""),"",T264-(INT($Y264/18)+IF(INDEX('Tournament Setup'!$AR:$AR,MATCH($A264,'Tournament Setup'!$A:$A,0))&lt;=MOD($Y264,18),1,0)))</f>
      </c>
      <c r="AO264" t="e">
        <f>IF(OR(OR($A264="",$D264=""),U264=""),"",U264-(INT($Y264/18)+IF(INDEX('Tournament Setup'!$AS:$AS,MATCH($A264,'Tournament Setup'!$A:$A,0))&lt;=MOD($Y264,18),1,0)))</f>
      </c>
      <c r="AP264" t="e">
        <f>IF(OR(OR($A264="",$D264=""),V264=""),"",V264-(INT($Y264/18)+IF(INDEX('Tournament Setup'!$AT:$AT,MATCH($A264,'Tournament Setup'!$A:$A,0))&lt;=MOD($Y264,18),1,0)))</f>
      </c>
      <c r="AQ264" t="e">
        <f>IF(OR(OR($A264="",$D264=""),W264=""),"",W264-(INT($Y264/18)+IF(INDEX('Tournament Setup'!$AU:$AU,MATCH($A264,'Tournament Setup'!$A:$A,0))&lt;=MOD($Y264,18),1,0)))</f>
      </c>
    </row>
    <row r="265">
      <c r="X265" t="e">
        <f>IF(OR($A265="",$D265=""),"",SUM(F265:W265))</f>
      </c>
      <c r="Y265" t="e">
        <f>IF(OR($A265="",$D265=""),"",IF(INDEX('Tournament Setup'!$F:$F,MATCH($A265,'Tournament Setup'!$A:$A,0))="Net",ROUND(($E265-_xlfn.MINIFS($E$2:$E$401,$A$2:$A$401,$A265,$B$2:$B$401,$B265))*INDEX('Tournament Setup'!$G:$G,MATCH($A265,'Tournament Setup'!$A:$A,0))/100,0),0))</f>
      </c>
      <c r="Z265" t="e">
        <f>IF(OR(OR($A265="",$D265=""),F265=""),"",F265-(INT($Y265/18)+IF(INDEX('Tournament Setup'!$AD:$AD,MATCH($A265,'Tournament Setup'!$A:$A,0))&lt;=MOD($Y265,18),1,0)))</f>
      </c>
      <c r="AA265" t="e">
        <f>IF(OR(OR($A265="",$D265=""),G265=""),"",G265-(INT($Y265/18)+IF(INDEX('Tournament Setup'!$AE:$AE,MATCH($A265,'Tournament Setup'!$A:$A,0))&lt;=MOD($Y265,18),1,0)))</f>
      </c>
      <c r="AB265" t="e">
        <f>IF(OR(OR($A265="",$D265=""),H265=""),"",H265-(INT($Y265/18)+IF(INDEX('Tournament Setup'!$AF:$AF,MATCH($A265,'Tournament Setup'!$A:$A,0))&lt;=MOD($Y265,18),1,0)))</f>
      </c>
      <c r="AC265" t="e">
        <f>IF(OR(OR($A265="",$D265=""),I265=""),"",I265-(INT($Y265/18)+IF(INDEX('Tournament Setup'!$AG:$AG,MATCH($A265,'Tournament Setup'!$A:$A,0))&lt;=MOD($Y265,18),1,0)))</f>
      </c>
      <c r="AD265" t="e">
        <f>IF(OR(OR($A265="",$D265=""),J265=""),"",J265-(INT($Y265/18)+IF(INDEX('Tournament Setup'!$AH:$AH,MATCH($A265,'Tournament Setup'!$A:$A,0))&lt;=MOD($Y265,18),1,0)))</f>
      </c>
      <c r="AE265" t="e">
        <f>IF(OR(OR($A265="",$D265=""),K265=""),"",K265-(INT($Y265/18)+IF(INDEX('Tournament Setup'!$AI:$AI,MATCH($A265,'Tournament Setup'!$A:$A,0))&lt;=MOD($Y265,18),1,0)))</f>
      </c>
      <c r="AF265" t="e">
        <f>IF(OR(OR($A265="",$D265=""),L265=""),"",L265-(INT($Y265/18)+IF(INDEX('Tournament Setup'!$AJ:$AJ,MATCH($A265,'Tournament Setup'!$A:$A,0))&lt;=MOD($Y265,18),1,0)))</f>
      </c>
      <c r="AG265" t="e">
        <f>IF(OR(OR($A265="",$D265=""),M265=""),"",M265-(INT($Y265/18)+IF(INDEX('Tournament Setup'!$AK:$AK,MATCH($A265,'Tournament Setup'!$A:$A,0))&lt;=MOD($Y265,18),1,0)))</f>
      </c>
      <c r="AH265" t="e">
        <f>IF(OR(OR($A265="",$D265=""),N265=""),"",N265-(INT($Y265/18)+IF(INDEX('Tournament Setup'!$AL:$AL,MATCH($A265,'Tournament Setup'!$A:$A,0))&lt;=MOD($Y265,18),1,0)))</f>
      </c>
      <c r="AI265" t="e">
        <f>IF(OR(OR($A265="",$D265=""),O265=""),"",O265-(INT($Y265/18)+IF(INDEX('Tournament Setup'!$AM:$AM,MATCH($A265,'Tournament Setup'!$A:$A,0))&lt;=MOD($Y265,18),1,0)))</f>
      </c>
      <c r="AJ265" t="e">
        <f>IF(OR(OR($A265="",$D265=""),P265=""),"",P265-(INT($Y265/18)+IF(INDEX('Tournament Setup'!$AN:$AN,MATCH($A265,'Tournament Setup'!$A:$A,0))&lt;=MOD($Y265,18),1,0)))</f>
      </c>
      <c r="AK265" t="e">
        <f>IF(OR(OR($A265="",$D265=""),Q265=""),"",Q265-(INT($Y265/18)+IF(INDEX('Tournament Setup'!$AO:$AO,MATCH($A265,'Tournament Setup'!$A:$A,0))&lt;=MOD($Y265,18),1,0)))</f>
      </c>
      <c r="AL265" t="e">
        <f>IF(OR(OR($A265="",$D265=""),R265=""),"",R265-(INT($Y265/18)+IF(INDEX('Tournament Setup'!$AP:$AP,MATCH($A265,'Tournament Setup'!$A:$A,0))&lt;=MOD($Y265,18),1,0)))</f>
      </c>
      <c r="AM265" t="e">
        <f>IF(OR(OR($A265="",$D265=""),S265=""),"",S265-(INT($Y265/18)+IF(INDEX('Tournament Setup'!$AQ:$AQ,MATCH($A265,'Tournament Setup'!$A:$A,0))&lt;=MOD($Y265,18),1,0)))</f>
      </c>
      <c r="AN265" t="e">
        <f>IF(OR(OR($A265="",$D265=""),T265=""),"",T265-(INT($Y265/18)+IF(INDEX('Tournament Setup'!$AR:$AR,MATCH($A265,'Tournament Setup'!$A:$A,0))&lt;=MOD($Y265,18),1,0)))</f>
      </c>
      <c r="AO265" t="e">
        <f>IF(OR(OR($A265="",$D265=""),U265=""),"",U265-(INT($Y265/18)+IF(INDEX('Tournament Setup'!$AS:$AS,MATCH($A265,'Tournament Setup'!$A:$A,0))&lt;=MOD($Y265,18),1,0)))</f>
      </c>
      <c r="AP265" t="e">
        <f>IF(OR(OR($A265="",$D265=""),V265=""),"",V265-(INT($Y265/18)+IF(INDEX('Tournament Setup'!$AT:$AT,MATCH($A265,'Tournament Setup'!$A:$A,0))&lt;=MOD($Y265,18),1,0)))</f>
      </c>
      <c r="AQ265" t="e">
        <f>IF(OR(OR($A265="",$D265=""),W265=""),"",W265-(INT($Y265/18)+IF(INDEX('Tournament Setup'!$AU:$AU,MATCH($A265,'Tournament Setup'!$A:$A,0))&lt;=MOD($Y265,18),1,0)))</f>
      </c>
    </row>
    <row r="266">
      <c r="X266" t="e">
        <f>IF(OR($A266="",$D266=""),"",SUM(F266:W266))</f>
      </c>
      <c r="Y266" t="e">
        <f>IF(OR($A266="",$D266=""),"",IF(INDEX('Tournament Setup'!$F:$F,MATCH($A266,'Tournament Setup'!$A:$A,0))="Net",ROUND(($E266-_xlfn.MINIFS($E$2:$E$401,$A$2:$A$401,$A266,$B$2:$B$401,$B266))*INDEX('Tournament Setup'!$G:$G,MATCH($A266,'Tournament Setup'!$A:$A,0))/100,0),0))</f>
      </c>
      <c r="Z266" t="e">
        <f>IF(OR(OR($A266="",$D266=""),F266=""),"",F266-(INT($Y266/18)+IF(INDEX('Tournament Setup'!$AD:$AD,MATCH($A266,'Tournament Setup'!$A:$A,0))&lt;=MOD($Y266,18),1,0)))</f>
      </c>
      <c r="AA266" t="e">
        <f>IF(OR(OR($A266="",$D266=""),G266=""),"",G266-(INT($Y266/18)+IF(INDEX('Tournament Setup'!$AE:$AE,MATCH($A266,'Tournament Setup'!$A:$A,0))&lt;=MOD($Y266,18),1,0)))</f>
      </c>
      <c r="AB266" t="e">
        <f>IF(OR(OR($A266="",$D266=""),H266=""),"",H266-(INT($Y266/18)+IF(INDEX('Tournament Setup'!$AF:$AF,MATCH($A266,'Tournament Setup'!$A:$A,0))&lt;=MOD($Y266,18),1,0)))</f>
      </c>
      <c r="AC266" t="e">
        <f>IF(OR(OR($A266="",$D266=""),I266=""),"",I266-(INT($Y266/18)+IF(INDEX('Tournament Setup'!$AG:$AG,MATCH($A266,'Tournament Setup'!$A:$A,0))&lt;=MOD($Y266,18),1,0)))</f>
      </c>
      <c r="AD266" t="e">
        <f>IF(OR(OR($A266="",$D266=""),J266=""),"",J266-(INT($Y266/18)+IF(INDEX('Tournament Setup'!$AH:$AH,MATCH($A266,'Tournament Setup'!$A:$A,0))&lt;=MOD($Y266,18),1,0)))</f>
      </c>
      <c r="AE266" t="e">
        <f>IF(OR(OR($A266="",$D266=""),K266=""),"",K266-(INT($Y266/18)+IF(INDEX('Tournament Setup'!$AI:$AI,MATCH($A266,'Tournament Setup'!$A:$A,0))&lt;=MOD($Y266,18),1,0)))</f>
      </c>
      <c r="AF266" t="e">
        <f>IF(OR(OR($A266="",$D266=""),L266=""),"",L266-(INT($Y266/18)+IF(INDEX('Tournament Setup'!$AJ:$AJ,MATCH($A266,'Tournament Setup'!$A:$A,0))&lt;=MOD($Y266,18),1,0)))</f>
      </c>
      <c r="AG266" t="e">
        <f>IF(OR(OR($A266="",$D266=""),M266=""),"",M266-(INT($Y266/18)+IF(INDEX('Tournament Setup'!$AK:$AK,MATCH($A266,'Tournament Setup'!$A:$A,0))&lt;=MOD($Y266,18),1,0)))</f>
      </c>
      <c r="AH266" t="e">
        <f>IF(OR(OR($A266="",$D266=""),N266=""),"",N266-(INT($Y266/18)+IF(INDEX('Tournament Setup'!$AL:$AL,MATCH($A266,'Tournament Setup'!$A:$A,0))&lt;=MOD($Y266,18),1,0)))</f>
      </c>
      <c r="AI266" t="e">
        <f>IF(OR(OR($A266="",$D266=""),O266=""),"",O266-(INT($Y266/18)+IF(INDEX('Tournament Setup'!$AM:$AM,MATCH($A266,'Tournament Setup'!$A:$A,0))&lt;=MOD($Y266,18),1,0)))</f>
      </c>
      <c r="AJ266" t="e">
        <f>IF(OR(OR($A266="",$D266=""),P266=""),"",P266-(INT($Y266/18)+IF(INDEX('Tournament Setup'!$AN:$AN,MATCH($A266,'Tournament Setup'!$A:$A,0))&lt;=MOD($Y266,18),1,0)))</f>
      </c>
      <c r="AK266" t="e">
        <f>IF(OR(OR($A266="",$D266=""),Q266=""),"",Q266-(INT($Y266/18)+IF(INDEX('Tournament Setup'!$AO:$AO,MATCH($A266,'Tournament Setup'!$A:$A,0))&lt;=MOD($Y266,18),1,0)))</f>
      </c>
      <c r="AL266" t="e">
        <f>IF(OR(OR($A266="",$D266=""),R266=""),"",R266-(INT($Y266/18)+IF(INDEX('Tournament Setup'!$AP:$AP,MATCH($A266,'Tournament Setup'!$A:$A,0))&lt;=MOD($Y266,18),1,0)))</f>
      </c>
      <c r="AM266" t="e">
        <f>IF(OR(OR($A266="",$D266=""),S266=""),"",S266-(INT($Y266/18)+IF(INDEX('Tournament Setup'!$AQ:$AQ,MATCH($A266,'Tournament Setup'!$A:$A,0))&lt;=MOD($Y266,18),1,0)))</f>
      </c>
      <c r="AN266" t="e">
        <f>IF(OR(OR($A266="",$D266=""),T266=""),"",T266-(INT($Y266/18)+IF(INDEX('Tournament Setup'!$AR:$AR,MATCH($A266,'Tournament Setup'!$A:$A,0))&lt;=MOD($Y266,18),1,0)))</f>
      </c>
      <c r="AO266" t="e">
        <f>IF(OR(OR($A266="",$D266=""),U266=""),"",U266-(INT($Y266/18)+IF(INDEX('Tournament Setup'!$AS:$AS,MATCH($A266,'Tournament Setup'!$A:$A,0))&lt;=MOD($Y266,18),1,0)))</f>
      </c>
      <c r="AP266" t="e">
        <f>IF(OR(OR($A266="",$D266=""),V266=""),"",V266-(INT($Y266/18)+IF(INDEX('Tournament Setup'!$AT:$AT,MATCH($A266,'Tournament Setup'!$A:$A,0))&lt;=MOD($Y266,18),1,0)))</f>
      </c>
      <c r="AQ266" t="e">
        <f>IF(OR(OR($A266="",$D266=""),W266=""),"",W266-(INT($Y266/18)+IF(INDEX('Tournament Setup'!$AU:$AU,MATCH($A266,'Tournament Setup'!$A:$A,0))&lt;=MOD($Y266,18),1,0)))</f>
      </c>
    </row>
    <row r="267">
      <c r="X267" t="e">
        <f>IF(OR($A267="",$D267=""),"",SUM(F267:W267))</f>
      </c>
      <c r="Y267" t="e">
        <f>IF(OR($A267="",$D267=""),"",IF(INDEX('Tournament Setup'!$F:$F,MATCH($A267,'Tournament Setup'!$A:$A,0))="Net",ROUND(($E267-_xlfn.MINIFS($E$2:$E$401,$A$2:$A$401,$A267,$B$2:$B$401,$B267))*INDEX('Tournament Setup'!$G:$G,MATCH($A267,'Tournament Setup'!$A:$A,0))/100,0),0))</f>
      </c>
      <c r="Z267" t="e">
        <f>IF(OR(OR($A267="",$D267=""),F267=""),"",F267-(INT($Y267/18)+IF(INDEX('Tournament Setup'!$AD:$AD,MATCH($A267,'Tournament Setup'!$A:$A,0))&lt;=MOD($Y267,18),1,0)))</f>
      </c>
      <c r="AA267" t="e">
        <f>IF(OR(OR($A267="",$D267=""),G267=""),"",G267-(INT($Y267/18)+IF(INDEX('Tournament Setup'!$AE:$AE,MATCH($A267,'Tournament Setup'!$A:$A,0))&lt;=MOD($Y267,18),1,0)))</f>
      </c>
      <c r="AB267" t="e">
        <f>IF(OR(OR($A267="",$D267=""),H267=""),"",H267-(INT($Y267/18)+IF(INDEX('Tournament Setup'!$AF:$AF,MATCH($A267,'Tournament Setup'!$A:$A,0))&lt;=MOD($Y267,18),1,0)))</f>
      </c>
      <c r="AC267" t="e">
        <f>IF(OR(OR($A267="",$D267=""),I267=""),"",I267-(INT($Y267/18)+IF(INDEX('Tournament Setup'!$AG:$AG,MATCH($A267,'Tournament Setup'!$A:$A,0))&lt;=MOD($Y267,18),1,0)))</f>
      </c>
      <c r="AD267" t="e">
        <f>IF(OR(OR($A267="",$D267=""),J267=""),"",J267-(INT($Y267/18)+IF(INDEX('Tournament Setup'!$AH:$AH,MATCH($A267,'Tournament Setup'!$A:$A,0))&lt;=MOD($Y267,18),1,0)))</f>
      </c>
      <c r="AE267" t="e">
        <f>IF(OR(OR($A267="",$D267=""),K267=""),"",K267-(INT($Y267/18)+IF(INDEX('Tournament Setup'!$AI:$AI,MATCH($A267,'Tournament Setup'!$A:$A,0))&lt;=MOD($Y267,18),1,0)))</f>
      </c>
      <c r="AF267" t="e">
        <f>IF(OR(OR($A267="",$D267=""),L267=""),"",L267-(INT($Y267/18)+IF(INDEX('Tournament Setup'!$AJ:$AJ,MATCH($A267,'Tournament Setup'!$A:$A,0))&lt;=MOD($Y267,18),1,0)))</f>
      </c>
      <c r="AG267" t="e">
        <f>IF(OR(OR($A267="",$D267=""),M267=""),"",M267-(INT($Y267/18)+IF(INDEX('Tournament Setup'!$AK:$AK,MATCH($A267,'Tournament Setup'!$A:$A,0))&lt;=MOD($Y267,18),1,0)))</f>
      </c>
      <c r="AH267" t="e">
        <f>IF(OR(OR($A267="",$D267=""),N267=""),"",N267-(INT($Y267/18)+IF(INDEX('Tournament Setup'!$AL:$AL,MATCH($A267,'Tournament Setup'!$A:$A,0))&lt;=MOD($Y267,18),1,0)))</f>
      </c>
      <c r="AI267" t="e">
        <f>IF(OR(OR($A267="",$D267=""),O267=""),"",O267-(INT($Y267/18)+IF(INDEX('Tournament Setup'!$AM:$AM,MATCH($A267,'Tournament Setup'!$A:$A,0))&lt;=MOD($Y267,18),1,0)))</f>
      </c>
      <c r="AJ267" t="e">
        <f>IF(OR(OR($A267="",$D267=""),P267=""),"",P267-(INT($Y267/18)+IF(INDEX('Tournament Setup'!$AN:$AN,MATCH($A267,'Tournament Setup'!$A:$A,0))&lt;=MOD($Y267,18),1,0)))</f>
      </c>
      <c r="AK267" t="e">
        <f>IF(OR(OR($A267="",$D267=""),Q267=""),"",Q267-(INT($Y267/18)+IF(INDEX('Tournament Setup'!$AO:$AO,MATCH($A267,'Tournament Setup'!$A:$A,0))&lt;=MOD($Y267,18),1,0)))</f>
      </c>
      <c r="AL267" t="e">
        <f>IF(OR(OR($A267="",$D267=""),R267=""),"",R267-(INT($Y267/18)+IF(INDEX('Tournament Setup'!$AP:$AP,MATCH($A267,'Tournament Setup'!$A:$A,0))&lt;=MOD($Y267,18),1,0)))</f>
      </c>
      <c r="AM267" t="e">
        <f>IF(OR(OR($A267="",$D267=""),S267=""),"",S267-(INT($Y267/18)+IF(INDEX('Tournament Setup'!$AQ:$AQ,MATCH($A267,'Tournament Setup'!$A:$A,0))&lt;=MOD($Y267,18),1,0)))</f>
      </c>
      <c r="AN267" t="e">
        <f>IF(OR(OR($A267="",$D267=""),T267=""),"",T267-(INT($Y267/18)+IF(INDEX('Tournament Setup'!$AR:$AR,MATCH($A267,'Tournament Setup'!$A:$A,0))&lt;=MOD($Y267,18),1,0)))</f>
      </c>
      <c r="AO267" t="e">
        <f>IF(OR(OR($A267="",$D267=""),U267=""),"",U267-(INT($Y267/18)+IF(INDEX('Tournament Setup'!$AS:$AS,MATCH($A267,'Tournament Setup'!$A:$A,0))&lt;=MOD($Y267,18),1,0)))</f>
      </c>
      <c r="AP267" t="e">
        <f>IF(OR(OR($A267="",$D267=""),V267=""),"",V267-(INT($Y267/18)+IF(INDEX('Tournament Setup'!$AT:$AT,MATCH($A267,'Tournament Setup'!$A:$A,0))&lt;=MOD($Y267,18),1,0)))</f>
      </c>
      <c r="AQ267" t="e">
        <f>IF(OR(OR($A267="",$D267=""),W267=""),"",W267-(INT($Y267/18)+IF(INDEX('Tournament Setup'!$AU:$AU,MATCH($A267,'Tournament Setup'!$A:$A,0))&lt;=MOD($Y267,18),1,0)))</f>
      </c>
    </row>
    <row r="268">
      <c r="X268" t="e">
        <f>IF(OR($A268="",$D268=""),"",SUM(F268:W268))</f>
      </c>
      <c r="Y268" t="e">
        <f>IF(OR($A268="",$D268=""),"",IF(INDEX('Tournament Setup'!$F:$F,MATCH($A268,'Tournament Setup'!$A:$A,0))="Net",ROUND(($E268-_xlfn.MINIFS($E$2:$E$401,$A$2:$A$401,$A268,$B$2:$B$401,$B268))*INDEX('Tournament Setup'!$G:$G,MATCH($A268,'Tournament Setup'!$A:$A,0))/100,0),0))</f>
      </c>
      <c r="Z268" t="e">
        <f>IF(OR(OR($A268="",$D268=""),F268=""),"",F268-(INT($Y268/18)+IF(INDEX('Tournament Setup'!$AD:$AD,MATCH($A268,'Tournament Setup'!$A:$A,0))&lt;=MOD($Y268,18),1,0)))</f>
      </c>
      <c r="AA268" t="e">
        <f>IF(OR(OR($A268="",$D268=""),G268=""),"",G268-(INT($Y268/18)+IF(INDEX('Tournament Setup'!$AE:$AE,MATCH($A268,'Tournament Setup'!$A:$A,0))&lt;=MOD($Y268,18),1,0)))</f>
      </c>
      <c r="AB268" t="e">
        <f>IF(OR(OR($A268="",$D268=""),H268=""),"",H268-(INT($Y268/18)+IF(INDEX('Tournament Setup'!$AF:$AF,MATCH($A268,'Tournament Setup'!$A:$A,0))&lt;=MOD($Y268,18),1,0)))</f>
      </c>
      <c r="AC268" t="e">
        <f>IF(OR(OR($A268="",$D268=""),I268=""),"",I268-(INT($Y268/18)+IF(INDEX('Tournament Setup'!$AG:$AG,MATCH($A268,'Tournament Setup'!$A:$A,0))&lt;=MOD($Y268,18),1,0)))</f>
      </c>
      <c r="AD268" t="e">
        <f>IF(OR(OR($A268="",$D268=""),J268=""),"",J268-(INT($Y268/18)+IF(INDEX('Tournament Setup'!$AH:$AH,MATCH($A268,'Tournament Setup'!$A:$A,0))&lt;=MOD($Y268,18),1,0)))</f>
      </c>
      <c r="AE268" t="e">
        <f>IF(OR(OR($A268="",$D268=""),K268=""),"",K268-(INT($Y268/18)+IF(INDEX('Tournament Setup'!$AI:$AI,MATCH($A268,'Tournament Setup'!$A:$A,0))&lt;=MOD($Y268,18),1,0)))</f>
      </c>
      <c r="AF268" t="e">
        <f>IF(OR(OR($A268="",$D268=""),L268=""),"",L268-(INT($Y268/18)+IF(INDEX('Tournament Setup'!$AJ:$AJ,MATCH($A268,'Tournament Setup'!$A:$A,0))&lt;=MOD($Y268,18),1,0)))</f>
      </c>
      <c r="AG268" t="e">
        <f>IF(OR(OR($A268="",$D268=""),M268=""),"",M268-(INT($Y268/18)+IF(INDEX('Tournament Setup'!$AK:$AK,MATCH($A268,'Tournament Setup'!$A:$A,0))&lt;=MOD($Y268,18),1,0)))</f>
      </c>
      <c r="AH268" t="e">
        <f>IF(OR(OR($A268="",$D268=""),N268=""),"",N268-(INT($Y268/18)+IF(INDEX('Tournament Setup'!$AL:$AL,MATCH($A268,'Tournament Setup'!$A:$A,0))&lt;=MOD($Y268,18),1,0)))</f>
      </c>
      <c r="AI268" t="e">
        <f>IF(OR(OR($A268="",$D268=""),O268=""),"",O268-(INT($Y268/18)+IF(INDEX('Tournament Setup'!$AM:$AM,MATCH($A268,'Tournament Setup'!$A:$A,0))&lt;=MOD($Y268,18),1,0)))</f>
      </c>
      <c r="AJ268" t="e">
        <f>IF(OR(OR($A268="",$D268=""),P268=""),"",P268-(INT($Y268/18)+IF(INDEX('Tournament Setup'!$AN:$AN,MATCH($A268,'Tournament Setup'!$A:$A,0))&lt;=MOD($Y268,18),1,0)))</f>
      </c>
      <c r="AK268" t="e">
        <f>IF(OR(OR($A268="",$D268=""),Q268=""),"",Q268-(INT($Y268/18)+IF(INDEX('Tournament Setup'!$AO:$AO,MATCH($A268,'Tournament Setup'!$A:$A,0))&lt;=MOD($Y268,18),1,0)))</f>
      </c>
      <c r="AL268" t="e">
        <f>IF(OR(OR($A268="",$D268=""),R268=""),"",R268-(INT($Y268/18)+IF(INDEX('Tournament Setup'!$AP:$AP,MATCH($A268,'Tournament Setup'!$A:$A,0))&lt;=MOD($Y268,18),1,0)))</f>
      </c>
      <c r="AM268" t="e">
        <f>IF(OR(OR($A268="",$D268=""),S268=""),"",S268-(INT($Y268/18)+IF(INDEX('Tournament Setup'!$AQ:$AQ,MATCH($A268,'Tournament Setup'!$A:$A,0))&lt;=MOD($Y268,18),1,0)))</f>
      </c>
      <c r="AN268" t="e">
        <f>IF(OR(OR($A268="",$D268=""),T268=""),"",T268-(INT($Y268/18)+IF(INDEX('Tournament Setup'!$AR:$AR,MATCH($A268,'Tournament Setup'!$A:$A,0))&lt;=MOD($Y268,18),1,0)))</f>
      </c>
      <c r="AO268" t="e">
        <f>IF(OR(OR($A268="",$D268=""),U268=""),"",U268-(INT($Y268/18)+IF(INDEX('Tournament Setup'!$AS:$AS,MATCH($A268,'Tournament Setup'!$A:$A,0))&lt;=MOD($Y268,18),1,0)))</f>
      </c>
      <c r="AP268" t="e">
        <f>IF(OR(OR($A268="",$D268=""),V268=""),"",V268-(INT($Y268/18)+IF(INDEX('Tournament Setup'!$AT:$AT,MATCH($A268,'Tournament Setup'!$A:$A,0))&lt;=MOD($Y268,18),1,0)))</f>
      </c>
      <c r="AQ268" t="e">
        <f>IF(OR(OR($A268="",$D268=""),W268=""),"",W268-(INT($Y268/18)+IF(INDEX('Tournament Setup'!$AU:$AU,MATCH($A268,'Tournament Setup'!$A:$A,0))&lt;=MOD($Y268,18),1,0)))</f>
      </c>
    </row>
    <row r="269">
      <c r="X269" t="e">
        <f>IF(OR($A269="",$D269=""),"",SUM(F269:W269))</f>
      </c>
      <c r="Y269" t="e">
        <f>IF(OR($A269="",$D269=""),"",IF(INDEX('Tournament Setup'!$F:$F,MATCH($A269,'Tournament Setup'!$A:$A,0))="Net",ROUND(($E269-_xlfn.MINIFS($E$2:$E$401,$A$2:$A$401,$A269,$B$2:$B$401,$B269))*INDEX('Tournament Setup'!$G:$G,MATCH($A269,'Tournament Setup'!$A:$A,0))/100,0),0))</f>
      </c>
      <c r="Z269" t="e">
        <f>IF(OR(OR($A269="",$D269=""),F269=""),"",F269-(INT($Y269/18)+IF(INDEX('Tournament Setup'!$AD:$AD,MATCH($A269,'Tournament Setup'!$A:$A,0))&lt;=MOD($Y269,18),1,0)))</f>
      </c>
      <c r="AA269" t="e">
        <f>IF(OR(OR($A269="",$D269=""),G269=""),"",G269-(INT($Y269/18)+IF(INDEX('Tournament Setup'!$AE:$AE,MATCH($A269,'Tournament Setup'!$A:$A,0))&lt;=MOD($Y269,18),1,0)))</f>
      </c>
      <c r="AB269" t="e">
        <f>IF(OR(OR($A269="",$D269=""),H269=""),"",H269-(INT($Y269/18)+IF(INDEX('Tournament Setup'!$AF:$AF,MATCH($A269,'Tournament Setup'!$A:$A,0))&lt;=MOD($Y269,18),1,0)))</f>
      </c>
      <c r="AC269" t="e">
        <f>IF(OR(OR($A269="",$D269=""),I269=""),"",I269-(INT($Y269/18)+IF(INDEX('Tournament Setup'!$AG:$AG,MATCH($A269,'Tournament Setup'!$A:$A,0))&lt;=MOD($Y269,18),1,0)))</f>
      </c>
      <c r="AD269" t="e">
        <f>IF(OR(OR($A269="",$D269=""),J269=""),"",J269-(INT($Y269/18)+IF(INDEX('Tournament Setup'!$AH:$AH,MATCH($A269,'Tournament Setup'!$A:$A,0))&lt;=MOD($Y269,18),1,0)))</f>
      </c>
      <c r="AE269" t="e">
        <f>IF(OR(OR($A269="",$D269=""),K269=""),"",K269-(INT($Y269/18)+IF(INDEX('Tournament Setup'!$AI:$AI,MATCH($A269,'Tournament Setup'!$A:$A,0))&lt;=MOD($Y269,18),1,0)))</f>
      </c>
      <c r="AF269" t="e">
        <f>IF(OR(OR($A269="",$D269=""),L269=""),"",L269-(INT($Y269/18)+IF(INDEX('Tournament Setup'!$AJ:$AJ,MATCH($A269,'Tournament Setup'!$A:$A,0))&lt;=MOD($Y269,18),1,0)))</f>
      </c>
      <c r="AG269" t="e">
        <f>IF(OR(OR($A269="",$D269=""),M269=""),"",M269-(INT($Y269/18)+IF(INDEX('Tournament Setup'!$AK:$AK,MATCH($A269,'Tournament Setup'!$A:$A,0))&lt;=MOD($Y269,18),1,0)))</f>
      </c>
      <c r="AH269" t="e">
        <f>IF(OR(OR($A269="",$D269=""),N269=""),"",N269-(INT($Y269/18)+IF(INDEX('Tournament Setup'!$AL:$AL,MATCH($A269,'Tournament Setup'!$A:$A,0))&lt;=MOD($Y269,18),1,0)))</f>
      </c>
      <c r="AI269" t="e">
        <f>IF(OR(OR($A269="",$D269=""),O269=""),"",O269-(INT($Y269/18)+IF(INDEX('Tournament Setup'!$AM:$AM,MATCH($A269,'Tournament Setup'!$A:$A,0))&lt;=MOD($Y269,18),1,0)))</f>
      </c>
      <c r="AJ269" t="e">
        <f>IF(OR(OR($A269="",$D269=""),P269=""),"",P269-(INT($Y269/18)+IF(INDEX('Tournament Setup'!$AN:$AN,MATCH($A269,'Tournament Setup'!$A:$A,0))&lt;=MOD($Y269,18),1,0)))</f>
      </c>
      <c r="AK269" t="e">
        <f>IF(OR(OR($A269="",$D269=""),Q269=""),"",Q269-(INT($Y269/18)+IF(INDEX('Tournament Setup'!$AO:$AO,MATCH($A269,'Tournament Setup'!$A:$A,0))&lt;=MOD($Y269,18),1,0)))</f>
      </c>
      <c r="AL269" t="e">
        <f>IF(OR(OR($A269="",$D269=""),R269=""),"",R269-(INT($Y269/18)+IF(INDEX('Tournament Setup'!$AP:$AP,MATCH($A269,'Tournament Setup'!$A:$A,0))&lt;=MOD($Y269,18),1,0)))</f>
      </c>
      <c r="AM269" t="e">
        <f>IF(OR(OR($A269="",$D269=""),S269=""),"",S269-(INT($Y269/18)+IF(INDEX('Tournament Setup'!$AQ:$AQ,MATCH($A269,'Tournament Setup'!$A:$A,0))&lt;=MOD($Y269,18),1,0)))</f>
      </c>
      <c r="AN269" t="e">
        <f>IF(OR(OR($A269="",$D269=""),T269=""),"",T269-(INT($Y269/18)+IF(INDEX('Tournament Setup'!$AR:$AR,MATCH($A269,'Tournament Setup'!$A:$A,0))&lt;=MOD($Y269,18),1,0)))</f>
      </c>
      <c r="AO269" t="e">
        <f>IF(OR(OR($A269="",$D269=""),U269=""),"",U269-(INT($Y269/18)+IF(INDEX('Tournament Setup'!$AS:$AS,MATCH($A269,'Tournament Setup'!$A:$A,0))&lt;=MOD($Y269,18),1,0)))</f>
      </c>
      <c r="AP269" t="e">
        <f>IF(OR(OR($A269="",$D269=""),V269=""),"",V269-(INT($Y269/18)+IF(INDEX('Tournament Setup'!$AT:$AT,MATCH($A269,'Tournament Setup'!$A:$A,0))&lt;=MOD($Y269,18),1,0)))</f>
      </c>
      <c r="AQ269" t="e">
        <f>IF(OR(OR($A269="",$D269=""),W269=""),"",W269-(INT($Y269/18)+IF(INDEX('Tournament Setup'!$AU:$AU,MATCH($A269,'Tournament Setup'!$A:$A,0))&lt;=MOD($Y269,18),1,0)))</f>
      </c>
    </row>
    <row r="270">
      <c r="X270" t="e">
        <f>IF(OR($A270="",$D270=""),"",SUM(F270:W270))</f>
      </c>
      <c r="Y270" t="e">
        <f>IF(OR($A270="",$D270=""),"",IF(INDEX('Tournament Setup'!$F:$F,MATCH($A270,'Tournament Setup'!$A:$A,0))="Net",ROUND(($E270-_xlfn.MINIFS($E$2:$E$401,$A$2:$A$401,$A270,$B$2:$B$401,$B270))*INDEX('Tournament Setup'!$G:$G,MATCH($A270,'Tournament Setup'!$A:$A,0))/100,0),0))</f>
      </c>
      <c r="Z270" t="e">
        <f>IF(OR(OR($A270="",$D270=""),F270=""),"",F270-(INT($Y270/18)+IF(INDEX('Tournament Setup'!$AD:$AD,MATCH($A270,'Tournament Setup'!$A:$A,0))&lt;=MOD($Y270,18),1,0)))</f>
      </c>
      <c r="AA270" t="e">
        <f>IF(OR(OR($A270="",$D270=""),G270=""),"",G270-(INT($Y270/18)+IF(INDEX('Tournament Setup'!$AE:$AE,MATCH($A270,'Tournament Setup'!$A:$A,0))&lt;=MOD($Y270,18),1,0)))</f>
      </c>
      <c r="AB270" t="e">
        <f>IF(OR(OR($A270="",$D270=""),H270=""),"",H270-(INT($Y270/18)+IF(INDEX('Tournament Setup'!$AF:$AF,MATCH($A270,'Tournament Setup'!$A:$A,0))&lt;=MOD($Y270,18),1,0)))</f>
      </c>
      <c r="AC270" t="e">
        <f>IF(OR(OR($A270="",$D270=""),I270=""),"",I270-(INT($Y270/18)+IF(INDEX('Tournament Setup'!$AG:$AG,MATCH($A270,'Tournament Setup'!$A:$A,0))&lt;=MOD($Y270,18),1,0)))</f>
      </c>
      <c r="AD270" t="e">
        <f>IF(OR(OR($A270="",$D270=""),J270=""),"",J270-(INT($Y270/18)+IF(INDEX('Tournament Setup'!$AH:$AH,MATCH($A270,'Tournament Setup'!$A:$A,0))&lt;=MOD($Y270,18),1,0)))</f>
      </c>
      <c r="AE270" t="e">
        <f>IF(OR(OR($A270="",$D270=""),K270=""),"",K270-(INT($Y270/18)+IF(INDEX('Tournament Setup'!$AI:$AI,MATCH($A270,'Tournament Setup'!$A:$A,0))&lt;=MOD($Y270,18),1,0)))</f>
      </c>
      <c r="AF270" t="e">
        <f>IF(OR(OR($A270="",$D270=""),L270=""),"",L270-(INT($Y270/18)+IF(INDEX('Tournament Setup'!$AJ:$AJ,MATCH($A270,'Tournament Setup'!$A:$A,0))&lt;=MOD($Y270,18),1,0)))</f>
      </c>
      <c r="AG270" t="e">
        <f>IF(OR(OR($A270="",$D270=""),M270=""),"",M270-(INT($Y270/18)+IF(INDEX('Tournament Setup'!$AK:$AK,MATCH($A270,'Tournament Setup'!$A:$A,0))&lt;=MOD($Y270,18),1,0)))</f>
      </c>
      <c r="AH270" t="e">
        <f>IF(OR(OR($A270="",$D270=""),N270=""),"",N270-(INT($Y270/18)+IF(INDEX('Tournament Setup'!$AL:$AL,MATCH($A270,'Tournament Setup'!$A:$A,0))&lt;=MOD($Y270,18),1,0)))</f>
      </c>
      <c r="AI270" t="e">
        <f>IF(OR(OR($A270="",$D270=""),O270=""),"",O270-(INT($Y270/18)+IF(INDEX('Tournament Setup'!$AM:$AM,MATCH($A270,'Tournament Setup'!$A:$A,0))&lt;=MOD($Y270,18),1,0)))</f>
      </c>
      <c r="AJ270" t="e">
        <f>IF(OR(OR($A270="",$D270=""),P270=""),"",P270-(INT($Y270/18)+IF(INDEX('Tournament Setup'!$AN:$AN,MATCH($A270,'Tournament Setup'!$A:$A,0))&lt;=MOD($Y270,18),1,0)))</f>
      </c>
      <c r="AK270" t="e">
        <f>IF(OR(OR($A270="",$D270=""),Q270=""),"",Q270-(INT($Y270/18)+IF(INDEX('Tournament Setup'!$AO:$AO,MATCH($A270,'Tournament Setup'!$A:$A,0))&lt;=MOD($Y270,18),1,0)))</f>
      </c>
      <c r="AL270" t="e">
        <f>IF(OR(OR($A270="",$D270=""),R270=""),"",R270-(INT($Y270/18)+IF(INDEX('Tournament Setup'!$AP:$AP,MATCH($A270,'Tournament Setup'!$A:$A,0))&lt;=MOD($Y270,18),1,0)))</f>
      </c>
      <c r="AM270" t="e">
        <f>IF(OR(OR($A270="",$D270=""),S270=""),"",S270-(INT($Y270/18)+IF(INDEX('Tournament Setup'!$AQ:$AQ,MATCH($A270,'Tournament Setup'!$A:$A,0))&lt;=MOD($Y270,18),1,0)))</f>
      </c>
      <c r="AN270" t="e">
        <f>IF(OR(OR($A270="",$D270=""),T270=""),"",T270-(INT($Y270/18)+IF(INDEX('Tournament Setup'!$AR:$AR,MATCH($A270,'Tournament Setup'!$A:$A,0))&lt;=MOD($Y270,18),1,0)))</f>
      </c>
      <c r="AO270" t="e">
        <f>IF(OR(OR($A270="",$D270=""),U270=""),"",U270-(INT($Y270/18)+IF(INDEX('Tournament Setup'!$AS:$AS,MATCH($A270,'Tournament Setup'!$A:$A,0))&lt;=MOD($Y270,18),1,0)))</f>
      </c>
      <c r="AP270" t="e">
        <f>IF(OR(OR($A270="",$D270=""),V270=""),"",V270-(INT($Y270/18)+IF(INDEX('Tournament Setup'!$AT:$AT,MATCH($A270,'Tournament Setup'!$A:$A,0))&lt;=MOD($Y270,18),1,0)))</f>
      </c>
      <c r="AQ270" t="e">
        <f>IF(OR(OR($A270="",$D270=""),W270=""),"",W270-(INT($Y270/18)+IF(INDEX('Tournament Setup'!$AU:$AU,MATCH($A270,'Tournament Setup'!$A:$A,0))&lt;=MOD($Y270,18),1,0)))</f>
      </c>
    </row>
    <row r="271">
      <c r="X271" t="e">
        <f>IF(OR($A271="",$D271=""),"",SUM(F271:W271))</f>
      </c>
      <c r="Y271" t="e">
        <f>IF(OR($A271="",$D271=""),"",IF(INDEX('Tournament Setup'!$F:$F,MATCH($A271,'Tournament Setup'!$A:$A,0))="Net",ROUND(($E271-_xlfn.MINIFS($E$2:$E$401,$A$2:$A$401,$A271,$B$2:$B$401,$B271))*INDEX('Tournament Setup'!$G:$G,MATCH($A271,'Tournament Setup'!$A:$A,0))/100,0),0))</f>
      </c>
      <c r="Z271" t="e">
        <f>IF(OR(OR($A271="",$D271=""),F271=""),"",F271-(INT($Y271/18)+IF(INDEX('Tournament Setup'!$AD:$AD,MATCH($A271,'Tournament Setup'!$A:$A,0))&lt;=MOD($Y271,18),1,0)))</f>
      </c>
      <c r="AA271" t="e">
        <f>IF(OR(OR($A271="",$D271=""),G271=""),"",G271-(INT($Y271/18)+IF(INDEX('Tournament Setup'!$AE:$AE,MATCH($A271,'Tournament Setup'!$A:$A,0))&lt;=MOD($Y271,18),1,0)))</f>
      </c>
      <c r="AB271" t="e">
        <f>IF(OR(OR($A271="",$D271=""),H271=""),"",H271-(INT($Y271/18)+IF(INDEX('Tournament Setup'!$AF:$AF,MATCH($A271,'Tournament Setup'!$A:$A,0))&lt;=MOD($Y271,18),1,0)))</f>
      </c>
      <c r="AC271" t="e">
        <f>IF(OR(OR($A271="",$D271=""),I271=""),"",I271-(INT($Y271/18)+IF(INDEX('Tournament Setup'!$AG:$AG,MATCH($A271,'Tournament Setup'!$A:$A,0))&lt;=MOD($Y271,18),1,0)))</f>
      </c>
      <c r="AD271" t="e">
        <f>IF(OR(OR($A271="",$D271=""),J271=""),"",J271-(INT($Y271/18)+IF(INDEX('Tournament Setup'!$AH:$AH,MATCH($A271,'Tournament Setup'!$A:$A,0))&lt;=MOD($Y271,18),1,0)))</f>
      </c>
      <c r="AE271" t="e">
        <f>IF(OR(OR($A271="",$D271=""),K271=""),"",K271-(INT($Y271/18)+IF(INDEX('Tournament Setup'!$AI:$AI,MATCH($A271,'Tournament Setup'!$A:$A,0))&lt;=MOD($Y271,18),1,0)))</f>
      </c>
      <c r="AF271" t="e">
        <f>IF(OR(OR($A271="",$D271=""),L271=""),"",L271-(INT($Y271/18)+IF(INDEX('Tournament Setup'!$AJ:$AJ,MATCH($A271,'Tournament Setup'!$A:$A,0))&lt;=MOD($Y271,18),1,0)))</f>
      </c>
      <c r="AG271" t="e">
        <f>IF(OR(OR($A271="",$D271=""),M271=""),"",M271-(INT($Y271/18)+IF(INDEX('Tournament Setup'!$AK:$AK,MATCH($A271,'Tournament Setup'!$A:$A,0))&lt;=MOD($Y271,18),1,0)))</f>
      </c>
      <c r="AH271" t="e">
        <f>IF(OR(OR($A271="",$D271=""),N271=""),"",N271-(INT($Y271/18)+IF(INDEX('Tournament Setup'!$AL:$AL,MATCH($A271,'Tournament Setup'!$A:$A,0))&lt;=MOD($Y271,18),1,0)))</f>
      </c>
      <c r="AI271" t="e">
        <f>IF(OR(OR($A271="",$D271=""),O271=""),"",O271-(INT($Y271/18)+IF(INDEX('Tournament Setup'!$AM:$AM,MATCH($A271,'Tournament Setup'!$A:$A,0))&lt;=MOD($Y271,18),1,0)))</f>
      </c>
      <c r="AJ271" t="e">
        <f>IF(OR(OR($A271="",$D271=""),P271=""),"",P271-(INT($Y271/18)+IF(INDEX('Tournament Setup'!$AN:$AN,MATCH($A271,'Tournament Setup'!$A:$A,0))&lt;=MOD($Y271,18),1,0)))</f>
      </c>
      <c r="AK271" t="e">
        <f>IF(OR(OR($A271="",$D271=""),Q271=""),"",Q271-(INT($Y271/18)+IF(INDEX('Tournament Setup'!$AO:$AO,MATCH($A271,'Tournament Setup'!$A:$A,0))&lt;=MOD($Y271,18),1,0)))</f>
      </c>
      <c r="AL271" t="e">
        <f>IF(OR(OR($A271="",$D271=""),R271=""),"",R271-(INT($Y271/18)+IF(INDEX('Tournament Setup'!$AP:$AP,MATCH($A271,'Tournament Setup'!$A:$A,0))&lt;=MOD($Y271,18),1,0)))</f>
      </c>
      <c r="AM271" t="e">
        <f>IF(OR(OR($A271="",$D271=""),S271=""),"",S271-(INT($Y271/18)+IF(INDEX('Tournament Setup'!$AQ:$AQ,MATCH($A271,'Tournament Setup'!$A:$A,0))&lt;=MOD($Y271,18),1,0)))</f>
      </c>
      <c r="AN271" t="e">
        <f>IF(OR(OR($A271="",$D271=""),T271=""),"",T271-(INT($Y271/18)+IF(INDEX('Tournament Setup'!$AR:$AR,MATCH($A271,'Tournament Setup'!$A:$A,0))&lt;=MOD($Y271,18),1,0)))</f>
      </c>
      <c r="AO271" t="e">
        <f>IF(OR(OR($A271="",$D271=""),U271=""),"",U271-(INT($Y271/18)+IF(INDEX('Tournament Setup'!$AS:$AS,MATCH($A271,'Tournament Setup'!$A:$A,0))&lt;=MOD($Y271,18),1,0)))</f>
      </c>
      <c r="AP271" t="e">
        <f>IF(OR(OR($A271="",$D271=""),V271=""),"",V271-(INT($Y271/18)+IF(INDEX('Tournament Setup'!$AT:$AT,MATCH($A271,'Tournament Setup'!$A:$A,0))&lt;=MOD($Y271,18),1,0)))</f>
      </c>
      <c r="AQ271" t="e">
        <f>IF(OR(OR($A271="",$D271=""),W271=""),"",W271-(INT($Y271/18)+IF(INDEX('Tournament Setup'!$AU:$AU,MATCH($A271,'Tournament Setup'!$A:$A,0))&lt;=MOD($Y271,18),1,0)))</f>
      </c>
    </row>
    <row r="272">
      <c r="X272" t="e">
        <f>IF(OR($A272="",$D272=""),"",SUM(F272:W272))</f>
      </c>
      <c r="Y272" t="e">
        <f>IF(OR($A272="",$D272=""),"",IF(INDEX('Tournament Setup'!$F:$F,MATCH($A272,'Tournament Setup'!$A:$A,0))="Net",ROUND(($E272-_xlfn.MINIFS($E$2:$E$401,$A$2:$A$401,$A272,$B$2:$B$401,$B272))*INDEX('Tournament Setup'!$G:$G,MATCH($A272,'Tournament Setup'!$A:$A,0))/100,0),0))</f>
      </c>
      <c r="Z272" t="e">
        <f>IF(OR(OR($A272="",$D272=""),F272=""),"",F272-(INT($Y272/18)+IF(INDEX('Tournament Setup'!$AD:$AD,MATCH($A272,'Tournament Setup'!$A:$A,0))&lt;=MOD($Y272,18),1,0)))</f>
      </c>
      <c r="AA272" t="e">
        <f>IF(OR(OR($A272="",$D272=""),G272=""),"",G272-(INT($Y272/18)+IF(INDEX('Tournament Setup'!$AE:$AE,MATCH($A272,'Tournament Setup'!$A:$A,0))&lt;=MOD($Y272,18),1,0)))</f>
      </c>
      <c r="AB272" t="e">
        <f>IF(OR(OR($A272="",$D272=""),H272=""),"",H272-(INT($Y272/18)+IF(INDEX('Tournament Setup'!$AF:$AF,MATCH($A272,'Tournament Setup'!$A:$A,0))&lt;=MOD($Y272,18),1,0)))</f>
      </c>
      <c r="AC272" t="e">
        <f>IF(OR(OR($A272="",$D272=""),I272=""),"",I272-(INT($Y272/18)+IF(INDEX('Tournament Setup'!$AG:$AG,MATCH($A272,'Tournament Setup'!$A:$A,0))&lt;=MOD($Y272,18),1,0)))</f>
      </c>
      <c r="AD272" t="e">
        <f>IF(OR(OR($A272="",$D272=""),J272=""),"",J272-(INT($Y272/18)+IF(INDEX('Tournament Setup'!$AH:$AH,MATCH($A272,'Tournament Setup'!$A:$A,0))&lt;=MOD($Y272,18),1,0)))</f>
      </c>
      <c r="AE272" t="e">
        <f>IF(OR(OR($A272="",$D272=""),K272=""),"",K272-(INT($Y272/18)+IF(INDEX('Tournament Setup'!$AI:$AI,MATCH($A272,'Tournament Setup'!$A:$A,0))&lt;=MOD($Y272,18),1,0)))</f>
      </c>
      <c r="AF272" t="e">
        <f>IF(OR(OR($A272="",$D272=""),L272=""),"",L272-(INT($Y272/18)+IF(INDEX('Tournament Setup'!$AJ:$AJ,MATCH($A272,'Tournament Setup'!$A:$A,0))&lt;=MOD($Y272,18),1,0)))</f>
      </c>
      <c r="AG272" t="e">
        <f>IF(OR(OR($A272="",$D272=""),M272=""),"",M272-(INT($Y272/18)+IF(INDEX('Tournament Setup'!$AK:$AK,MATCH($A272,'Tournament Setup'!$A:$A,0))&lt;=MOD($Y272,18),1,0)))</f>
      </c>
      <c r="AH272" t="e">
        <f>IF(OR(OR($A272="",$D272=""),N272=""),"",N272-(INT($Y272/18)+IF(INDEX('Tournament Setup'!$AL:$AL,MATCH($A272,'Tournament Setup'!$A:$A,0))&lt;=MOD($Y272,18),1,0)))</f>
      </c>
      <c r="AI272" t="e">
        <f>IF(OR(OR($A272="",$D272=""),O272=""),"",O272-(INT($Y272/18)+IF(INDEX('Tournament Setup'!$AM:$AM,MATCH($A272,'Tournament Setup'!$A:$A,0))&lt;=MOD($Y272,18),1,0)))</f>
      </c>
      <c r="AJ272" t="e">
        <f>IF(OR(OR($A272="",$D272=""),P272=""),"",P272-(INT($Y272/18)+IF(INDEX('Tournament Setup'!$AN:$AN,MATCH($A272,'Tournament Setup'!$A:$A,0))&lt;=MOD($Y272,18),1,0)))</f>
      </c>
      <c r="AK272" t="e">
        <f>IF(OR(OR($A272="",$D272=""),Q272=""),"",Q272-(INT($Y272/18)+IF(INDEX('Tournament Setup'!$AO:$AO,MATCH($A272,'Tournament Setup'!$A:$A,0))&lt;=MOD($Y272,18),1,0)))</f>
      </c>
      <c r="AL272" t="e">
        <f>IF(OR(OR($A272="",$D272=""),R272=""),"",R272-(INT($Y272/18)+IF(INDEX('Tournament Setup'!$AP:$AP,MATCH($A272,'Tournament Setup'!$A:$A,0))&lt;=MOD($Y272,18),1,0)))</f>
      </c>
      <c r="AM272" t="e">
        <f>IF(OR(OR($A272="",$D272=""),S272=""),"",S272-(INT($Y272/18)+IF(INDEX('Tournament Setup'!$AQ:$AQ,MATCH($A272,'Tournament Setup'!$A:$A,0))&lt;=MOD($Y272,18),1,0)))</f>
      </c>
      <c r="AN272" t="e">
        <f>IF(OR(OR($A272="",$D272=""),T272=""),"",T272-(INT($Y272/18)+IF(INDEX('Tournament Setup'!$AR:$AR,MATCH($A272,'Tournament Setup'!$A:$A,0))&lt;=MOD($Y272,18),1,0)))</f>
      </c>
      <c r="AO272" t="e">
        <f>IF(OR(OR($A272="",$D272=""),U272=""),"",U272-(INT($Y272/18)+IF(INDEX('Tournament Setup'!$AS:$AS,MATCH($A272,'Tournament Setup'!$A:$A,0))&lt;=MOD($Y272,18),1,0)))</f>
      </c>
      <c r="AP272" t="e">
        <f>IF(OR(OR($A272="",$D272=""),V272=""),"",V272-(INT($Y272/18)+IF(INDEX('Tournament Setup'!$AT:$AT,MATCH($A272,'Tournament Setup'!$A:$A,0))&lt;=MOD($Y272,18),1,0)))</f>
      </c>
      <c r="AQ272" t="e">
        <f>IF(OR(OR($A272="",$D272=""),W272=""),"",W272-(INT($Y272/18)+IF(INDEX('Tournament Setup'!$AU:$AU,MATCH($A272,'Tournament Setup'!$A:$A,0))&lt;=MOD($Y272,18),1,0)))</f>
      </c>
    </row>
    <row r="273">
      <c r="X273" t="e">
        <f>IF(OR($A273="",$D273=""),"",SUM(F273:W273))</f>
      </c>
      <c r="Y273" t="e">
        <f>IF(OR($A273="",$D273=""),"",IF(INDEX('Tournament Setup'!$F:$F,MATCH($A273,'Tournament Setup'!$A:$A,0))="Net",ROUND(($E273-_xlfn.MINIFS($E$2:$E$401,$A$2:$A$401,$A273,$B$2:$B$401,$B273))*INDEX('Tournament Setup'!$G:$G,MATCH($A273,'Tournament Setup'!$A:$A,0))/100,0),0))</f>
      </c>
      <c r="Z273" t="e">
        <f>IF(OR(OR($A273="",$D273=""),F273=""),"",F273-(INT($Y273/18)+IF(INDEX('Tournament Setup'!$AD:$AD,MATCH($A273,'Tournament Setup'!$A:$A,0))&lt;=MOD($Y273,18),1,0)))</f>
      </c>
      <c r="AA273" t="e">
        <f>IF(OR(OR($A273="",$D273=""),G273=""),"",G273-(INT($Y273/18)+IF(INDEX('Tournament Setup'!$AE:$AE,MATCH($A273,'Tournament Setup'!$A:$A,0))&lt;=MOD($Y273,18),1,0)))</f>
      </c>
      <c r="AB273" t="e">
        <f>IF(OR(OR($A273="",$D273=""),H273=""),"",H273-(INT($Y273/18)+IF(INDEX('Tournament Setup'!$AF:$AF,MATCH($A273,'Tournament Setup'!$A:$A,0))&lt;=MOD($Y273,18),1,0)))</f>
      </c>
      <c r="AC273" t="e">
        <f>IF(OR(OR($A273="",$D273=""),I273=""),"",I273-(INT($Y273/18)+IF(INDEX('Tournament Setup'!$AG:$AG,MATCH($A273,'Tournament Setup'!$A:$A,0))&lt;=MOD($Y273,18),1,0)))</f>
      </c>
      <c r="AD273" t="e">
        <f>IF(OR(OR($A273="",$D273=""),J273=""),"",J273-(INT($Y273/18)+IF(INDEX('Tournament Setup'!$AH:$AH,MATCH($A273,'Tournament Setup'!$A:$A,0))&lt;=MOD($Y273,18),1,0)))</f>
      </c>
      <c r="AE273" t="e">
        <f>IF(OR(OR($A273="",$D273=""),K273=""),"",K273-(INT($Y273/18)+IF(INDEX('Tournament Setup'!$AI:$AI,MATCH($A273,'Tournament Setup'!$A:$A,0))&lt;=MOD($Y273,18),1,0)))</f>
      </c>
      <c r="AF273" t="e">
        <f>IF(OR(OR($A273="",$D273=""),L273=""),"",L273-(INT($Y273/18)+IF(INDEX('Tournament Setup'!$AJ:$AJ,MATCH($A273,'Tournament Setup'!$A:$A,0))&lt;=MOD($Y273,18),1,0)))</f>
      </c>
      <c r="AG273" t="e">
        <f>IF(OR(OR($A273="",$D273=""),M273=""),"",M273-(INT($Y273/18)+IF(INDEX('Tournament Setup'!$AK:$AK,MATCH($A273,'Tournament Setup'!$A:$A,0))&lt;=MOD($Y273,18),1,0)))</f>
      </c>
      <c r="AH273" t="e">
        <f>IF(OR(OR($A273="",$D273=""),N273=""),"",N273-(INT($Y273/18)+IF(INDEX('Tournament Setup'!$AL:$AL,MATCH($A273,'Tournament Setup'!$A:$A,0))&lt;=MOD($Y273,18),1,0)))</f>
      </c>
      <c r="AI273" t="e">
        <f>IF(OR(OR($A273="",$D273=""),O273=""),"",O273-(INT($Y273/18)+IF(INDEX('Tournament Setup'!$AM:$AM,MATCH($A273,'Tournament Setup'!$A:$A,0))&lt;=MOD($Y273,18),1,0)))</f>
      </c>
      <c r="AJ273" t="e">
        <f>IF(OR(OR($A273="",$D273=""),P273=""),"",P273-(INT($Y273/18)+IF(INDEX('Tournament Setup'!$AN:$AN,MATCH($A273,'Tournament Setup'!$A:$A,0))&lt;=MOD($Y273,18),1,0)))</f>
      </c>
      <c r="AK273" t="e">
        <f>IF(OR(OR($A273="",$D273=""),Q273=""),"",Q273-(INT($Y273/18)+IF(INDEX('Tournament Setup'!$AO:$AO,MATCH($A273,'Tournament Setup'!$A:$A,0))&lt;=MOD($Y273,18),1,0)))</f>
      </c>
      <c r="AL273" t="e">
        <f>IF(OR(OR($A273="",$D273=""),R273=""),"",R273-(INT($Y273/18)+IF(INDEX('Tournament Setup'!$AP:$AP,MATCH($A273,'Tournament Setup'!$A:$A,0))&lt;=MOD($Y273,18),1,0)))</f>
      </c>
      <c r="AM273" t="e">
        <f>IF(OR(OR($A273="",$D273=""),S273=""),"",S273-(INT($Y273/18)+IF(INDEX('Tournament Setup'!$AQ:$AQ,MATCH($A273,'Tournament Setup'!$A:$A,0))&lt;=MOD($Y273,18),1,0)))</f>
      </c>
      <c r="AN273" t="e">
        <f>IF(OR(OR($A273="",$D273=""),T273=""),"",T273-(INT($Y273/18)+IF(INDEX('Tournament Setup'!$AR:$AR,MATCH($A273,'Tournament Setup'!$A:$A,0))&lt;=MOD($Y273,18),1,0)))</f>
      </c>
      <c r="AO273" t="e">
        <f>IF(OR(OR($A273="",$D273=""),U273=""),"",U273-(INT($Y273/18)+IF(INDEX('Tournament Setup'!$AS:$AS,MATCH($A273,'Tournament Setup'!$A:$A,0))&lt;=MOD($Y273,18),1,0)))</f>
      </c>
      <c r="AP273" t="e">
        <f>IF(OR(OR($A273="",$D273=""),V273=""),"",V273-(INT($Y273/18)+IF(INDEX('Tournament Setup'!$AT:$AT,MATCH($A273,'Tournament Setup'!$A:$A,0))&lt;=MOD($Y273,18),1,0)))</f>
      </c>
      <c r="AQ273" t="e">
        <f>IF(OR(OR($A273="",$D273=""),W273=""),"",W273-(INT($Y273/18)+IF(INDEX('Tournament Setup'!$AU:$AU,MATCH($A273,'Tournament Setup'!$A:$A,0))&lt;=MOD($Y273,18),1,0)))</f>
      </c>
    </row>
    <row r="274">
      <c r="X274" t="e">
        <f>IF(OR($A274="",$D274=""),"",SUM(F274:W274))</f>
      </c>
      <c r="Y274" t="e">
        <f>IF(OR($A274="",$D274=""),"",IF(INDEX('Tournament Setup'!$F:$F,MATCH($A274,'Tournament Setup'!$A:$A,0))="Net",ROUND(($E274-_xlfn.MINIFS($E$2:$E$401,$A$2:$A$401,$A274,$B$2:$B$401,$B274))*INDEX('Tournament Setup'!$G:$G,MATCH($A274,'Tournament Setup'!$A:$A,0))/100,0),0))</f>
      </c>
      <c r="Z274" t="e">
        <f>IF(OR(OR($A274="",$D274=""),F274=""),"",F274-(INT($Y274/18)+IF(INDEX('Tournament Setup'!$AD:$AD,MATCH($A274,'Tournament Setup'!$A:$A,0))&lt;=MOD($Y274,18),1,0)))</f>
      </c>
      <c r="AA274" t="e">
        <f>IF(OR(OR($A274="",$D274=""),G274=""),"",G274-(INT($Y274/18)+IF(INDEX('Tournament Setup'!$AE:$AE,MATCH($A274,'Tournament Setup'!$A:$A,0))&lt;=MOD($Y274,18),1,0)))</f>
      </c>
      <c r="AB274" t="e">
        <f>IF(OR(OR($A274="",$D274=""),H274=""),"",H274-(INT($Y274/18)+IF(INDEX('Tournament Setup'!$AF:$AF,MATCH($A274,'Tournament Setup'!$A:$A,0))&lt;=MOD($Y274,18),1,0)))</f>
      </c>
      <c r="AC274" t="e">
        <f>IF(OR(OR($A274="",$D274=""),I274=""),"",I274-(INT($Y274/18)+IF(INDEX('Tournament Setup'!$AG:$AG,MATCH($A274,'Tournament Setup'!$A:$A,0))&lt;=MOD($Y274,18),1,0)))</f>
      </c>
      <c r="AD274" t="e">
        <f>IF(OR(OR($A274="",$D274=""),J274=""),"",J274-(INT($Y274/18)+IF(INDEX('Tournament Setup'!$AH:$AH,MATCH($A274,'Tournament Setup'!$A:$A,0))&lt;=MOD($Y274,18),1,0)))</f>
      </c>
      <c r="AE274" t="e">
        <f>IF(OR(OR($A274="",$D274=""),K274=""),"",K274-(INT($Y274/18)+IF(INDEX('Tournament Setup'!$AI:$AI,MATCH($A274,'Tournament Setup'!$A:$A,0))&lt;=MOD($Y274,18),1,0)))</f>
      </c>
      <c r="AF274" t="e">
        <f>IF(OR(OR($A274="",$D274=""),L274=""),"",L274-(INT($Y274/18)+IF(INDEX('Tournament Setup'!$AJ:$AJ,MATCH($A274,'Tournament Setup'!$A:$A,0))&lt;=MOD($Y274,18),1,0)))</f>
      </c>
      <c r="AG274" t="e">
        <f>IF(OR(OR($A274="",$D274=""),M274=""),"",M274-(INT($Y274/18)+IF(INDEX('Tournament Setup'!$AK:$AK,MATCH($A274,'Tournament Setup'!$A:$A,0))&lt;=MOD($Y274,18),1,0)))</f>
      </c>
      <c r="AH274" t="e">
        <f>IF(OR(OR($A274="",$D274=""),N274=""),"",N274-(INT($Y274/18)+IF(INDEX('Tournament Setup'!$AL:$AL,MATCH($A274,'Tournament Setup'!$A:$A,0))&lt;=MOD($Y274,18),1,0)))</f>
      </c>
      <c r="AI274" t="e">
        <f>IF(OR(OR($A274="",$D274=""),O274=""),"",O274-(INT($Y274/18)+IF(INDEX('Tournament Setup'!$AM:$AM,MATCH($A274,'Tournament Setup'!$A:$A,0))&lt;=MOD($Y274,18),1,0)))</f>
      </c>
      <c r="AJ274" t="e">
        <f>IF(OR(OR($A274="",$D274=""),P274=""),"",P274-(INT($Y274/18)+IF(INDEX('Tournament Setup'!$AN:$AN,MATCH($A274,'Tournament Setup'!$A:$A,0))&lt;=MOD($Y274,18),1,0)))</f>
      </c>
      <c r="AK274" t="e">
        <f>IF(OR(OR($A274="",$D274=""),Q274=""),"",Q274-(INT($Y274/18)+IF(INDEX('Tournament Setup'!$AO:$AO,MATCH($A274,'Tournament Setup'!$A:$A,0))&lt;=MOD($Y274,18),1,0)))</f>
      </c>
      <c r="AL274" t="e">
        <f>IF(OR(OR($A274="",$D274=""),R274=""),"",R274-(INT($Y274/18)+IF(INDEX('Tournament Setup'!$AP:$AP,MATCH($A274,'Tournament Setup'!$A:$A,0))&lt;=MOD($Y274,18),1,0)))</f>
      </c>
      <c r="AM274" t="e">
        <f>IF(OR(OR($A274="",$D274=""),S274=""),"",S274-(INT($Y274/18)+IF(INDEX('Tournament Setup'!$AQ:$AQ,MATCH($A274,'Tournament Setup'!$A:$A,0))&lt;=MOD($Y274,18),1,0)))</f>
      </c>
      <c r="AN274" t="e">
        <f>IF(OR(OR($A274="",$D274=""),T274=""),"",T274-(INT($Y274/18)+IF(INDEX('Tournament Setup'!$AR:$AR,MATCH($A274,'Tournament Setup'!$A:$A,0))&lt;=MOD($Y274,18),1,0)))</f>
      </c>
      <c r="AO274" t="e">
        <f>IF(OR(OR($A274="",$D274=""),U274=""),"",U274-(INT($Y274/18)+IF(INDEX('Tournament Setup'!$AS:$AS,MATCH($A274,'Tournament Setup'!$A:$A,0))&lt;=MOD($Y274,18),1,0)))</f>
      </c>
      <c r="AP274" t="e">
        <f>IF(OR(OR($A274="",$D274=""),V274=""),"",V274-(INT($Y274/18)+IF(INDEX('Tournament Setup'!$AT:$AT,MATCH($A274,'Tournament Setup'!$A:$A,0))&lt;=MOD($Y274,18),1,0)))</f>
      </c>
      <c r="AQ274" t="e">
        <f>IF(OR(OR($A274="",$D274=""),W274=""),"",W274-(INT($Y274/18)+IF(INDEX('Tournament Setup'!$AU:$AU,MATCH($A274,'Tournament Setup'!$A:$A,0))&lt;=MOD($Y274,18),1,0)))</f>
      </c>
    </row>
    <row r="275">
      <c r="X275" t="e">
        <f>IF(OR($A275="",$D275=""),"",SUM(F275:W275))</f>
      </c>
      <c r="Y275" t="e">
        <f>IF(OR($A275="",$D275=""),"",IF(INDEX('Tournament Setup'!$F:$F,MATCH($A275,'Tournament Setup'!$A:$A,0))="Net",ROUND(($E275-_xlfn.MINIFS($E$2:$E$401,$A$2:$A$401,$A275,$B$2:$B$401,$B275))*INDEX('Tournament Setup'!$G:$G,MATCH($A275,'Tournament Setup'!$A:$A,0))/100,0),0))</f>
      </c>
      <c r="Z275" t="e">
        <f>IF(OR(OR($A275="",$D275=""),F275=""),"",F275-(INT($Y275/18)+IF(INDEX('Tournament Setup'!$AD:$AD,MATCH($A275,'Tournament Setup'!$A:$A,0))&lt;=MOD($Y275,18),1,0)))</f>
      </c>
      <c r="AA275" t="e">
        <f>IF(OR(OR($A275="",$D275=""),G275=""),"",G275-(INT($Y275/18)+IF(INDEX('Tournament Setup'!$AE:$AE,MATCH($A275,'Tournament Setup'!$A:$A,0))&lt;=MOD($Y275,18),1,0)))</f>
      </c>
      <c r="AB275" t="e">
        <f>IF(OR(OR($A275="",$D275=""),H275=""),"",H275-(INT($Y275/18)+IF(INDEX('Tournament Setup'!$AF:$AF,MATCH($A275,'Tournament Setup'!$A:$A,0))&lt;=MOD($Y275,18),1,0)))</f>
      </c>
      <c r="AC275" t="e">
        <f>IF(OR(OR($A275="",$D275=""),I275=""),"",I275-(INT($Y275/18)+IF(INDEX('Tournament Setup'!$AG:$AG,MATCH($A275,'Tournament Setup'!$A:$A,0))&lt;=MOD($Y275,18),1,0)))</f>
      </c>
      <c r="AD275" t="e">
        <f>IF(OR(OR($A275="",$D275=""),J275=""),"",J275-(INT($Y275/18)+IF(INDEX('Tournament Setup'!$AH:$AH,MATCH($A275,'Tournament Setup'!$A:$A,0))&lt;=MOD($Y275,18),1,0)))</f>
      </c>
      <c r="AE275" t="e">
        <f>IF(OR(OR($A275="",$D275=""),K275=""),"",K275-(INT($Y275/18)+IF(INDEX('Tournament Setup'!$AI:$AI,MATCH($A275,'Tournament Setup'!$A:$A,0))&lt;=MOD($Y275,18),1,0)))</f>
      </c>
      <c r="AF275" t="e">
        <f>IF(OR(OR($A275="",$D275=""),L275=""),"",L275-(INT($Y275/18)+IF(INDEX('Tournament Setup'!$AJ:$AJ,MATCH($A275,'Tournament Setup'!$A:$A,0))&lt;=MOD($Y275,18),1,0)))</f>
      </c>
      <c r="AG275" t="e">
        <f>IF(OR(OR($A275="",$D275=""),M275=""),"",M275-(INT($Y275/18)+IF(INDEX('Tournament Setup'!$AK:$AK,MATCH($A275,'Tournament Setup'!$A:$A,0))&lt;=MOD($Y275,18),1,0)))</f>
      </c>
      <c r="AH275" t="e">
        <f>IF(OR(OR($A275="",$D275=""),N275=""),"",N275-(INT($Y275/18)+IF(INDEX('Tournament Setup'!$AL:$AL,MATCH($A275,'Tournament Setup'!$A:$A,0))&lt;=MOD($Y275,18),1,0)))</f>
      </c>
      <c r="AI275" t="e">
        <f>IF(OR(OR($A275="",$D275=""),O275=""),"",O275-(INT($Y275/18)+IF(INDEX('Tournament Setup'!$AM:$AM,MATCH($A275,'Tournament Setup'!$A:$A,0))&lt;=MOD($Y275,18),1,0)))</f>
      </c>
      <c r="AJ275" t="e">
        <f>IF(OR(OR($A275="",$D275=""),P275=""),"",P275-(INT($Y275/18)+IF(INDEX('Tournament Setup'!$AN:$AN,MATCH($A275,'Tournament Setup'!$A:$A,0))&lt;=MOD($Y275,18),1,0)))</f>
      </c>
      <c r="AK275" t="e">
        <f>IF(OR(OR($A275="",$D275=""),Q275=""),"",Q275-(INT($Y275/18)+IF(INDEX('Tournament Setup'!$AO:$AO,MATCH($A275,'Tournament Setup'!$A:$A,0))&lt;=MOD($Y275,18),1,0)))</f>
      </c>
      <c r="AL275" t="e">
        <f>IF(OR(OR($A275="",$D275=""),R275=""),"",R275-(INT($Y275/18)+IF(INDEX('Tournament Setup'!$AP:$AP,MATCH($A275,'Tournament Setup'!$A:$A,0))&lt;=MOD($Y275,18),1,0)))</f>
      </c>
      <c r="AM275" t="e">
        <f>IF(OR(OR($A275="",$D275=""),S275=""),"",S275-(INT($Y275/18)+IF(INDEX('Tournament Setup'!$AQ:$AQ,MATCH($A275,'Tournament Setup'!$A:$A,0))&lt;=MOD($Y275,18),1,0)))</f>
      </c>
      <c r="AN275" t="e">
        <f>IF(OR(OR($A275="",$D275=""),T275=""),"",T275-(INT($Y275/18)+IF(INDEX('Tournament Setup'!$AR:$AR,MATCH($A275,'Tournament Setup'!$A:$A,0))&lt;=MOD($Y275,18),1,0)))</f>
      </c>
      <c r="AO275" t="e">
        <f>IF(OR(OR($A275="",$D275=""),U275=""),"",U275-(INT($Y275/18)+IF(INDEX('Tournament Setup'!$AS:$AS,MATCH($A275,'Tournament Setup'!$A:$A,0))&lt;=MOD($Y275,18),1,0)))</f>
      </c>
      <c r="AP275" t="e">
        <f>IF(OR(OR($A275="",$D275=""),V275=""),"",V275-(INT($Y275/18)+IF(INDEX('Tournament Setup'!$AT:$AT,MATCH($A275,'Tournament Setup'!$A:$A,0))&lt;=MOD($Y275,18),1,0)))</f>
      </c>
      <c r="AQ275" t="e">
        <f>IF(OR(OR($A275="",$D275=""),W275=""),"",W275-(INT($Y275/18)+IF(INDEX('Tournament Setup'!$AU:$AU,MATCH($A275,'Tournament Setup'!$A:$A,0))&lt;=MOD($Y275,18),1,0)))</f>
      </c>
    </row>
    <row r="276">
      <c r="X276" t="e">
        <f>IF(OR($A276="",$D276=""),"",SUM(F276:W276))</f>
      </c>
      <c r="Y276" t="e">
        <f>IF(OR($A276="",$D276=""),"",IF(INDEX('Tournament Setup'!$F:$F,MATCH($A276,'Tournament Setup'!$A:$A,0))="Net",ROUND(($E276-_xlfn.MINIFS($E$2:$E$401,$A$2:$A$401,$A276,$B$2:$B$401,$B276))*INDEX('Tournament Setup'!$G:$G,MATCH($A276,'Tournament Setup'!$A:$A,0))/100,0),0))</f>
      </c>
      <c r="Z276" t="e">
        <f>IF(OR(OR($A276="",$D276=""),F276=""),"",F276-(INT($Y276/18)+IF(INDEX('Tournament Setup'!$AD:$AD,MATCH($A276,'Tournament Setup'!$A:$A,0))&lt;=MOD($Y276,18),1,0)))</f>
      </c>
      <c r="AA276" t="e">
        <f>IF(OR(OR($A276="",$D276=""),G276=""),"",G276-(INT($Y276/18)+IF(INDEX('Tournament Setup'!$AE:$AE,MATCH($A276,'Tournament Setup'!$A:$A,0))&lt;=MOD($Y276,18),1,0)))</f>
      </c>
      <c r="AB276" t="e">
        <f>IF(OR(OR($A276="",$D276=""),H276=""),"",H276-(INT($Y276/18)+IF(INDEX('Tournament Setup'!$AF:$AF,MATCH($A276,'Tournament Setup'!$A:$A,0))&lt;=MOD($Y276,18),1,0)))</f>
      </c>
      <c r="AC276" t="e">
        <f>IF(OR(OR($A276="",$D276=""),I276=""),"",I276-(INT($Y276/18)+IF(INDEX('Tournament Setup'!$AG:$AG,MATCH($A276,'Tournament Setup'!$A:$A,0))&lt;=MOD($Y276,18),1,0)))</f>
      </c>
      <c r="AD276" t="e">
        <f>IF(OR(OR($A276="",$D276=""),J276=""),"",J276-(INT($Y276/18)+IF(INDEX('Tournament Setup'!$AH:$AH,MATCH($A276,'Tournament Setup'!$A:$A,0))&lt;=MOD($Y276,18),1,0)))</f>
      </c>
      <c r="AE276" t="e">
        <f>IF(OR(OR($A276="",$D276=""),K276=""),"",K276-(INT($Y276/18)+IF(INDEX('Tournament Setup'!$AI:$AI,MATCH($A276,'Tournament Setup'!$A:$A,0))&lt;=MOD($Y276,18),1,0)))</f>
      </c>
      <c r="AF276" t="e">
        <f>IF(OR(OR($A276="",$D276=""),L276=""),"",L276-(INT($Y276/18)+IF(INDEX('Tournament Setup'!$AJ:$AJ,MATCH($A276,'Tournament Setup'!$A:$A,0))&lt;=MOD($Y276,18),1,0)))</f>
      </c>
      <c r="AG276" t="e">
        <f>IF(OR(OR($A276="",$D276=""),M276=""),"",M276-(INT($Y276/18)+IF(INDEX('Tournament Setup'!$AK:$AK,MATCH($A276,'Tournament Setup'!$A:$A,0))&lt;=MOD($Y276,18),1,0)))</f>
      </c>
      <c r="AH276" t="e">
        <f>IF(OR(OR($A276="",$D276=""),N276=""),"",N276-(INT($Y276/18)+IF(INDEX('Tournament Setup'!$AL:$AL,MATCH($A276,'Tournament Setup'!$A:$A,0))&lt;=MOD($Y276,18),1,0)))</f>
      </c>
      <c r="AI276" t="e">
        <f>IF(OR(OR($A276="",$D276=""),O276=""),"",O276-(INT($Y276/18)+IF(INDEX('Tournament Setup'!$AM:$AM,MATCH($A276,'Tournament Setup'!$A:$A,0))&lt;=MOD($Y276,18),1,0)))</f>
      </c>
      <c r="AJ276" t="e">
        <f>IF(OR(OR($A276="",$D276=""),P276=""),"",P276-(INT($Y276/18)+IF(INDEX('Tournament Setup'!$AN:$AN,MATCH($A276,'Tournament Setup'!$A:$A,0))&lt;=MOD($Y276,18),1,0)))</f>
      </c>
      <c r="AK276" t="e">
        <f>IF(OR(OR($A276="",$D276=""),Q276=""),"",Q276-(INT($Y276/18)+IF(INDEX('Tournament Setup'!$AO:$AO,MATCH($A276,'Tournament Setup'!$A:$A,0))&lt;=MOD($Y276,18),1,0)))</f>
      </c>
      <c r="AL276" t="e">
        <f>IF(OR(OR($A276="",$D276=""),R276=""),"",R276-(INT($Y276/18)+IF(INDEX('Tournament Setup'!$AP:$AP,MATCH($A276,'Tournament Setup'!$A:$A,0))&lt;=MOD($Y276,18),1,0)))</f>
      </c>
      <c r="AM276" t="e">
        <f>IF(OR(OR($A276="",$D276=""),S276=""),"",S276-(INT($Y276/18)+IF(INDEX('Tournament Setup'!$AQ:$AQ,MATCH($A276,'Tournament Setup'!$A:$A,0))&lt;=MOD($Y276,18),1,0)))</f>
      </c>
      <c r="AN276" t="e">
        <f>IF(OR(OR($A276="",$D276=""),T276=""),"",T276-(INT($Y276/18)+IF(INDEX('Tournament Setup'!$AR:$AR,MATCH($A276,'Tournament Setup'!$A:$A,0))&lt;=MOD($Y276,18),1,0)))</f>
      </c>
      <c r="AO276" t="e">
        <f>IF(OR(OR($A276="",$D276=""),U276=""),"",U276-(INT($Y276/18)+IF(INDEX('Tournament Setup'!$AS:$AS,MATCH($A276,'Tournament Setup'!$A:$A,0))&lt;=MOD($Y276,18),1,0)))</f>
      </c>
      <c r="AP276" t="e">
        <f>IF(OR(OR($A276="",$D276=""),V276=""),"",V276-(INT($Y276/18)+IF(INDEX('Tournament Setup'!$AT:$AT,MATCH($A276,'Tournament Setup'!$A:$A,0))&lt;=MOD($Y276,18),1,0)))</f>
      </c>
      <c r="AQ276" t="e">
        <f>IF(OR(OR($A276="",$D276=""),W276=""),"",W276-(INT($Y276/18)+IF(INDEX('Tournament Setup'!$AU:$AU,MATCH($A276,'Tournament Setup'!$A:$A,0))&lt;=MOD($Y276,18),1,0)))</f>
      </c>
    </row>
    <row r="277">
      <c r="X277" t="e">
        <f>IF(OR($A277="",$D277=""),"",SUM(F277:W277))</f>
      </c>
      <c r="Y277" t="e">
        <f>IF(OR($A277="",$D277=""),"",IF(INDEX('Tournament Setup'!$F:$F,MATCH($A277,'Tournament Setup'!$A:$A,0))="Net",ROUND(($E277-_xlfn.MINIFS($E$2:$E$401,$A$2:$A$401,$A277,$B$2:$B$401,$B277))*INDEX('Tournament Setup'!$G:$G,MATCH($A277,'Tournament Setup'!$A:$A,0))/100,0),0))</f>
      </c>
      <c r="Z277" t="e">
        <f>IF(OR(OR($A277="",$D277=""),F277=""),"",F277-(INT($Y277/18)+IF(INDEX('Tournament Setup'!$AD:$AD,MATCH($A277,'Tournament Setup'!$A:$A,0))&lt;=MOD($Y277,18),1,0)))</f>
      </c>
      <c r="AA277" t="e">
        <f>IF(OR(OR($A277="",$D277=""),G277=""),"",G277-(INT($Y277/18)+IF(INDEX('Tournament Setup'!$AE:$AE,MATCH($A277,'Tournament Setup'!$A:$A,0))&lt;=MOD($Y277,18),1,0)))</f>
      </c>
      <c r="AB277" t="e">
        <f>IF(OR(OR($A277="",$D277=""),H277=""),"",H277-(INT($Y277/18)+IF(INDEX('Tournament Setup'!$AF:$AF,MATCH($A277,'Tournament Setup'!$A:$A,0))&lt;=MOD($Y277,18),1,0)))</f>
      </c>
      <c r="AC277" t="e">
        <f>IF(OR(OR($A277="",$D277=""),I277=""),"",I277-(INT($Y277/18)+IF(INDEX('Tournament Setup'!$AG:$AG,MATCH($A277,'Tournament Setup'!$A:$A,0))&lt;=MOD($Y277,18),1,0)))</f>
      </c>
      <c r="AD277" t="e">
        <f>IF(OR(OR($A277="",$D277=""),J277=""),"",J277-(INT($Y277/18)+IF(INDEX('Tournament Setup'!$AH:$AH,MATCH($A277,'Tournament Setup'!$A:$A,0))&lt;=MOD($Y277,18),1,0)))</f>
      </c>
      <c r="AE277" t="e">
        <f>IF(OR(OR($A277="",$D277=""),K277=""),"",K277-(INT($Y277/18)+IF(INDEX('Tournament Setup'!$AI:$AI,MATCH($A277,'Tournament Setup'!$A:$A,0))&lt;=MOD($Y277,18),1,0)))</f>
      </c>
      <c r="AF277" t="e">
        <f>IF(OR(OR($A277="",$D277=""),L277=""),"",L277-(INT($Y277/18)+IF(INDEX('Tournament Setup'!$AJ:$AJ,MATCH($A277,'Tournament Setup'!$A:$A,0))&lt;=MOD($Y277,18),1,0)))</f>
      </c>
      <c r="AG277" t="e">
        <f>IF(OR(OR($A277="",$D277=""),M277=""),"",M277-(INT($Y277/18)+IF(INDEX('Tournament Setup'!$AK:$AK,MATCH($A277,'Tournament Setup'!$A:$A,0))&lt;=MOD($Y277,18),1,0)))</f>
      </c>
      <c r="AH277" t="e">
        <f>IF(OR(OR($A277="",$D277=""),N277=""),"",N277-(INT($Y277/18)+IF(INDEX('Tournament Setup'!$AL:$AL,MATCH($A277,'Tournament Setup'!$A:$A,0))&lt;=MOD($Y277,18),1,0)))</f>
      </c>
      <c r="AI277" t="e">
        <f>IF(OR(OR($A277="",$D277=""),O277=""),"",O277-(INT($Y277/18)+IF(INDEX('Tournament Setup'!$AM:$AM,MATCH($A277,'Tournament Setup'!$A:$A,0))&lt;=MOD($Y277,18),1,0)))</f>
      </c>
      <c r="AJ277" t="e">
        <f>IF(OR(OR($A277="",$D277=""),P277=""),"",P277-(INT($Y277/18)+IF(INDEX('Tournament Setup'!$AN:$AN,MATCH($A277,'Tournament Setup'!$A:$A,0))&lt;=MOD($Y277,18),1,0)))</f>
      </c>
      <c r="AK277" t="e">
        <f>IF(OR(OR($A277="",$D277=""),Q277=""),"",Q277-(INT($Y277/18)+IF(INDEX('Tournament Setup'!$AO:$AO,MATCH($A277,'Tournament Setup'!$A:$A,0))&lt;=MOD($Y277,18),1,0)))</f>
      </c>
      <c r="AL277" t="e">
        <f>IF(OR(OR($A277="",$D277=""),R277=""),"",R277-(INT($Y277/18)+IF(INDEX('Tournament Setup'!$AP:$AP,MATCH($A277,'Tournament Setup'!$A:$A,0))&lt;=MOD($Y277,18),1,0)))</f>
      </c>
      <c r="AM277" t="e">
        <f>IF(OR(OR($A277="",$D277=""),S277=""),"",S277-(INT($Y277/18)+IF(INDEX('Tournament Setup'!$AQ:$AQ,MATCH($A277,'Tournament Setup'!$A:$A,0))&lt;=MOD($Y277,18),1,0)))</f>
      </c>
      <c r="AN277" t="e">
        <f>IF(OR(OR($A277="",$D277=""),T277=""),"",T277-(INT($Y277/18)+IF(INDEX('Tournament Setup'!$AR:$AR,MATCH($A277,'Tournament Setup'!$A:$A,0))&lt;=MOD($Y277,18),1,0)))</f>
      </c>
      <c r="AO277" t="e">
        <f>IF(OR(OR($A277="",$D277=""),U277=""),"",U277-(INT($Y277/18)+IF(INDEX('Tournament Setup'!$AS:$AS,MATCH($A277,'Tournament Setup'!$A:$A,0))&lt;=MOD($Y277,18),1,0)))</f>
      </c>
      <c r="AP277" t="e">
        <f>IF(OR(OR($A277="",$D277=""),V277=""),"",V277-(INT($Y277/18)+IF(INDEX('Tournament Setup'!$AT:$AT,MATCH($A277,'Tournament Setup'!$A:$A,0))&lt;=MOD($Y277,18),1,0)))</f>
      </c>
      <c r="AQ277" t="e">
        <f>IF(OR(OR($A277="",$D277=""),W277=""),"",W277-(INT($Y277/18)+IF(INDEX('Tournament Setup'!$AU:$AU,MATCH($A277,'Tournament Setup'!$A:$A,0))&lt;=MOD($Y277,18),1,0)))</f>
      </c>
    </row>
    <row r="278">
      <c r="X278" t="e">
        <f>IF(OR($A278="",$D278=""),"",SUM(F278:W278))</f>
      </c>
      <c r="Y278" t="e">
        <f>IF(OR($A278="",$D278=""),"",IF(INDEX('Tournament Setup'!$F:$F,MATCH($A278,'Tournament Setup'!$A:$A,0))="Net",ROUND(($E278-_xlfn.MINIFS($E$2:$E$401,$A$2:$A$401,$A278,$B$2:$B$401,$B278))*INDEX('Tournament Setup'!$G:$G,MATCH($A278,'Tournament Setup'!$A:$A,0))/100,0),0))</f>
      </c>
      <c r="Z278" t="e">
        <f>IF(OR(OR($A278="",$D278=""),F278=""),"",F278-(INT($Y278/18)+IF(INDEX('Tournament Setup'!$AD:$AD,MATCH($A278,'Tournament Setup'!$A:$A,0))&lt;=MOD($Y278,18),1,0)))</f>
      </c>
      <c r="AA278" t="e">
        <f>IF(OR(OR($A278="",$D278=""),G278=""),"",G278-(INT($Y278/18)+IF(INDEX('Tournament Setup'!$AE:$AE,MATCH($A278,'Tournament Setup'!$A:$A,0))&lt;=MOD($Y278,18),1,0)))</f>
      </c>
      <c r="AB278" t="e">
        <f>IF(OR(OR($A278="",$D278=""),H278=""),"",H278-(INT($Y278/18)+IF(INDEX('Tournament Setup'!$AF:$AF,MATCH($A278,'Tournament Setup'!$A:$A,0))&lt;=MOD($Y278,18),1,0)))</f>
      </c>
      <c r="AC278" t="e">
        <f>IF(OR(OR($A278="",$D278=""),I278=""),"",I278-(INT($Y278/18)+IF(INDEX('Tournament Setup'!$AG:$AG,MATCH($A278,'Tournament Setup'!$A:$A,0))&lt;=MOD($Y278,18),1,0)))</f>
      </c>
      <c r="AD278" t="e">
        <f>IF(OR(OR($A278="",$D278=""),J278=""),"",J278-(INT($Y278/18)+IF(INDEX('Tournament Setup'!$AH:$AH,MATCH($A278,'Tournament Setup'!$A:$A,0))&lt;=MOD($Y278,18),1,0)))</f>
      </c>
      <c r="AE278" t="e">
        <f>IF(OR(OR($A278="",$D278=""),K278=""),"",K278-(INT($Y278/18)+IF(INDEX('Tournament Setup'!$AI:$AI,MATCH($A278,'Tournament Setup'!$A:$A,0))&lt;=MOD($Y278,18),1,0)))</f>
      </c>
      <c r="AF278" t="e">
        <f>IF(OR(OR($A278="",$D278=""),L278=""),"",L278-(INT($Y278/18)+IF(INDEX('Tournament Setup'!$AJ:$AJ,MATCH($A278,'Tournament Setup'!$A:$A,0))&lt;=MOD($Y278,18),1,0)))</f>
      </c>
      <c r="AG278" t="e">
        <f>IF(OR(OR($A278="",$D278=""),M278=""),"",M278-(INT($Y278/18)+IF(INDEX('Tournament Setup'!$AK:$AK,MATCH($A278,'Tournament Setup'!$A:$A,0))&lt;=MOD($Y278,18),1,0)))</f>
      </c>
      <c r="AH278" t="e">
        <f>IF(OR(OR($A278="",$D278=""),N278=""),"",N278-(INT($Y278/18)+IF(INDEX('Tournament Setup'!$AL:$AL,MATCH($A278,'Tournament Setup'!$A:$A,0))&lt;=MOD($Y278,18),1,0)))</f>
      </c>
      <c r="AI278" t="e">
        <f>IF(OR(OR($A278="",$D278=""),O278=""),"",O278-(INT($Y278/18)+IF(INDEX('Tournament Setup'!$AM:$AM,MATCH($A278,'Tournament Setup'!$A:$A,0))&lt;=MOD($Y278,18),1,0)))</f>
      </c>
      <c r="AJ278" t="e">
        <f>IF(OR(OR($A278="",$D278=""),P278=""),"",P278-(INT($Y278/18)+IF(INDEX('Tournament Setup'!$AN:$AN,MATCH($A278,'Tournament Setup'!$A:$A,0))&lt;=MOD($Y278,18),1,0)))</f>
      </c>
      <c r="AK278" t="e">
        <f>IF(OR(OR($A278="",$D278=""),Q278=""),"",Q278-(INT($Y278/18)+IF(INDEX('Tournament Setup'!$AO:$AO,MATCH($A278,'Tournament Setup'!$A:$A,0))&lt;=MOD($Y278,18),1,0)))</f>
      </c>
      <c r="AL278" t="e">
        <f>IF(OR(OR($A278="",$D278=""),R278=""),"",R278-(INT($Y278/18)+IF(INDEX('Tournament Setup'!$AP:$AP,MATCH($A278,'Tournament Setup'!$A:$A,0))&lt;=MOD($Y278,18),1,0)))</f>
      </c>
      <c r="AM278" t="e">
        <f>IF(OR(OR($A278="",$D278=""),S278=""),"",S278-(INT($Y278/18)+IF(INDEX('Tournament Setup'!$AQ:$AQ,MATCH($A278,'Tournament Setup'!$A:$A,0))&lt;=MOD($Y278,18),1,0)))</f>
      </c>
      <c r="AN278" t="e">
        <f>IF(OR(OR($A278="",$D278=""),T278=""),"",T278-(INT($Y278/18)+IF(INDEX('Tournament Setup'!$AR:$AR,MATCH($A278,'Tournament Setup'!$A:$A,0))&lt;=MOD($Y278,18),1,0)))</f>
      </c>
      <c r="AO278" t="e">
        <f>IF(OR(OR($A278="",$D278=""),U278=""),"",U278-(INT($Y278/18)+IF(INDEX('Tournament Setup'!$AS:$AS,MATCH($A278,'Tournament Setup'!$A:$A,0))&lt;=MOD($Y278,18),1,0)))</f>
      </c>
      <c r="AP278" t="e">
        <f>IF(OR(OR($A278="",$D278=""),V278=""),"",V278-(INT($Y278/18)+IF(INDEX('Tournament Setup'!$AT:$AT,MATCH($A278,'Tournament Setup'!$A:$A,0))&lt;=MOD($Y278,18),1,0)))</f>
      </c>
      <c r="AQ278" t="e">
        <f>IF(OR(OR($A278="",$D278=""),W278=""),"",W278-(INT($Y278/18)+IF(INDEX('Tournament Setup'!$AU:$AU,MATCH($A278,'Tournament Setup'!$A:$A,0))&lt;=MOD($Y278,18),1,0)))</f>
      </c>
    </row>
    <row r="279">
      <c r="X279" t="e">
        <f>IF(OR($A279="",$D279=""),"",SUM(F279:W279))</f>
      </c>
      <c r="Y279" t="e">
        <f>IF(OR($A279="",$D279=""),"",IF(INDEX('Tournament Setup'!$F:$F,MATCH($A279,'Tournament Setup'!$A:$A,0))="Net",ROUND(($E279-_xlfn.MINIFS($E$2:$E$401,$A$2:$A$401,$A279,$B$2:$B$401,$B279))*INDEX('Tournament Setup'!$G:$G,MATCH($A279,'Tournament Setup'!$A:$A,0))/100,0),0))</f>
      </c>
      <c r="Z279" t="e">
        <f>IF(OR(OR($A279="",$D279=""),F279=""),"",F279-(INT($Y279/18)+IF(INDEX('Tournament Setup'!$AD:$AD,MATCH($A279,'Tournament Setup'!$A:$A,0))&lt;=MOD($Y279,18),1,0)))</f>
      </c>
      <c r="AA279" t="e">
        <f>IF(OR(OR($A279="",$D279=""),G279=""),"",G279-(INT($Y279/18)+IF(INDEX('Tournament Setup'!$AE:$AE,MATCH($A279,'Tournament Setup'!$A:$A,0))&lt;=MOD($Y279,18),1,0)))</f>
      </c>
      <c r="AB279" t="e">
        <f>IF(OR(OR($A279="",$D279=""),H279=""),"",H279-(INT($Y279/18)+IF(INDEX('Tournament Setup'!$AF:$AF,MATCH($A279,'Tournament Setup'!$A:$A,0))&lt;=MOD($Y279,18),1,0)))</f>
      </c>
      <c r="AC279" t="e">
        <f>IF(OR(OR($A279="",$D279=""),I279=""),"",I279-(INT($Y279/18)+IF(INDEX('Tournament Setup'!$AG:$AG,MATCH($A279,'Tournament Setup'!$A:$A,0))&lt;=MOD($Y279,18),1,0)))</f>
      </c>
      <c r="AD279" t="e">
        <f>IF(OR(OR($A279="",$D279=""),J279=""),"",J279-(INT($Y279/18)+IF(INDEX('Tournament Setup'!$AH:$AH,MATCH($A279,'Tournament Setup'!$A:$A,0))&lt;=MOD($Y279,18),1,0)))</f>
      </c>
      <c r="AE279" t="e">
        <f>IF(OR(OR($A279="",$D279=""),K279=""),"",K279-(INT($Y279/18)+IF(INDEX('Tournament Setup'!$AI:$AI,MATCH($A279,'Tournament Setup'!$A:$A,0))&lt;=MOD($Y279,18),1,0)))</f>
      </c>
      <c r="AF279" t="e">
        <f>IF(OR(OR($A279="",$D279=""),L279=""),"",L279-(INT($Y279/18)+IF(INDEX('Tournament Setup'!$AJ:$AJ,MATCH($A279,'Tournament Setup'!$A:$A,0))&lt;=MOD($Y279,18),1,0)))</f>
      </c>
      <c r="AG279" t="e">
        <f>IF(OR(OR($A279="",$D279=""),M279=""),"",M279-(INT($Y279/18)+IF(INDEX('Tournament Setup'!$AK:$AK,MATCH($A279,'Tournament Setup'!$A:$A,0))&lt;=MOD($Y279,18),1,0)))</f>
      </c>
      <c r="AH279" t="e">
        <f>IF(OR(OR($A279="",$D279=""),N279=""),"",N279-(INT($Y279/18)+IF(INDEX('Tournament Setup'!$AL:$AL,MATCH($A279,'Tournament Setup'!$A:$A,0))&lt;=MOD($Y279,18),1,0)))</f>
      </c>
      <c r="AI279" t="e">
        <f>IF(OR(OR($A279="",$D279=""),O279=""),"",O279-(INT($Y279/18)+IF(INDEX('Tournament Setup'!$AM:$AM,MATCH($A279,'Tournament Setup'!$A:$A,0))&lt;=MOD($Y279,18),1,0)))</f>
      </c>
      <c r="AJ279" t="e">
        <f>IF(OR(OR($A279="",$D279=""),P279=""),"",P279-(INT($Y279/18)+IF(INDEX('Tournament Setup'!$AN:$AN,MATCH($A279,'Tournament Setup'!$A:$A,0))&lt;=MOD($Y279,18),1,0)))</f>
      </c>
      <c r="AK279" t="e">
        <f>IF(OR(OR($A279="",$D279=""),Q279=""),"",Q279-(INT($Y279/18)+IF(INDEX('Tournament Setup'!$AO:$AO,MATCH($A279,'Tournament Setup'!$A:$A,0))&lt;=MOD($Y279,18),1,0)))</f>
      </c>
      <c r="AL279" t="e">
        <f>IF(OR(OR($A279="",$D279=""),R279=""),"",R279-(INT($Y279/18)+IF(INDEX('Tournament Setup'!$AP:$AP,MATCH($A279,'Tournament Setup'!$A:$A,0))&lt;=MOD($Y279,18),1,0)))</f>
      </c>
      <c r="AM279" t="e">
        <f>IF(OR(OR($A279="",$D279=""),S279=""),"",S279-(INT($Y279/18)+IF(INDEX('Tournament Setup'!$AQ:$AQ,MATCH($A279,'Tournament Setup'!$A:$A,0))&lt;=MOD($Y279,18),1,0)))</f>
      </c>
      <c r="AN279" t="e">
        <f>IF(OR(OR($A279="",$D279=""),T279=""),"",T279-(INT($Y279/18)+IF(INDEX('Tournament Setup'!$AR:$AR,MATCH($A279,'Tournament Setup'!$A:$A,0))&lt;=MOD($Y279,18),1,0)))</f>
      </c>
      <c r="AO279" t="e">
        <f>IF(OR(OR($A279="",$D279=""),U279=""),"",U279-(INT($Y279/18)+IF(INDEX('Tournament Setup'!$AS:$AS,MATCH($A279,'Tournament Setup'!$A:$A,0))&lt;=MOD($Y279,18),1,0)))</f>
      </c>
      <c r="AP279" t="e">
        <f>IF(OR(OR($A279="",$D279=""),V279=""),"",V279-(INT($Y279/18)+IF(INDEX('Tournament Setup'!$AT:$AT,MATCH($A279,'Tournament Setup'!$A:$A,0))&lt;=MOD($Y279,18),1,0)))</f>
      </c>
      <c r="AQ279" t="e">
        <f>IF(OR(OR($A279="",$D279=""),W279=""),"",W279-(INT($Y279/18)+IF(INDEX('Tournament Setup'!$AU:$AU,MATCH($A279,'Tournament Setup'!$A:$A,0))&lt;=MOD($Y279,18),1,0)))</f>
      </c>
    </row>
    <row r="280">
      <c r="X280" t="e">
        <f>IF(OR($A280="",$D280=""),"",SUM(F280:W280))</f>
      </c>
      <c r="Y280" t="e">
        <f>IF(OR($A280="",$D280=""),"",IF(INDEX('Tournament Setup'!$F:$F,MATCH($A280,'Tournament Setup'!$A:$A,0))="Net",ROUND(($E280-_xlfn.MINIFS($E$2:$E$401,$A$2:$A$401,$A280,$B$2:$B$401,$B280))*INDEX('Tournament Setup'!$G:$G,MATCH($A280,'Tournament Setup'!$A:$A,0))/100,0),0))</f>
      </c>
      <c r="Z280" t="e">
        <f>IF(OR(OR($A280="",$D280=""),F280=""),"",F280-(INT($Y280/18)+IF(INDEX('Tournament Setup'!$AD:$AD,MATCH($A280,'Tournament Setup'!$A:$A,0))&lt;=MOD($Y280,18),1,0)))</f>
      </c>
      <c r="AA280" t="e">
        <f>IF(OR(OR($A280="",$D280=""),G280=""),"",G280-(INT($Y280/18)+IF(INDEX('Tournament Setup'!$AE:$AE,MATCH($A280,'Tournament Setup'!$A:$A,0))&lt;=MOD($Y280,18),1,0)))</f>
      </c>
      <c r="AB280" t="e">
        <f>IF(OR(OR($A280="",$D280=""),H280=""),"",H280-(INT($Y280/18)+IF(INDEX('Tournament Setup'!$AF:$AF,MATCH($A280,'Tournament Setup'!$A:$A,0))&lt;=MOD($Y280,18),1,0)))</f>
      </c>
      <c r="AC280" t="e">
        <f>IF(OR(OR($A280="",$D280=""),I280=""),"",I280-(INT($Y280/18)+IF(INDEX('Tournament Setup'!$AG:$AG,MATCH($A280,'Tournament Setup'!$A:$A,0))&lt;=MOD($Y280,18),1,0)))</f>
      </c>
      <c r="AD280" t="e">
        <f>IF(OR(OR($A280="",$D280=""),J280=""),"",J280-(INT($Y280/18)+IF(INDEX('Tournament Setup'!$AH:$AH,MATCH($A280,'Tournament Setup'!$A:$A,0))&lt;=MOD($Y280,18),1,0)))</f>
      </c>
      <c r="AE280" t="e">
        <f>IF(OR(OR($A280="",$D280=""),K280=""),"",K280-(INT($Y280/18)+IF(INDEX('Tournament Setup'!$AI:$AI,MATCH($A280,'Tournament Setup'!$A:$A,0))&lt;=MOD($Y280,18),1,0)))</f>
      </c>
      <c r="AF280" t="e">
        <f>IF(OR(OR($A280="",$D280=""),L280=""),"",L280-(INT($Y280/18)+IF(INDEX('Tournament Setup'!$AJ:$AJ,MATCH($A280,'Tournament Setup'!$A:$A,0))&lt;=MOD($Y280,18),1,0)))</f>
      </c>
      <c r="AG280" t="e">
        <f>IF(OR(OR($A280="",$D280=""),M280=""),"",M280-(INT($Y280/18)+IF(INDEX('Tournament Setup'!$AK:$AK,MATCH($A280,'Tournament Setup'!$A:$A,0))&lt;=MOD($Y280,18),1,0)))</f>
      </c>
      <c r="AH280" t="e">
        <f>IF(OR(OR($A280="",$D280=""),N280=""),"",N280-(INT($Y280/18)+IF(INDEX('Tournament Setup'!$AL:$AL,MATCH($A280,'Tournament Setup'!$A:$A,0))&lt;=MOD($Y280,18),1,0)))</f>
      </c>
      <c r="AI280" t="e">
        <f>IF(OR(OR($A280="",$D280=""),O280=""),"",O280-(INT($Y280/18)+IF(INDEX('Tournament Setup'!$AM:$AM,MATCH($A280,'Tournament Setup'!$A:$A,0))&lt;=MOD($Y280,18),1,0)))</f>
      </c>
      <c r="AJ280" t="e">
        <f>IF(OR(OR($A280="",$D280=""),P280=""),"",P280-(INT($Y280/18)+IF(INDEX('Tournament Setup'!$AN:$AN,MATCH($A280,'Tournament Setup'!$A:$A,0))&lt;=MOD($Y280,18),1,0)))</f>
      </c>
      <c r="AK280" t="e">
        <f>IF(OR(OR($A280="",$D280=""),Q280=""),"",Q280-(INT($Y280/18)+IF(INDEX('Tournament Setup'!$AO:$AO,MATCH($A280,'Tournament Setup'!$A:$A,0))&lt;=MOD($Y280,18),1,0)))</f>
      </c>
      <c r="AL280" t="e">
        <f>IF(OR(OR($A280="",$D280=""),R280=""),"",R280-(INT($Y280/18)+IF(INDEX('Tournament Setup'!$AP:$AP,MATCH($A280,'Tournament Setup'!$A:$A,0))&lt;=MOD($Y280,18),1,0)))</f>
      </c>
      <c r="AM280" t="e">
        <f>IF(OR(OR($A280="",$D280=""),S280=""),"",S280-(INT($Y280/18)+IF(INDEX('Tournament Setup'!$AQ:$AQ,MATCH($A280,'Tournament Setup'!$A:$A,0))&lt;=MOD($Y280,18),1,0)))</f>
      </c>
      <c r="AN280" t="e">
        <f>IF(OR(OR($A280="",$D280=""),T280=""),"",T280-(INT($Y280/18)+IF(INDEX('Tournament Setup'!$AR:$AR,MATCH($A280,'Tournament Setup'!$A:$A,0))&lt;=MOD($Y280,18),1,0)))</f>
      </c>
      <c r="AO280" t="e">
        <f>IF(OR(OR($A280="",$D280=""),U280=""),"",U280-(INT($Y280/18)+IF(INDEX('Tournament Setup'!$AS:$AS,MATCH($A280,'Tournament Setup'!$A:$A,0))&lt;=MOD($Y280,18),1,0)))</f>
      </c>
      <c r="AP280" t="e">
        <f>IF(OR(OR($A280="",$D280=""),V280=""),"",V280-(INT($Y280/18)+IF(INDEX('Tournament Setup'!$AT:$AT,MATCH($A280,'Tournament Setup'!$A:$A,0))&lt;=MOD($Y280,18),1,0)))</f>
      </c>
      <c r="AQ280" t="e">
        <f>IF(OR(OR($A280="",$D280=""),W280=""),"",W280-(INT($Y280/18)+IF(INDEX('Tournament Setup'!$AU:$AU,MATCH($A280,'Tournament Setup'!$A:$A,0))&lt;=MOD($Y280,18),1,0)))</f>
      </c>
    </row>
    <row r="281">
      <c r="X281" t="e">
        <f>IF(OR($A281="",$D281=""),"",SUM(F281:W281))</f>
      </c>
      <c r="Y281" t="e">
        <f>IF(OR($A281="",$D281=""),"",IF(INDEX('Tournament Setup'!$F:$F,MATCH($A281,'Tournament Setup'!$A:$A,0))="Net",ROUND(($E281-_xlfn.MINIFS($E$2:$E$401,$A$2:$A$401,$A281,$B$2:$B$401,$B281))*INDEX('Tournament Setup'!$G:$G,MATCH($A281,'Tournament Setup'!$A:$A,0))/100,0),0))</f>
      </c>
      <c r="Z281" t="e">
        <f>IF(OR(OR($A281="",$D281=""),F281=""),"",F281-(INT($Y281/18)+IF(INDEX('Tournament Setup'!$AD:$AD,MATCH($A281,'Tournament Setup'!$A:$A,0))&lt;=MOD($Y281,18),1,0)))</f>
      </c>
      <c r="AA281" t="e">
        <f>IF(OR(OR($A281="",$D281=""),G281=""),"",G281-(INT($Y281/18)+IF(INDEX('Tournament Setup'!$AE:$AE,MATCH($A281,'Tournament Setup'!$A:$A,0))&lt;=MOD($Y281,18),1,0)))</f>
      </c>
      <c r="AB281" t="e">
        <f>IF(OR(OR($A281="",$D281=""),H281=""),"",H281-(INT($Y281/18)+IF(INDEX('Tournament Setup'!$AF:$AF,MATCH($A281,'Tournament Setup'!$A:$A,0))&lt;=MOD($Y281,18),1,0)))</f>
      </c>
      <c r="AC281" t="e">
        <f>IF(OR(OR($A281="",$D281=""),I281=""),"",I281-(INT($Y281/18)+IF(INDEX('Tournament Setup'!$AG:$AG,MATCH($A281,'Tournament Setup'!$A:$A,0))&lt;=MOD($Y281,18),1,0)))</f>
      </c>
      <c r="AD281" t="e">
        <f>IF(OR(OR($A281="",$D281=""),J281=""),"",J281-(INT($Y281/18)+IF(INDEX('Tournament Setup'!$AH:$AH,MATCH($A281,'Tournament Setup'!$A:$A,0))&lt;=MOD($Y281,18),1,0)))</f>
      </c>
      <c r="AE281" t="e">
        <f>IF(OR(OR($A281="",$D281=""),K281=""),"",K281-(INT($Y281/18)+IF(INDEX('Tournament Setup'!$AI:$AI,MATCH($A281,'Tournament Setup'!$A:$A,0))&lt;=MOD($Y281,18),1,0)))</f>
      </c>
      <c r="AF281" t="e">
        <f>IF(OR(OR($A281="",$D281=""),L281=""),"",L281-(INT($Y281/18)+IF(INDEX('Tournament Setup'!$AJ:$AJ,MATCH($A281,'Tournament Setup'!$A:$A,0))&lt;=MOD($Y281,18),1,0)))</f>
      </c>
      <c r="AG281" t="e">
        <f>IF(OR(OR($A281="",$D281=""),M281=""),"",M281-(INT($Y281/18)+IF(INDEX('Tournament Setup'!$AK:$AK,MATCH($A281,'Tournament Setup'!$A:$A,0))&lt;=MOD($Y281,18),1,0)))</f>
      </c>
      <c r="AH281" t="e">
        <f>IF(OR(OR($A281="",$D281=""),N281=""),"",N281-(INT($Y281/18)+IF(INDEX('Tournament Setup'!$AL:$AL,MATCH($A281,'Tournament Setup'!$A:$A,0))&lt;=MOD($Y281,18),1,0)))</f>
      </c>
      <c r="AI281" t="e">
        <f>IF(OR(OR($A281="",$D281=""),O281=""),"",O281-(INT($Y281/18)+IF(INDEX('Tournament Setup'!$AM:$AM,MATCH($A281,'Tournament Setup'!$A:$A,0))&lt;=MOD($Y281,18),1,0)))</f>
      </c>
      <c r="AJ281" t="e">
        <f>IF(OR(OR($A281="",$D281=""),P281=""),"",P281-(INT($Y281/18)+IF(INDEX('Tournament Setup'!$AN:$AN,MATCH($A281,'Tournament Setup'!$A:$A,0))&lt;=MOD($Y281,18),1,0)))</f>
      </c>
      <c r="AK281" t="e">
        <f>IF(OR(OR($A281="",$D281=""),Q281=""),"",Q281-(INT($Y281/18)+IF(INDEX('Tournament Setup'!$AO:$AO,MATCH($A281,'Tournament Setup'!$A:$A,0))&lt;=MOD($Y281,18),1,0)))</f>
      </c>
      <c r="AL281" t="e">
        <f>IF(OR(OR($A281="",$D281=""),R281=""),"",R281-(INT($Y281/18)+IF(INDEX('Tournament Setup'!$AP:$AP,MATCH($A281,'Tournament Setup'!$A:$A,0))&lt;=MOD($Y281,18),1,0)))</f>
      </c>
      <c r="AM281" t="e">
        <f>IF(OR(OR($A281="",$D281=""),S281=""),"",S281-(INT($Y281/18)+IF(INDEX('Tournament Setup'!$AQ:$AQ,MATCH($A281,'Tournament Setup'!$A:$A,0))&lt;=MOD($Y281,18),1,0)))</f>
      </c>
      <c r="AN281" t="e">
        <f>IF(OR(OR($A281="",$D281=""),T281=""),"",T281-(INT($Y281/18)+IF(INDEX('Tournament Setup'!$AR:$AR,MATCH($A281,'Tournament Setup'!$A:$A,0))&lt;=MOD($Y281,18),1,0)))</f>
      </c>
      <c r="AO281" t="e">
        <f>IF(OR(OR($A281="",$D281=""),U281=""),"",U281-(INT($Y281/18)+IF(INDEX('Tournament Setup'!$AS:$AS,MATCH($A281,'Tournament Setup'!$A:$A,0))&lt;=MOD($Y281,18),1,0)))</f>
      </c>
      <c r="AP281" t="e">
        <f>IF(OR(OR($A281="",$D281=""),V281=""),"",V281-(INT($Y281/18)+IF(INDEX('Tournament Setup'!$AT:$AT,MATCH($A281,'Tournament Setup'!$A:$A,0))&lt;=MOD($Y281,18),1,0)))</f>
      </c>
      <c r="AQ281" t="e">
        <f>IF(OR(OR($A281="",$D281=""),W281=""),"",W281-(INT($Y281/18)+IF(INDEX('Tournament Setup'!$AU:$AU,MATCH($A281,'Tournament Setup'!$A:$A,0))&lt;=MOD($Y281,18),1,0)))</f>
      </c>
    </row>
    <row r="282">
      <c r="X282" t="e">
        <f>IF(OR($A282="",$D282=""),"",SUM(F282:W282))</f>
      </c>
      <c r="Y282" t="e">
        <f>IF(OR($A282="",$D282=""),"",IF(INDEX('Tournament Setup'!$F:$F,MATCH($A282,'Tournament Setup'!$A:$A,0))="Net",ROUND(($E282-_xlfn.MINIFS($E$2:$E$401,$A$2:$A$401,$A282,$B$2:$B$401,$B282))*INDEX('Tournament Setup'!$G:$G,MATCH($A282,'Tournament Setup'!$A:$A,0))/100,0),0))</f>
      </c>
      <c r="Z282" t="e">
        <f>IF(OR(OR($A282="",$D282=""),F282=""),"",F282-(INT($Y282/18)+IF(INDEX('Tournament Setup'!$AD:$AD,MATCH($A282,'Tournament Setup'!$A:$A,0))&lt;=MOD($Y282,18),1,0)))</f>
      </c>
      <c r="AA282" t="e">
        <f>IF(OR(OR($A282="",$D282=""),G282=""),"",G282-(INT($Y282/18)+IF(INDEX('Tournament Setup'!$AE:$AE,MATCH($A282,'Tournament Setup'!$A:$A,0))&lt;=MOD($Y282,18),1,0)))</f>
      </c>
      <c r="AB282" t="e">
        <f>IF(OR(OR($A282="",$D282=""),H282=""),"",H282-(INT($Y282/18)+IF(INDEX('Tournament Setup'!$AF:$AF,MATCH($A282,'Tournament Setup'!$A:$A,0))&lt;=MOD($Y282,18),1,0)))</f>
      </c>
      <c r="AC282" t="e">
        <f>IF(OR(OR($A282="",$D282=""),I282=""),"",I282-(INT($Y282/18)+IF(INDEX('Tournament Setup'!$AG:$AG,MATCH($A282,'Tournament Setup'!$A:$A,0))&lt;=MOD($Y282,18),1,0)))</f>
      </c>
      <c r="AD282" t="e">
        <f>IF(OR(OR($A282="",$D282=""),J282=""),"",J282-(INT($Y282/18)+IF(INDEX('Tournament Setup'!$AH:$AH,MATCH($A282,'Tournament Setup'!$A:$A,0))&lt;=MOD($Y282,18),1,0)))</f>
      </c>
      <c r="AE282" t="e">
        <f>IF(OR(OR($A282="",$D282=""),K282=""),"",K282-(INT($Y282/18)+IF(INDEX('Tournament Setup'!$AI:$AI,MATCH($A282,'Tournament Setup'!$A:$A,0))&lt;=MOD($Y282,18),1,0)))</f>
      </c>
      <c r="AF282" t="e">
        <f>IF(OR(OR($A282="",$D282=""),L282=""),"",L282-(INT($Y282/18)+IF(INDEX('Tournament Setup'!$AJ:$AJ,MATCH($A282,'Tournament Setup'!$A:$A,0))&lt;=MOD($Y282,18),1,0)))</f>
      </c>
      <c r="AG282" t="e">
        <f>IF(OR(OR($A282="",$D282=""),M282=""),"",M282-(INT($Y282/18)+IF(INDEX('Tournament Setup'!$AK:$AK,MATCH($A282,'Tournament Setup'!$A:$A,0))&lt;=MOD($Y282,18),1,0)))</f>
      </c>
      <c r="AH282" t="e">
        <f>IF(OR(OR($A282="",$D282=""),N282=""),"",N282-(INT($Y282/18)+IF(INDEX('Tournament Setup'!$AL:$AL,MATCH($A282,'Tournament Setup'!$A:$A,0))&lt;=MOD($Y282,18),1,0)))</f>
      </c>
      <c r="AI282" t="e">
        <f>IF(OR(OR($A282="",$D282=""),O282=""),"",O282-(INT($Y282/18)+IF(INDEX('Tournament Setup'!$AM:$AM,MATCH($A282,'Tournament Setup'!$A:$A,0))&lt;=MOD($Y282,18),1,0)))</f>
      </c>
      <c r="AJ282" t="e">
        <f>IF(OR(OR($A282="",$D282=""),P282=""),"",P282-(INT($Y282/18)+IF(INDEX('Tournament Setup'!$AN:$AN,MATCH($A282,'Tournament Setup'!$A:$A,0))&lt;=MOD($Y282,18),1,0)))</f>
      </c>
      <c r="AK282" t="e">
        <f>IF(OR(OR($A282="",$D282=""),Q282=""),"",Q282-(INT($Y282/18)+IF(INDEX('Tournament Setup'!$AO:$AO,MATCH($A282,'Tournament Setup'!$A:$A,0))&lt;=MOD($Y282,18),1,0)))</f>
      </c>
      <c r="AL282" t="e">
        <f>IF(OR(OR($A282="",$D282=""),R282=""),"",R282-(INT($Y282/18)+IF(INDEX('Tournament Setup'!$AP:$AP,MATCH($A282,'Tournament Setup'!$A:$A,0))&lt;=MOD($Y282,18),1,0)))</f>
      </c>
      <c r="AM282" t="e">
        <f>IF(OR(OR($A282="",$D282=""),S282=""),"",S282-(INT($Y282/18)+IF(INDEX('Tournament Setup'!$AQ:$AQ,MATCH($A282,'Tournament Setup'!$A:$A,0))&lt;=MOD($Y282,18),1,0)))</f>
      </c>
      <c r="AN282" t="e">
        <f>IF(OR(OR($A282="",$D282=""),T282=""),"",T282-(INT($Y282/18)+IF(INDEX('Tournament Setup'!$AR:$AR,MATCH($A282,'Tournament Setup'!$A:$A,0))&lt;=MOD($Y282,18),1,0)))</f>
      </c>
      <c r="AO282" t="e">
        <f>IF(OR(OR($A282="",$D282=""),U282=""),"",U282-(INT($Y282/18)+IF(INDEX('Tournament Setup'!$AS:$AS,MATCH($A282,'Tournament Setup'!$A:$A,0))&lt;=MOD($Y282,18),1,0)))</f>
      </c>
      <c r="AP282" t="e">
        <f>IF(OR(OR($A282="",$D282=""),V282=""),"",V282-(INT($Y282/18)+IF(INDEX('Tournament Setup'!$AT:$AT,MATCH($A282,'Tournament Setup'!$A:$A,0))&lt;=MOD($Y282,18),1,0)))</f>
      </c>
      <c r="AQ282" t="e">
        <f>IF(OR(OR($A282="",$D282=""),W282=""),"",W282-(INT($Y282/18)+IF(INDEX('Tournament Setup'!$AU:$AU,MATCH($A282,'Tournament Setup'!$A:$A,0))&lt;=MOD($Y282,18),1,0)))</f>
      </c>
    </row>
    <row r="283">
      <c r="X283" t="e">
        <f>IF(OR($A283="",$D283=""),"",SUM(F283:W283))</f>
      </c>
      <c r="Y283" t="e">
        <f>IF(OR($A283="",$D283=""),"",IF(INDEX('Tournament Setup'!$F:$F,MATCH($A283,'Tournament Setup'!$A:$A,0))="Net",ROUND(($E283-_xlfn.MINIFS($E$2:$E$401,$A$2:$A$401,$A283,$B$2:$B$401,$B283))*INDEX('Tournament Setup'!$G:$G,MATCH($A283,'Tournament Setup'!$A:$A,0))/100,0),0))</f>
      </c>
      <c r="Z283" t="e">
        <f>IF(OR(OR($A283="",$D283=""),F283=""),"",F283-(INT($Y283/18)+IF(INDEX('Tournament Setup'!$AD:$AD,MATCH($A283,'Tournament Setup'!$A:$A,0))&lt;=MOD($Y283,18),1,0)))</f>
      </c>
      <c r="AA283" t="e">
        <f>IF(OR(OR($A283="",$D283=""),G283=""),"",G283-(INT($Y283/18)+IF(INDEX('Tournament Setup'!$AE:$AE,MATCH($A283,'Tournament Setup'!$A:$A,0))&lt;=MOD($Y283,18),1,0)))</f>
      </c>
      <c r="AB283" t="e">
        <f>IF(OR(OR($A283="",$D283=""),H283=""),"",H283-(INT($Y283/18)+IF(INDEX('Tournament Setup'!$AF:$AF,MATCH($A283,'Tournament Setup'!$A:$A,0))&lt;=MOD($Y283,18),1,0)))</f>
      </c>
      <c r="AC283" t="e">
        <f>IF(OR(OR($A283="",$D283=""),I283=""),"",I283-(INT($Y283/18)+IF(INDEX('Tournament Setup'!$AG:$AG,MATCH($A283,'Tournament Setup'!$A:$A,0))&lt;=MOD($Y283,18),1,0)))</f>
      </c>
      <c r="AD283" t="e">
        <f>IF(OR(OR($A283="",$D283=""),J283=""),"",J283-(INT($Y283/18)+IF(INDEX('Tournament Setup'!$AH:$AH,MATCH($A283,'Tournament Setup'!$A:$A,0))&lt;=MOD($Y283,18),1,0)))</f>
      </c>
      <c r="AE283" t="e">
        <f>IF(OR(OR($A283="",$D283=""),K283=""),"",K283-(INT($Y283/18)+IF(INDEX('Tournament Setup'!$AI:$AI,MATCH($A283,'Tournament Setup'!$A:$A,0))&lt;=MOD($Y283,18),1,0)))</f>
      </c>
      <c r="AF283" t="e">
        <f>IF(OR(OR($A283="",$D283=""),L283=""),"",L283-(INT($Y283/18)+IF(INDEX('Tournament Setup'!$AJ:$AJ,MATCH($A283,'Tournament Setup'!$A:$A,0))&lt;=MOD($Y283,18),1,0)))</f>
      </c>
      <c r="AG283" t="e">
        <f>IF(OR(OR($A283="",$D283=""),M283=""),"",M283-(INT($Y283/18)+IF(INDEX('Tournament Setup'!$AK:$AK,MATCH($A283,'Tournament Setup'!$A:$A,0))&lt;=MOD($Y283,18),1,0)))</f>
      </c>
      <c r="AH283" t="e">
        <f>IF(OR(OR($A283="",$D283=""),N283=""),"",N283-(INT($Y283/18)+IF(INDEX('Tournament Setup'!$AL:$AL,MATCH($A283,'Tournament Setup'!$A:$A,0))&lt;=MOD($Y283,18),1,0)))</f>
      </c>
      <c r="AI283" t="e">
        <f>IF(OR(OR($A283="",$D283=""),O283=""),"",O283-(INT($Y283/18)+IF(INDEX('Tournament Setup'!$AM:$AM,MATCH($A283,'Tournament Setup'!$A:$A,0))&lt;=MOD($Y283,18),1,0)))</f>
      </c>
      <c r="AJ283" t="e">
        <f>IF(OR(OR($A283="",$D283=""),P283=""),"",P283-(INT($Y283/18)+IF(INDEX('Tournament Setup'!$AN:$AN,MATCH($A283,'Tournament Setup'!$A:$A,0))&lt;=MOD($Y283,18),1,0)))</f>
      </c>
      <c r="AK283" t="e">
        <f>IF(OR(OR($A283="",$D283=""),Q283=""),"",Q283-(INT($Y283/18)+IF(INDEX('Tournament Setup'!$AO:$AO,MATCH($A283,'Tournament Setup'!$A:$A,0))&lt;=MOD($Y283,18),1,0)))</f>
      </c>
      <c r="AL283" t="e">
        <f>IF(OR(OR($A283="",$D283=""),R283=""),"",R283-(INT($Y283/18)+IF(INDEX('Tournament Setup'!$AP:$AP,MATCH($A283,'Tournament Setup'!$A:$A,0))&lt;=MOD($Y283,18),1,0)))</f>
      </c>
      <c r="AM283" t="e">
        <f>IF(OR(OR($A283="",$D283=""),S283=""),"",S283-(INT($Y283/18)+IF(INDEX('Tournament Setup'!$AQ:$AQ,MATCH($A283,'Tournament Setup'!$A:$A,0))&lt;=MOD($Y283,18),1,0)))</f>
      </c>
      <c r="AN283" t="e">
        <f>IF(OR(OR($A283="",$D283=""),T283=""),"",T283-(INT($Y283/18)+IF(INDEX('Tournament Setup'!$AR:$AR,MATCH($A283,'Tournament Setup'!$A:$A,0))&lt;=MOD($Y283,18),1,0)))</f>
      </c>
      <c r="AO283" t="e">
        <f>IF(OR(OR($A283="",$D283=""),U283=""),"",U283-(INT($Y283/18)+IF(INDEX('Tournament Setup'!$AS:$AS,MATCH($A283,'Tournament Setup'!$A:$A,0))&lt;=MOD($Y283,18),1,0)))</f>
      </c>
      <c r="AP283" t="e">
        <f>IF(OR(OR($A283="",$D283=""),V283=""),"",V283-(INT($Y283/18)+IF(INDEX('Tournament Setup'!$AT:$AT,MATCH($A283,'Tournament Setup'!$A:$A,0))&lt;=MOD($Y283,18),1,0)))</f>
      </c>
      <c r="AQ283" t="e">
        <f>IF(OR(OR($A283="",$D283=""),W283=""),"",W283-(INT($Y283/18)+IF(INDEX('Tournament Setup'!$AU:$AU,MATCH($A283,'Tournament Setup'!$A:$A,0))&lt;=MOD($Y283,18),1,0)))</f>
      </c>
    </row>
    <row r="284">
      <c r="X284" t="e">
        <f>IF(OR($A284="",$D284=""),"",SUM(F284:W284))</f>
      </c>
      <c r="Y284" t="e">
        <f>IF(OR($A284="",$D284=""),"",IF(INDEX('Tournament Setup'!$F:$F,MATCH($A284,'Tournament Setup'!$A:$A,0))="Net",ROUND(($E284-_xlfn.MINIFS($E$2:$E$401,$A$2:$A$401,$A284,$B$2:$B$401,$B284))*INDEX('Tournament Setup'!$G:$G,MATCH($A284,'Tournament Setup'!$A:$A,0))/100,0),0))</f>
      </c>
      <c r="Z284" t="e">
        <f>IF(OR(OR($A284="",$D284=""),F284=""),"",F284-(INT($Y284/18)+IF(INDEX('Tournament Setup'!$AD:$AD,MATCH($A284,'Tournament Setup'!$A:$A,0))&lt;=MOD($Y284,18),1,0)))</f>
      </c>
      <c r="AA284" t="e">
        <f>IF(OR(OR($A284="",$D284=""),G284=""),"",G284-(INT($Y284/18)+IF(INDEX('Tournament Setup'!$AE:$AE,MATCH($A284,'Tournament Setup'!$A:$A,0))&lt;=MOD($Y284,18),1,0)))</f>
      </c>
      <c r="AB284" t="e">
        <f>IF(OR(OR($A284="",$D284=""),H284=""),"",H284-(INT($Y284/18)+IF(INDEX('Tournament Setup'!$AF:$AF,MATCH($A284,'Tournament Setup'!$A:$A,0))&lt;=MOD($Y284,18),1,0)))</f>
      </c>
      <c r="AC284" t="e">
        <f>IF(OR(OR($A284="",$D284=""),I284=""),"",I284-(INT($Y284/18)+IF(INDEX('Tournament Setup'!$AG:$AG,MATCH($A284,'Tournament Setup'!$A:$A,0))&lt;=MOD($Y284,18),1,0)))</f>
      </c>
      <c r="AD284" t="e">
        <f>IF(OR(OR($A284="",$D284=""),J284=""),"",J284-(INT($Y284/18)+IF(INDEX('Tournament Setup'!$AH:$AH,MATCH($A284,'Tournament Setup'!$A:$A,0))&lt;=MOD($Y284,18),1,0)))</f>
      </c>
      <c r="AE284" t="e">
        <f>IF(OR(OR($A284="",$D284=""),K284=""),"",K284-(INT($Y284/18)+IF(INDEX('Tournament Setup'!$AI:$AI,MATCH($A284,'Tournament Setup'!$A:$A,0))&lt;=MOD($Y284,18),1,0)))</f>
      </c>
      <c r="AF284" t="e">
        <f>IF(OR(OR($A284="",$D284=""),L284=""),"",L284-(INT($Y284/18)+IF(INDEX('Tournament Setup'!$AJ:$AJ,MATCH($A284,'Tournament Setup'!$A:$A,0))&lt;=MOD($Y284,18),1,0)))</f>
      </c>
      <c r="AG284" t="e">
        <f>IF(OR(OR($A284="",$D284=""),M284=""),"",M284-(INT($Y284/18)+IF(INDEX('Tournament Setup'!$AK:$AK,MATCH($A284,'Tournament Setup'!$A:$A,0))&lt;=MOD($Y284,18),1,0)))</f>
      </c>
      <c r="AH284" t="e">
        <f>IF(OR(OR($A284="",$D284=""),N284=""),"",N284-(INT($Y284/18)+IF(INDEX('Tournament Setup'!$AL:$AL,MATCH($A284,'Tournament Setup'!$A:$A,0))&lt;=MOD($Y284,18),1,0)))</f>
      </c>
      <c r="AI284" t="e">
        <f>IF(OR(OR($A284="",$D284=""),O284=""),"",O284-(INT($Y284/18)+IF(INDEX('Tournament Setup'!$AM:$AM,MATCH($A284,'Tournament Setup'!$A:$A,0))&lt;=MOD($Y284,18),1,0)))</f>
      </c>
      <c r="AJ284" t="e">
        <f>IF(OR(OR($A284="",$D284=""),P284=""),"",P284-(INT($Y284/18)+IF(INDEX('Tournament Setup'!$AN:$AN,MATCH($A284,'Tournament Setup'!$A:$A,0))&lt;=MOD($Y284,18),1,0)))</f>
      </c>
      <c r="AK284" t="e">
        <f>IF(OR(OR($A284="",$D284=""),Q284=""),"",Q284-(INT($Y284/18)+IF(INDEX('Tournament Setup'!$AO:$AO,MATCH($A284,'Tournament Setup'!$A:$A,0))&lt;=MOD($Y284,18),1,0)))</f>
      </c>
      <c r="AL284" t="e">
        <f>IF(OR(OR($A284="",$D284=""),R284=""),"",R284-(INT($Y284/18)+IF(INDEX('Tournament Setup'!$AP:$AP,MATCH($A284,'Tournament Setup'!$A:$A,0))&lt;=MOD($Y284,18),1,0)))</f>
      </c>
      <c r="AM284" t="e">
        <f>IF(OR(OR($A284="",$D284=""),S284=""),"",S284-(INT($Y284/18)+IF(INDEX('Tournament Setup'!$AQ:$AQ,MATCH($A284,'Tournament Setup'!$A:$A,0))&lt;=MOD($Y284,18),1,0)))</f>
      </c>
      <c r="AN284" t="e">
        <f>IF(OR(OR($A284="",$D284=""),T284=""),"",T284-(INT($Y284/18)+IF(INDEX('Tournament Setup'!$AR:$AR,MATCH($A284,'Tournament Setup'!$A:$A,0))&lt;=MOD($Y284,18),1,0)))</f>
      </c>
      <c r="AO284" t="e">
        <f>IF(OR(OR($A284="",$D284=""),U284=""),"",U284-(INT($Y284/18)+IF(INDEX('Tournament Setup'!$AS:$AS,MATCH($A284,'Tournament Setup'!$A:$A,0))&lt;=MOD($Y284,18),1,0)))</f>
      </c>
      <c r="AP284" t="e">
        <f>IF(OR(OR($A284="",$D284=""),V284=""),"",V284-(INT($Y284/18)+IF(INDEX('Tournament Setup'!$AT:$AT,MATCH($A284,'Tournament Setup'!$A:$A,0))&lt;=MOD($Y284,18),1,0)))</f>
      </c>
      <c r="AQ284" t="e">
        <f>IF(OR(OR($A284="",$D284=""),W284=""),"",W284-(INT($Y284/18)+IF(INDEX('Tournament Setup'!$AU:$AU,MATCH($A284,'Tournament Setup'!$A:$A,0))&lt;=MOD($Y284,18),1,0)))</f>
      </c>
    </row>
    <row r="285">
      <c r="X285" t="e">
        <f>IF(OR($A285="",$D285=""),"",SUM(F285:W285))</f>
      </c>
      <c r="Y285" t="e">
        <f>IF(OR($A285="",$D285=""),"",IF(INDEX('Tournament Setup'!$F:$F,MATCH($A285,'Tournament Setup'!$A:$A,0))="Net",ROUND(($E285-_xlfn.MINIFS($E$2:$E$401,$A$2:$A$401,$A285,$B$2:$B$401,$B285))*INDEX('Tournament Setup'!$G:$G,MATCH($A285,'Tournament Setup'!$A:$A,0))/100,0),0))</f>
      </c>
      <c r="Z285" t="e">
        <f>IF(OR(OR($A285="",$D285=""),F285=""),"",F285-(INT($Y285/18)+IF(INDEX('Tournament Setup'!$AD:$AD,MATCH($A285,'Tournament Setup'!$A:$A,0))&lt;=MOD($Y285,18),1,0)))</f>
      </c>
      <c r="AA285" t="e">
        <f>IF(OR(OR($A285="",$D285=""),G285=""),"",G285-(INT($Y285/18)+IF(INDEX('Tournament Setup'!$AE:$AE,MATCH($A285,'Tournament Setup'!$A:$A,0))&lt;=MOD($Y285,18),1,0)))</f>
      </c>
      <c r="AB285" t="e">
        <f>IF(OR(OR($A285="",$D285=""),H285=""),"",H285-(INT($Y285/18)+IF(INDEX('Tournament Setup'!$AF:$AF,MATCH($A285,'Tournament Setup'!$A:$A,0))&lt;=MOD($Y285,18),1,0)))</f>
      </c>
      <c r="AC285" t="e">
        <f>IF(OR(OR($A285="",$D285=""),I285=""),"",I285-(INT($Y285/18)+IF(INDEX('Tournament Setup'!$AG:$AG,MATCH($A285,'Tournament Setup'!$A:$A,0))&lt;=MOD($Y285,18),1,0)))</f>
      </c>
      <c r="AD285" t="e">
        <f>IF(OR(OR($A285="",$D285=""),J285=""),"",J285-(INT($Y285/18)+IF(INDEX('Tournament Setup'!$AH:$AH,MATCH($A285,'Tournament Setup'!$A:$A,0))&lt;=MOD($Y285,18),1,0)))</f>
      </c>
      <c r="AE285" t="e">
        <f>IF(OR(OR($A285="",$D285=""),K285=""),"",K285-(INT($Y285/18)+IF(INDEX('Tournament Setup'!$AI:$AI,MATCH($A285,'Tournament Setup'!$A:$A,0))&lt;=MOD($Y285,18),1,0)))</f>
      </c>
      <c r="AF285" t="e">
        <f>IF(OR(OR($A285="",$D285=""),L285=""),"",L285-(INT($Y285/18)+IF(INDEX('Tournament Setup'!$AJ:$AJ,MATCH($A285,'Tournament Setup'!$A:$A,0))&lt;=MOD($Y285,18),1,0)))</f>
      </c>
      <c r="AG285" t="e">
        <f>IF(OR(OR($A285="",$D285=""),M285=""),"",M285-(INT($Y285/18)+IF(INDEX('Tournament Setup'!$AK:$AK,MATCH($A285,'Tournament Setup'!$A:$A,0))&lt;=MOD($Y285,18),1,0)))</f>
      </c>
      <c r="AH285" t="e">
        <f>IF(OR(OR($A285="",$D285=""),N285=""),"",N285-(INT($Y285/18)+IF(INDEX('Tournament Setup'!$AL:$AL,MATCH($A285,'Tournament Setup'!$A:$A,0))&lt;=MOD($Y285,18),1,0)))</f>
      </c>
      <c r="AI285" t="e">
        <f>IF(OR(OR($A285="",$D285=""),O285=""),"",O285-(INT($Y285/18)+IF(INDEX('Tournament Setup'!$AM:$AM,MATCH($A285,'Tournament Setup'!$A:$A,0))&lt;=MOD($Y285,18),1,0)))</f>
      </c>
      <c r="AJ285" t="e">
        <f>IF(OR(OR($A285="",$D285=""),P285=""),"",P285-(INT($Y285/18)+IF(INDEX('Tournament Setup'!$AN:$AN,MATCH($A285,'Tournament Setup'!$A:$A,0))&lt;=MOD($Y285,18),1,0)))</f>
      </c>
      <c r="AK285" t="e">
        <f>IF(OR(OR($A285="",$D285=""),Q285=""),"",Q285-(INT($Y285/18)+IF(INDEX('Tournament Setup'!$AO:$AO,MATCH($A285,'Tournament Setup'!$A:$A,0))&lt;=MOD($Y285,18),1,0)))</f>
      </c>
      <c r="AL285" t="e">
        <f>IF(OR(OR($A285="",$D285=""),R285=""),"",R285-(INT($Y285/18)+IF(INDEX('Tournament Setup'!$AP:$AP,MATCH($A285,'Tournament Setup'!$A:$A,0))&lt;=MOD($Y285,18),1,0)))</f>
      </c>
      <c r="AM285" t="e">
        <f>IF(OR(OR($A285="",$D285=""),S285=""),"",S285-(INT($Y285/18)+IF(INDEX('Tournament Setup'!$AQ:$AQ,MATCH($A285,'Tournament Setup'!$A:$A,0))&lt;=MOD($Y285,18),1,0)))</f>
      </c>
      <c r="AN285" t="e">
        <f>IF(OR(OR($A285="",$D285=""),T285=""),"",T285-(INT($Y285/18)+IF(INDEX('Tournament Setup'!$AR:$AR,MATCH($A285,'Tournament Setup'!$A:$A,0))&lt;=MOD($Y285,18),1,0)))</f>
      </c>
      <c r="AO285" t="e">
        <f>IF(OR(OR($A285="",$D285=""),U285=""),"",U285-(INT($Y285/18)+IF(INDEX('Tournament Setup'!$AS:$AS,MATCH($A285,'Tournament Setup'!$A:$A,0))&lt;=MOD($Y285,18),1,0)))</f>
      </c>
      <c r="AP285" t="e">
        <f>IF(OR(OR($A285="",$D285=""),V285=""),"",V285-(INT($Y285/18)+IF(INDEX('Tournament Setup'!$AT:$AT,MATCH($A285,'Tournament Setup'!$A:$A,0))&lt;=MOD($Y285,18),1,0)))</f>
      </c>
      <c r="AQ285" t="e">
        <f>IF(OR(OR($A285="",$D285=""),W285=""),"",W285-(INT($Y285/18)+IF(INDEX('Tournament Setup'!$AU:$AU,MATCH($A285,'Tournament Setup'!$A:$A,0))&lt;=MOD($Y285,18),1,0)))</f>
      </c>
    </row>
    <row r="286">
      <c r="X286" t="e">
        <f>IF(OR($A286="",$D286=""),"",SUM(F286:W286))</f>
      </c>
      <c r="Y286" t="e">
        <f>IF(OR($A286="",$D286=""),"",IF(INDEX('Tournament Setup'!$F:$F,MATCH($A286,'Tournament Setup'!$A:$A,0))="Net",ROUND(($E286-_xlfn.MINIFS($E$2:$E$401,$A$2:$A$401,$A286,$B$2:$B$401,$B286))*INDEX('Tournament Setup'!$G:$G,MATCH($A286,'Tournament Setup'!$A:$A,0))/100,0),0))</f>
      </c>
      <c r="Z286" t="e">
        <f>IF(OR(OR($A286="",$D286=""),F286=""),"",F286-(INT($Y286/18)+IF(INDEX('Tournament Setup'!$AD:$AD,MATCH($A286,'Tournament Setup'!$A:$A,0))&lt;=MOD($Y286,18),1,0)))</f>
      </c>
      <c r="AA286" t="e">
        <f>IF(OR(OR($A286="",$D286=""),G286=""),"",G286-(INT($Y286/18)+IF(INDEX('Tournament Setup'!$AE:$AE,MATCH($A286,'Tournament Setup'!$A:$A,0))&lt;=MOD($Y286,18),1,0)))</f>
      </c>
      <c r="AB286" t="e">
        <f>IF(OR(OR($A286="",$D286=""),H286=""),"",H286-(INT($Y286/18)+IF(INDEX('Tournament Setup'!$AF:$AF,MATCH($A286,'Tournament Setup'!$A:$A,0))&lt;=MOD($Y286,18),1,0)))</f>
      </c>
      <c r="AC286" t="e">
        <f>IF(OR(OR($A286="",$D286=""),I286=""),"",I286-(INT($Y286/18)+IF(INDEX('Tournament Setup'!$AG:$AG,MATCH($A286,'Tournament Setup'!$A:$A,0))&lt;=MOD($Y286,18),1,0)))</f>
      </c>
      <c r="AD286" t="e">
        <f>IF(OR(OR($A286="",$D286=""),J286=""),"",J286-(INT($Y286/18)+IF(INDEX('Tournament Setup'!$AH:$AH,MATCH($A286,'Tournament Setup'!$A:$A,0))&lt;=MOD($Y286,18),1,0)))</f>
      </c>
      <c r="AE286" t="e">
        <f>IF(OR(OR($A286="",$D286=""),K286=""),"",K286-(INT($Y286/18)+IF(INDEX('Tournament Setup'!$AI:$AI,MATCH($A286,'Tournament Setup'!$A:$A,0))&lt;=MOD($Y286,18),1,0)))</f>
      </c>
      <c r="AF286" t="e">
        <f>IF(OR(OR($A286="",$D286=""),L286=""),"",L286-(INT($Y286/18)+IF(INDEX('Tournament Setup'!$AJ:$AJ,MATCH($A286,'Tournament Setup'!$A:$A,0))&lt;=MOD($Y286,18),1,0)))</f>
      </c>
      <c r="AG286" t="e">
        <f>IF(OR(OR($A286="",$D286=""),M286=""),"",M286-(INT($Y286/18)+IF(INDEX('Tournament Setup'!$AK:$AK,MATCH($A286,'Tournament Setup'!$A:$A,0))&lt;=MOD($Y286,18),1,0)))</f>
      </c>
      <c r="AH286" t="e">
        <f>IF(OR(OR($A286="",$D286=""),N286=""),"",N286-(INT($Y286/18)+IF(INDEX('Tournament Setup'!$AL:$AL,MATCH($A286,'Tournament Setup'!$A:$A,0))&lt;=MOD($Y286,18),1,0)))</f>
      </c>
      <c r="AI286" t="e">
        <f>IF(OR(OR($A286="",$D286=""),O286=""),"",O286-(INT($Y286/18)+IF(INDEX('Tournament Setup'!$AM:$AM,MATCH($A286,'Tournament Setup'!$A:$A,0))&lt;=MOD($Y286,18),1,0)))</f>
      </c>
      <c r="AJ286" t="e">
        <f>IF(OR(OR($A286="",$D286=""),P286=""),"",P286-(INT($Y286/18)+IF(INDEX('Tournament Setup'!$AN:$AN,MATCH($A286,'Tournament Setup'!$A:$A,0))&lt;=MOD($Y286,18),1,0)))</f>
      </c>
      <c r="AK286" t="e">
        <f>IF(OR(OR($A286="",$D286=""),Q286=""),"",Q286-(INT($Y286/18)+IF(INDEX('Tournament Setup'!$AO:$AO,MATCH($A286,'Tournament Setup'!$A:$A,0))&lt;=MOD($Y286,18),1,0)))</f>
      </c>
      <c r="AL286" t="e">
        <f>IF(OR(OR($A286="",$D286=""),R286=""),"",R286-(INT($Y286/18)+IF(INDEX('Tournament Setup'!$AP:$AP,MATCH($A286,'Tournament Setup'!$A:$A,0))&lt;=MOD($Y286,18),1,0)))</f>
      </c>
      <c r="AM286" t="e">
        <f>IF(OR(OR($A286="",$D286=""),S286=""),"",S286-(INT($Y286/18)+IF(INDEX('Tournament Setup'!$AQ:$AQ,MATCH($A286,'Tournament Setup'!$A:$A,0))&lt;=MOD($Y286,18),1,0)))</f>
      </c>
      <c r="AN286" t="e">
        <f>IF(OR(OR($A286="",$D286=""),T286=""),"",T286-(INT($Y286/18)+IF(INDEX('Tournament Setup'!$AR:$AR,MATCH($A286,'Tournament Setup'!$A:$A,0))&lt;=MOD($Y286,18),1,0)))</f>
      </c>
      <c r="AO286" t="e">
        <f>IF(OR(OR($A286="",$D286=""),U286=""),"",U286-(INT($Y286/18)+IF(INDEX('Tournament Setup'!$AS:$AS,MATCH($A286,'Tournament Setup'!$A:$A,0))&lt;=MOD($Y286,18),1,0)))</f>
      </c>
      <c r="AP286" t="e">
        <f>IF(OR(OR($A286="",$D286=""),V286=""),"",V286-(INT($Y286/18)+IF(INDEX('Tournament Setup'!$AT:$AT,MATCH($A286,'Tournament Setup'!$A:$A,0))&lt;=MOD($Y286,18),1,0)))</f>
      </c>
      <c r="AQ286" t="e">
        <f>IF(OR(OR($A286="",$D286=""),W286=""),"",W286-(INT($Y286/18)+IF(INDEX('Tournament Setup'!$AU:$AU,MATCH($A286,'Tournament Setup'!$A:$A,0))&lt;=MOD($Y286,18),1,0)))</f>
      </c>
    </row>
    <row r="287">
      <c r="X287" t="e">
        <f>IF(OR($A287="",$D287=""),"",SUM(F287:W287))</f>
      </c>
      <c r="Y287" t="e">
        <f>IF(OR($A287="",$D287=""),"",IF(INDEX('Tournament Setup'!$F:$F,MATCH($A287,'Tournament Setup'!$A:$A,0))="Net",ROUND(($E287-_xlfn.MINIFS($E$2:$E$401,$A$2:$A$401,$A287,$B$2:$B$401,$B287))*INDEX('Tournament Setup'!$G:$G,MATCH($A287,'Tournament Setup'!$A:$A,0))/100,0),0))</f>
      </c>
      <c r="Z287" t="e">
        <f>IF(OR(OR($A287="",$D287=""),F287=""),"",F287-(INT($Y287/18)+IF(INDEX('Tournament Setup'!$AD:$AD,MATCH($A287,'Tournament Setup'!$A:$A,0))&lt;=MOD($Y287,18),1,0)))</f>
      </c>
      <c r="AA287" t="e">
        <f>IF(OR(OR($A287="",$D287=""),G287=""),"",G287-(INT($Y287/18)+IF(INDEX('Tournament Setup'!$AE:$AE,MATCH($A287,'Tournament Setup'!$A:$A,0))&lt;=MOD($Y287,18),1,0)))</f>
      </c>
      <c r="AB287" t="e">
        <f>IF(OR(OR($A287="",$D287=""),H287=""),"",H287-(INT($Y287/18)+IF(INDEX('Tournament Setup'!$AF:$AF,MATCH($A287,'Tournament Setup'!$A:$A,0))&lt;=MOD($Y287,18),1,0)))</f>
      </c>
      <c r="AC287" t="e">
        <f>IF(OR(OR($A287="",$D287=""),I287=""),"",I287-(INT($Y287/18)+IF(INDEX('Tournament Setup'!$AG:$AG,MATCH($A287,'Tournament Setup'!$A:$A,0))&lt;=MOD($Y287,18),1,0)))</f>
      </c>
      <c r="AD287" t="e">
        <f>IF(OR(OR($A287="",$D287=""),J287=""),"",J287-(INT($Y287/18)+IF(INDEX('Tournament Setup'!$AH:$AH,MATCH($A287,'Tournament Setup'!$A:$A,0))&lt;=MOD($Y287,18),1,0)))</f>
      </c>
      <c r="AE287" t="e">
        <f>IF(OR(OR($A287="",$D287=""),K287=""),"",K287-(INT($Y287/18)+IF(INDEX('Tournament Setup'!$AI:$AI,MATCH($A287,'Tournament Setup'!$A:$A,0))&lt;=MOD($Y287,18),1,0)))</f>
      </c>
      <c r="AF287" t="e">
        <f>IF(OR(OR($A287="",$D287=""),L287=""),"",L287-(INT($Y287/18)+IF(INDEX('Tournament Setup'!$AJ:$AJ,MATCH($A287,'Tournament Setup'!$A:$A,0))&lt;=MOD($Y287,18),1,0)))</f>
      </c>
      <c r="AG287" t="e">
        <f>IF(OR(OR($A287="",$D287=""),M287=""),"",M287-(INT($Y287/18)+IF(INDEX('Tournament Setup'!$AK:$AK,MATCH($A287,'Tournament Setup'!$A:$A,0))&lt;=MOD($Y287,18),1,0)))</f>
      </c>
      <c r="AH287" t="e">
        <f>IF(OR(OR($A287="",$D287=""),N287=""),"",N287-(INT($Y287/18)+IF(INDEX('Tournament Setup'!$AL:$AL,MATCH($A287,'Tournament Setup'!$A:$A,0))&lt;=MOD($Y287,18),1,0)))</f>
      </c>
      <c r="AI287" t="e">
        <f>IF(OR(OR($A287="",$D287=""),O287=""),"",O287-(INT($Y287/18)+IF(INDEX('Tournament Setup'!$AM:$AM,MATCH($A287,'Tournament Setup'!$A:$A,0))&lt;=MOD($Y287,18),1,0)))</f>
      </c>
      <c r="AJ287" t="e">
        <f>IF(OR(OR($A287="",$D287=""),P287=""),"",P287-(INT($Y287/18)+IF(INDEX('Tournament Setup'!$AN:$AN,MATCH($A287,'Tournament Setup'!$A:$A,0))&lt;=MOD($Y287,18),1,0)))</f>
      </c>
      <c r="AK287" t="e">
        <f>IF(OR(OR($A287="",$D287=""),Q287=""),"",Q287-(INT($Y287/18)+IF(INDEX('Tournament Setup'!$AO:$AO,MATCH($A287,'Tournament Setup'!$A:$A,0))&lt;=MOD($Y287,18),1,0)))</f>
      </c>
      <c r="AL287" t="e">
        <f>IF(OR(OR($A287="",$D287=""),R287=""),"",R287-(INT($Y287/18)+IF(INDEX('Tournament Setup'!$AP:$AP,MATCH($A287,'Tournament Setup'!$A:$A,0))&lt;=MOD($Y287,18),1,0)))</f>
      </c>
      <c r="AM287" t="e">
        <f>IF(OR(OR($A287="",$D287=""),S287=""),"",S287-(INT($Y287/18)+IF(INDEX('Tournament Setup'!$AQ:$AQ,MATCH($A287,'Tournament Setup'!$A:$A,0))&lt;=MOD($Y287,18),1,0)))</f>
      </c>
      <c r="AN287" t="e">
        <f>IF(OR(OR($A287="",$D287=""),T287=""),"",T287-(INT($Y287/18)+IF(INDEX('Tournament Setup'!$AR:$AR,MATCH($A287,'Tournament Setup'!$A:$A,0))&lt;=MOD($Y287,18),1,0)))</f>
      </c>
      <c r="AO287" t="e">
        <f>IF(OR(OR($A287="",$D287=""),U287=""),"",U287-(INT($Y287/18)+IF(INDEX('Tournament Setup'!$AS:$AS,MATCH($A287,'Tournament Setup'!$A:$A,0))&lt;=MOD($Y287,18),1,0)))</f>
      </c>
      <c r="AP287" t="e">
        <f>IF(OR(OR($A287="",$D287=""),V287=""),"",V287-(INT($Y287/18)+IF(INDEX('Tournament Setup'!$AT:$AT,MATCH($A287,'Tournament Setup'!$A:$A,0))&lt;=MOD($Y287,18),1,0)))</f>
      </c>
      <c r="AQ287" t="e">
        <f>IF(OR(OR($A287="",$D287=""),W287=""),"",W287-(INT($Y287/18)+IF(INDEX('Tournament Setup'!$AU:$AU,MATCH($A287,'Tournament Setup'!$A:$A,0))&lt;=MOD($Y287,18),1,0)))</f>
      </c>
    </row>
    <row r="288">
      <c r="X288" t="e">
        <f>IF(OR($A288="",$D288=""),"",SUM(F288:W288))</f>
      </c>
      <c r="Y288" t="e">
        <f>IF(OR($A288="",$D288=""),"",IF(INDEX('Tournament Setup'!$F:$F,MATCH($A288,'Tournament Setup'!$A:$A,0))="Net",ROUND(($E288-_xlfn.MINIFS($E$2:$E$401,$A$2:$A$401,$A288,$B$2:$B$401,$B288))*INDEX('Tournament Setup'!$G:$G,MATCH($A288,'Tournament Setup'!$A:$A,0))/100,0),0))</f>
      </c>
      <c r="Z288" t="e">
        <f>IF(OR(OR($A288="",$D288=""),F288=""),"",F288-(INT($Y288/18)+IF(INDEX('Tournament Setup'!$AD:$AD,MATCH($A288,'Tournament Setup'!$A:$A,0))&lt;=MOD($Y288,18),1,0)))</f>
      </c>
      <c r="AA288" t="e">
        <f>IF(OR(OR($A288="",$D288=""),G288=""),"",G288-(INT($Y288/18)+IF(INDEX('Tournament Setup'!$AE:$AE,MATCH($A288,'Tournament Setup'!$A:$A,0))&lt;=MOD($Y288,18),1,0)))</f>
      </c>
      <c r="AB288" t="e">
        <f>IF(OR(OR($A288="",$D288=""),H288=""),"",H288-(INT($Y288/18)+IF(INDEX('Tournament Setup'!$AF:$AF,MATCH($A288,'Tournament Setup'!$A:$A,0))&lt;=MOD($Y288,18),1,0)))</f>
      </c>
      <c r="AC288" t="e">
        <f>IF(OR(OR($A288="",$D288=""),I288=""),"",I288-(INT($Y288/18)+IF(INDEX('Tournament Setup'!$AG:$AG,MATCH($A288,'Tournament Setup'!$A:$A,0))&lt;=MOD($Y288,18),1,0)))</f>
      </c>
      <c r="AD288" t="e">
        <f>IF(OR(OR($A288="",$D288=""),J288=""),"",J288-(INT($Y288/18)+IF(INDEX('Tournament Setup'!$AH:$AH,MATCH($A288,'Tournament Setup'!$A:$A,0))&lt;=MOD($Y288,18),1,0)))</f>
      </c>
      <c r="AE288" t="e">
        <f>IF(OR(OR($A288="",$D288=""),K288=""),"",K288-(INT($Y288/18)+IF(INDEX('Tournament Setup'!$AI:$AI,MATCH($A288,'Tournament Setup'!$A:$A,0))&lt;=MOD($Y288,18),1,0)))</f>
      </c>
      <c r="AF288" t="e">
        <f>IF(OR(OR($A288="",$D288=""),L288=""),"",L288-(INT($Y288/18)+IF(INDEX('Tournament Setup'!$AJ:$AJ,MATCH($A288,'Tournament Setup'!$A:$A,0))&lt;=MOD($Y288,18),1,0)))</f>
      </c>
      <c r="AG288" t="e">
        <f>IF(OR(OR($A288="",$D288=""),M288=""),"",M288-(INT($Y288/18)+IF(INDEX('Tournament Setup'!$AK:$AK,MATCH($A288,'Tournament Setup'!$A:$A,0))&lt;=MOD($Y288,18),1,0)))</f>
      </c>
      <c r="AH288" t="e">
        <f>IF(OR(OR($A288="",$D288=""),N288=""),"",N288-(INT($Y288/18)+IF(INDEX('Tournament Setup'!$AL:$AL,MATCH($A288,'Tournament Setup'!$A:$A,0))&lt;=MOD($Y288,18),1,0)))</f>
      </c>
      <c r="AI288" t="e">
        <f>IF(OR(OR($A288="",$D288=""),O288=""),"",O288-(INT($Y288/18)+IF(INDEX('Tournament Setup'!$AM:$AM,MATCH($A288,'Tournament Setup'!$A:$A,0))&lt;=MOD($Y288,18),1,0)))</f>
      </c>
      <c r="AJ288" t="e">
        <f>IF(OR(OR($A288="",$D288=""),P288=""),"",P288-(INT($Y288/18)+IF(INDEX('Tournament Setup'!$AN:$AN,MATCH($A288,'Tournament Setup'!$A:$A,0))&lt;=MOD($Y288,18),1,0)))</f>
      </c>
      <c r="AK288" t="e">
        <f>IF(OR(OR($A288="",$D288=""),Q288=""),"",Q288-(INT($Y288/18)+IF(INDEX('Tournament Setup'!$AO:$AO,MATCH($A288,'Tournament Setup'!$A:$A,0))&lt;=MOD($Y288,18),1,0)))</f>
      </c>
      <c r="AL288" t="e">
        <f>IF(OR(OR($A288="",$D288=""),R288=""),"",R288-(INT($Y288/18)+IF(INDEX('Tournament Setup'!$AP:$AP,MATCH($A288,'Tournament Setup'!$A:$A,0))&lt;=MOD($Y288,18),1,0)))</f>
      </c>
      <c r="AM288" t="e">
        <f>IF(OR(OR($A288="",$D288=""),S288=""),"",S288-(INT($Y288/18)+IF(INDEX('Tournament Setup'!$AQ:$AQ,MATCH($A288,'Tournament Setup'!$A:$A,0))&lt;=MOD($Y288,18),1,0)))</f>
      </c>
      <c r="AN288" t="e">
        <f>IF(OR(OR($A288="",$D288=""),T288=""),"",T288-(INT($Y288/18)+IF(INDEX('Tournament Setup'!$AR:$AR,MATCH($A288,'Tournament Setup'!$A:$A,0))&lt;=MOD($Y288,18),1,0)))</f>
      </c>
      <c r="AO288" t="e">
        <f>IF(OR(OR($A288="",$D288=""),U288=""),"",U288-(INT($Y288/18)+IF(INDEX('Tournament Setup'!$AS:$AS,MATCH($A288,'Tournament Setup'!$A:$A,0))&lt;=MOD($Y288,18),1,0)))</f>
      </c>
      <c r="AP288" t="e">
        <f>IF(OR(OR($A288="",$D288=""),V288=""),"",V288-(INT($Y288/18)+IF(INDEX('Tournament Setup'!$AT:$AT,MATCH($A288,'Tournament Setup'!$A:$A,0))&lt;=MOD($Y288,18),1,0)))</f>
      </c>
      <c r="AQ288" t="e">
        <f>IF(OR(OR($A288="",$D288=""),W288=""),"",W288-(INT($Y288/18)+IF(INDEX('Tournament Setup'!$AU:$AU,MATCH($A288,'Tournament Setup'!$A:$A,0))&lt;=MOD($Y288,18),1,0)))</f>
      </c>
    </row>
    <row r="289">
      <c r="X289" t="e">
        <f>IF(OR($A289="",$D289=""),"",SUM(F289:W289))</f>
      </c>
      <c r="Y289" t="e">
        <f>IF(OR($A289="",$D289=""),"",IF(INDEX('Tournament Setup'!$F:$F,MATCH($A289,'Tournament Setup'!$A:$A,0))="Net",ROUND(($E289-_xlfn.MINIFS($E$2:$E$401,$A$2:$A$401,$A289,$B$2:$B$401,$B289))*INDEX('Tournament Setup'!$G:$G,MATCH($A289,'Tournament Setup'!$A:$A,0))/100,0),0))</f>
      </c>
      <c r="Z289" t="e">
        <f>IF(OR(OR($A289="",$D289=""),F289=""),"",F289-(INT($Y289/18)+IF(INDEX('Tournament Setup'!$AD:$AD,MATCH($A289,'Tournament Setup'!$A:$A,0))&lt;=MOD($Y289,18),1,0)))</f>
      </c>
      <c r="AA289" t="e">
        <f>IF(OR(OR($A289="",$D289=""),G289=""),"",G289-(INT($Y289/18)+IF(INDEX('Tournament Setup'!$AE:$AE,MATCH($A289,'Tournament Setup'!$A:$A,0))&lt;=MOD($Y289,18),1,0)))</f>
      </c>
      <c r="AB289" t="e">
        <f>IF(OR(OR($A289="",$D289=""),H289=""),"",H289-(INT($Y289/18)+IF(INDEX('Tournament Setup'!$AF:$AF,MATCH($A289,'Tournament Setup'!$A:$A,0))&lt;=MOD($Y289,18),1,0)))</f>
      </c>
      <c r="AC289" t="e">
        <f>IF(OR(OR($A289="",$D289=""),I289=""),"",I289-(INT($Y289/18)+IF(INDEX('Tournament Setup'!$AG:$AG,MATCH($A289,'Tournament Setup'!$A:$A,0))&lt;=MOD($Y289,18),1,0)))</f>
      </c>
      <c r="AD289" t="e">
        <f>IF(OR(OR($A289="",$D289=""),J289=""),"",J289-(INT($Y289/18)+IF(INDEX('Tournament Setup'!$AH:$AH,MATCH($A289,'Tournament Setup'!$A:$A,0))&lt;=MOD($Y289,18),1,0)))</f>
      </c>
      <c r="AE289" t="e">
        <f>IF(OR(OR($A289="",$D289=""),K289=""),"",K289-(INT($Y289/18)+IF(INDEX('Tournament Setup'!$AI:$AI,MATCH($A289,'Tournament Setup'!$A:$A,0))&lt;=MOD($Y289,18),1,0)))</f>
      </c>
      <c r="AF289" t="e">
        <f>IF(OR(OR($A289="",$D289=""),L289=""),"",L289-(INT($Y289/18)+IF(INDEX('Tournament Setup'!$AJ:$AJ,MATCH($A289,'Tournament Setup'!$A:$A,0))&lt;=MOD($Y289,18),1,0)))</f>
      </c>
      <c r="AG289" t="e">
        <f>IF(OR(OR($A289="",$D289=""),M289=""),"",M289-(INT($Y289/18)+IF(INDEX('Tournament Setup'!$AK:$AK,MATCH($A289,'Tournament Setup'!$A:$A,0))&lt;=MOD($Y289,18),1,0)))</f>
      </c>
      <c r="AH289" t="e">
        <f>IF(OR(OR($A289="",$D289=""),N289=""),"",N289-(INT($Y289/18)+IF(INDEX('Tournament Setup'!$AL:$AL,MATCH($A289,'Tournament Setup'!$A:$A,0))&lt;=MOD($Y289,18),1,0)))</f>
      </c>
      <c r="AI289" t="e">
        <f>IF(OR(OR($A289="",$D289=""),O289=""),"",O289-(INT($Y289/18)+IF(INDEX('Tournament Setup'!$AM:$AM,MATCH($A289,'Tournament Setup'!$A:$A,0))&lt;=MOD($Y289,18),1,0)))</f>
      </c>
      <c r="AJ289" t="e">
        <f>IF(OR(OR($A289="",$D289=""),P289=""),"",P289-(INT($Y289/18)+IF(INDEX('Tournament Setup'!$AN:$AN,MATCH($A289,'Tournament Setup'!$A:$A,0))&lt;=MOD($Y289,18),1,0)))</f>
      </c>
      <c r="AK289" t="e">
        <f>IF(OR(OR($A289="",$D289=""),Q289=""),"",Q289-(INT($Y289/18)+IF(INDEX('Tournament Setup'!$AO:$AO,MATCH($A289,'Tournament Setup'!$A:$A,0))&lt;=MOD($Y289,18),1,0)))</f>
      </c>
      <c r="AL289" t="e">
        <f>IF(OR(OR($A289="",$D289=""),R289=""),"",R289-(INT($Y289/18)+IF(INDEX('Tournament Setup'!$AP:$AP,MATCH($A289,'Tournament Setup'!$A:$A,0))&lt;=MOD($Y289,18),1,0)))</f>
      </c>
      <c r="AM289" t="e">
        <f>IF(OR(OR($A289="",$D289=""),S289=""),"",S289-(INT($Y289/18)+IF(INDEX('Tournament Setup'!$AQ:$AQ,MATCH($A289,'Tournament Setup'!$A:$A,0))&lt;=MOD($Y289,18),1,0)))</f>
      </c>
      <c r="AN289" t="e">
        <f>IF(OR(OR($A289="",$D289=""),T289=""),"",T289-(INT($Y289/18)+IF(INDEX('Tournament Setup'!$AR:$AR,MATCH($A289,'Tournament Setup'!$A:$A,0))&lt;=MOD($Y289,18),1,0)))</f>
      </c>
      <c r="AO289" t="e">
        <f>IF(OR(OR($A289="",$D289=""),U289=""),"",U289-(INT($Y289/18)+IF(INDEX('Tournament Setup'!$AS:$AS,MATCH($A289,'Tournament Setup'!$A:$A,0))&lt;=MOD($Y289,18),1,0)))</f>
      </c>
      <c r="AP289" t="e">
        <f>IF(OR(OR($A289="",$D289=""),V289=""),"",V289-(INT($Y289/18)+IF(INDEX('Tournament Setup'!$AT:$AT,MATCH($A289,'Tournament Setup'!$A:$A,0))&lt;=MOD($Y289,18),1,0)))</f>
      </c>
      <c r="AQ289" t="e">
        <f>IF(OR(OR($A289="",$D289=""),W289=""),"",W289-(INT($Y289/18)+IF(INDEX('Tournament Setup'!$AU:$AU,MATCH($A289,'Tournament Setup'!$A:$A,0))&lt;=MOD($Y289,18),1,0)))</f>
      </c>
    </row>
    <row r="290">
      <c r="X290" t="e">
        <f>IF(OR($A290="",$D290=""),"",SUM(F290:W290))</f>
      </c>
      <c r="Y290" t="e">
        <f>IF(OR($A290="",$D290=""),"",IF(INDEX('Tournament Setup'!$F:$F,MATCH($A290,'Tournament Setup'!$A:$A,0))="Net",ROUND(($E290-_xlfn.MINIFS($E$2:$E$401,$A$2:$A$401,$A290,$B$2:$B$401,$B290))*INDEX('Tournament Setup'!$G:$G,MATCH($A290,'Tournament Setup'!$A:$A,0))/100,0),0))</f>
      </c>
      <c r="Z290" t="e">
        <f>IF(OR(OR($A290="",$D290=""),F290=""),"",F290-(INT($Y290/18)+IF(INDEX('Tournament Setup'!$AD:$AD,MATCH($A290,'Tournament Setup'!$A:$A,0))&lt;=MOD($Y290,18),1,0)))</f>
      </c>
      <c r="AA290" t="e">
        <f>IF(OR(OR($A290="",$D290=""),G290=""),"",G290-(INT($Y290/18)+IF(INDEX('Tournament Setup'!$AE:$AE,MATCH($A290,'Tournament Setup'!$A:$A,0))&lt;=MOD($Y290,18),1,0)))</f>
      </c>
      <c r="AB290" t="e">
        <f>IF(OR(OR($A290="",$D290=""),H290=""),"",H290-(INT($Y290/18)+IF(INDEX('Tournament Setup'!$AF:$AF,MATCH($A290,'Tournament Setup'!$A:$A,0))&lt;=MOD($Y290,18),1,0)))</f>
      </c>
      <c r="AC290" t="e">
        <f>IF(OR(OR($A290="",$D290=""),I290=""),"",I290-(INT($Y290/18)+IF(INDEX('Tournament Setup'!$AG:$AG,MATCH($A290,'Tournament Setup'!$A:$A,0))&lt;=MOD($Y290,18),1,0)))</f>
      </c>
      <c r="AD290" t="e">
        <f>IF(OR(OR($A290="",$D290=""),J290=""),"",J290-(INT($Y290/18)+IF(INDEX('Tournament Setup'!$AH:$AH,MATCH($A290,'Tournament Setup'!$A:$A,0))&lt;=MOD($Y290,18),1,0)))</f>
      </c>
      <c r="AE290" t="e">
        <f>IF(OR(OR($A290="",$D290=""),K290=""),"",K290-(INT($Y290/18)+IF(INDEX('Tournament Setup'!$AI:$AI,MATCH($A290,'Tournament Setup'!$A:$A,0))&lt;=MOD($Y290,18),1,0)))</f>
      </c>
      <c r="AF290" t="e">
        <f>IF(OR(OR($A290="",$D290=""),L290=""),"",L290-(INT($Y290/18)+IF(INDEX('Tournament Setup'!$AJ:$AJ,MATCH($A290,'Tournament Setup'!$A:$A,0))&lt;=MOD($Y290,18),1,0)))</f>
      </c>
      <c r="AG290" t="e">
        <f>IF(OR(OR($A290="",$D290=""),M290=""),"",M290-(INT($Y290/18)+IF(INDEX('Tournament Setup'!$AK:$AK,MATCH($A290,'Tournament Setup'!$A:$A,0))&lt;=MOD($Y290,18),1,0)))</f>
      </c>
      <c r="AH290" t="e">
        <f>IF(OR(OR($A290="",$D290=""),N290=""),"",N290-(INT($Y290/18)+IF(INDEX('Tournament Setup'!$AL:$AL,MATCH($A290,'Tournament Setup'!$A:$A,0))&lt;=MOD($Y290,18),1,0)))</f>
      </c>
      <c r="AI290" t="e">
        <f>IF(OR(OR($A290="",$D290=""),O290=""),"",O290-(INT($Y290/18)+IF(INDEX('Tournament Setup'!$AM:$AM,MATCH($A290,'Tournament Setup'!$A:$A,0))&lt;=MOD($Y290,18),1,0)))</f>
      </c>
      <c r="AJ290" t="e">
        <f>IF(OR(OR($A290="",$D290=""),P290=""),"",P290-(INT($Y290/18)+IF(INDEX('Tournament Setup'!$AN:$AN,MATCH($A290,'Tournament Setup'!$A:$A,0))&lt;=MOD($Y290,18),1,0)))</f>
      </c>
      <c r="AK290" t="e">
        <f>IF(OR(OR($A290="",$D290=""),Q290=""),"",Q290-(INT($Y290/18)+IF(INDEX('Tournament Setup'!$AO:$AO,MATCH($A290,'Tournament Setup'!$A:$A,0))&lt;=MOD($Y290,18),1,0)))</f>
      </c>
      <c r="AL290" t="e">
        <f>IF(OR(OR($A290="",$D290=""),R290=""),"",R290-(INT($Y290/18)+IF(INDEX('Tournament Setup'!$AP:$AP,MATCH($A290,'Tournament Setup'!$A:$A,0))&lt;=MOD($Y290,18),1,0)))</f>
      </c>
      <c r="AM290" t="e">
        <f>IF(OR(OR($A290="",$D290=""),S290=""),"",S290-(INT($Y290/18)+IF(INDEX('Tournament Setup'!$AQ:$AQ,MATCH($A290,'Tournament Setup'!$A:$A,0))&lt;=MOD($Y290,18),1,0)))</f>
      </c>
      <c r="AN290" t="e">
        <f>IF(OR(OR($A290="",$D290=""),T290=""),"",T290-(INT($Y290/18)+IF(INDEX('Tournament Setup'!$AR:$AR,MATCH($A290,'Tournament Setup'!$A:$A,0))&lt;=MOD($Y290,18),1,0)))</f>
      </c>
      <c r="AO290" t="e">
        <f>IF(OR(OR($A290="",$D290=""),U290=""),"",U290-(INT($Y290/18)+IF(INDEX('Tournament Setup'!$AS:$AS,MATCH($A290,'Tournament Setup'!$A:$A,0))&lt;=MOD($Y290,18),1,0)))</f>
      </c>
      <c r="AP290" t="e">
        <f>IF(OR(OR($A290="",$D290=""),V290=""),"",V290-(INT($Y290/18)+IF(INDEX('Tournament Setup'!$AT:$AT,MATCH($A290,'Tournament Setup'!$A:$A,0))&lt;=MOD($Y290,18),1,0)))</f>
      </c>
      <c r="AQ290" t="e">
        <f>IF(OR(OR($A290="",$D290=""),W290=""),"",W290-(INT($Y290/18)+IF(INDEX('Tournament Setup'!$AU:$AU,MATCH($A290,'Tournament Setup'!$A:$A,0))&lt;=MOD($Y290,18),1,0)))</f>
      </c>
    </row>
    <row r="291">
      <c r="X291" t="e">
        <f>IF(OR($A291="",$D291=""),"",SUM(F291:W291))</f>
      </c>
      <c r="Y291" t="e">
        <f>IF(OR($A291="",$D291=""),"",IF(INDEX('Tournament Setup'!$F:$F,MATCH($A291,'Tournament Setup'!$A:$A,0))="Net",ROUND(($E291-_xlfn.MINIFS($E$2:$E$401,$A$2:$A$401,$A291,$B$2:$B$401,$B291))*INDEX('Tournament Setup'!$G:$G,MATCH($A291,'Tournament Setup'!$A:$A,0))/100,0),0))</f>
      </c>
      <c r="Z291" t="e">
        <f>IF(OR(OR($A291="",$D291=""),F291=""),"",F291-(INT($Y291/18)+IF(INDEX('Tournament Setup'!$AD:$AD,MATCH($A291,'Tournament Setup'!$A:$A,0))&lt;=MOD($Y291,18),1,0)))</f>
      </c>
      <c r="AA291" t="e">
        <f>IF(OR(OR($A291="",$D291=""),G291=""),"",G291-(INT($Y291/18)+IF(INDEX('Tournament Setup'!$AE:$AE,MATCH($A291,'Tournament Setup'!$A:$A,0))&lt;=MOD($Y291,18),1,0)))</f>
      </c>
      <c r="AB291" t="e">
        <f>IF(OR(OR($A291="",$D291=""),H291=""),"",H291-(INT($Y291/18)+IF(INDEX('Tournament Setup'!$AF:$AF,MATCH($A291,'Tournament Setup'!$A:$A,0))&lt;=MOD($Y291,18),1,0)))</f>
      </c>
      <c r="AC291" t="e">
        <f>IF(OR(OR($A291="",$D291=""),I291=""),"",I291-(INT($Y291/18)+IF(INDEX('Tournament Setup'!$AG:$AG,MATCH($A291,'Tournament Setup'!$A:$A,0))&lt;=MOD($Y291,18),1,0)))</f>
      </c>
      <c r="AD291" t="e">
        <f>IF(OR(OR($A291="",$D291=""),J291=""),"",J291-(INT($Y291/18)+IF(INDEX('Tournament Setup'!$AH:$AH,MATCH($A291,'Tournament Setup'!$A:$A,0))&lt;=MOD($Y291,18),1,0)))</f>
      </c>
      <c r="AE291" t="e">
        <f>IF(OR(OR($A291="",$D291=""),K291=""),"",K291-(INT($Y291/18)+IF(INDEX('Tournament Setup'!$AI:$AI,MATCH($A291,'Tournament Setup'!$A:$A,0))&lt;=MOD($Y291,18),1,0)))</f>
      </c>
      <c r="AF291" t="e">
        <f>IF(OR(OR($A291="",$D291=""),L291=""),"",L291-(INT($Y291/18)+IF(INDEX('Tournament Setup'!$AJ:$AJ,MATCH($A291,'Tournament Setup'!$A:$A,0))&lt;=MOD($Y291,18),1,0)))</f>
      </c>
      <c r="AG291" t="e">
        <f>IF(OR(OR($A291="",$D291=""),M291=""),"",M291-(INT($Y291/18)+IF(INDEX('Tournament Setup'!$AK:$AK,MATCH($A291,'Tournament Setup'!$A:$A,0))&lt;=MOD($Y291,18),1,0)))</f>
      </c>
      <c r="AH291" t="e">
        <f>IF(OR(OR($A291="",$D291=""),N291=""),"",N291-(INT($Y291/18)+IF(INDEX('Tournament Setup'!$AL:$AL,MATCH($A291,'Tournament Setup'!$A:$A,0))&lt;=MOD($Y291,18),1,0)))</f>
      </c>
      <c r="AI291" t="e">
        <f>IF(OR(OR($A291="",$D291=""),O291=""),"",O291-(INT($Y291/18)+IF(INDEX('Tournament Setup'!$AM:$AM,MATCH($A291,'Tournament Setup'!$A:$A,0))&lt;=MOD($Y291,18),1,0)))</f>
      </c>
      <c r="AJ291" t="e">
        <f>IF(OR(OR($A291="",$D291=""),P291=""),"",P291-(INT($Y291/18)+IF(INDEX('Tournament Setup'!$AN:$AN,MATCH($A291,'Tournament Setup'!$A:$A,0))&lt;=MOD($Y291,18),1,0)))</f>
      </c>
      <c r="AK291" t="e">
        <f>IF(OR(OR($A291="",$D291=""),Q291=""),"",Q291-(INT($Y291/18)+IF(INDEX('Tournament Setup'!$AO:$AO,MATCH($A291,'Tournament Setup'!$A:$A,0))&lt;=MOD($Y291,18),1,0)))</f>
      </c>
      <c r="AL291" t="e">
        <f>IF(OR(OR($A291="",$D291=""),R291=""),"",R291-(INT($Y291/18)+IF(INDEX('Tournament Setup'!$AP:$AP,MATCH($A291,'Tournament Setup'!$A:$A,0))&lt;=MOD($Y291,18),1,0)))</f>
      </c>
      <c r="AM291" t="e">
        <f>IF(OR(OR($A291="",$D291=""),S291=""),"",S291-(INT($Y291/18)+IF(INDEX('Tournament Setup'!$AQ:$AQ,MATCH($A291,'Tournament Setup'!$A:$A,0))&lt;=MOD($Y291,18),1,0)))</f>
      </c>
      <c r="AN291" t="e">
        <f>IF(OR(OR($A291="",$D291=""),T291=""),"",T291-(INT($Y291/18)+IF(INDEX('Tournament Setup'!$AR:$AR,MATCH($A291,'Tournament Setup'!$A:$A,0))&lt;=MOD($Y291,18),1,0)))</f>
      </c>
      <c r="AO291" t="e">
        <f>IF(OR(OR($A291="",$D291=""),U291=""),"",U291-(INT($Y291/18)+IF(INDEX('Tournament Setup'!$AS:$AS,MATCH($A291,'Tournament Setup'!$A:$A,0))&lt;=MOD($Y291,18),1,0)))</f>
      </c>
      <c r="AP291" t="e">
        <f>IF(OR(OR($A291="",$D291=""),V291=""),"",V291-(INT($Y291/18)+IF(INDEX('Tournament Setup'!$AT:$AT,MATCH($A291,'Tournament Setup'!$A:$A,0))&lt;=MOD($Y291,18),1,0)))</f>
      </c>
      <c r="AQ291" t="e">
        <f>IF(OR(OR($A291="",$D291=""),W291=""),"",W291-(INT($Y291/18)+IF(INDEX('Tournament Setup'!$AU:$AU,MATCH($A291,'Tournament Setup'!$A:$A,0))&lt;=MOD($Y291,18),1,0)))</f>
      </c>
    </row>
    <row r="292">
      <c r="X292" t="e">
        <f>IF(OR($A292="",$D292=""),"",SUM(F292:W292))</f>
      </c>
      <c r="Y292" t="e">
        <f>IF(OR($A292="",$D292=""),"",IF(INDEX('Tournament Setup'!$F:$F,MATCH($A292,'Tournament Setup'!$A:$A,0))="Net",ROUND(($E292-_xlfn.MINIFS($E$2:$E$401,$A$2:$A$401,$A292,$B$2:$B$401,$B292))*INDEX('Tournament Setup'!$G:$G,MATCH($A292,'Tournament Setup'!$A:$A,0))/100,0),0))</f>
      </c>
      <c r="Z292" t="e">
        <f>IF(OR(OR($A292="",$D292=""),F292=""),"",F292-(INT($Y292/18)+IF(INDEX('Tournament Setup'!$AD:$AD,MATCH($A292,'Tournament Setup'!$A:$A,0))&lt;=MOD($Y292,18),1,0)))</f>
      </c>
      <c r="AA292" t="e">
        <f>IF(OR(OR($A292="",$D292=""),G292=""),"",G292-(INT($Y292/18)+IF(INDEX('Tournament Setup'!$AE:$AE,MATCH($A292,'Tournament Setup'!$A:$A,0))&lt;=MOD($Y292,18),1,0)))</f>
      </c>
      <c r="AB292" t="e">
        <f>IF(OR(OR($A292="",$D292=""),H292=""),"",H292-(INT($Y292/18)+IF(INDEX('Tournament Setup'!$AF:$AF,MATCH($A292,'Tournament Setup'!$A:$A,0))&lt;=MOD($Y292,18),1,0)))</f>
      </c>
      <c r="AC292" t="e">
        <f>IF(OR(OR($A292="",$D292=""),I292=""),"",I292-(INT($Y292/18)+IF(INDEX('Tournament Setup'!$AG:$AG,MATCH($A292,'Tournament Setup'!$A:$A,0))&lt;=MOD($Y292,18),1,0)))</f>
      </c>
      <c r="AD292" t="e">
        <f>IF(OR(OR($A292="",$D292=""),J292=""),"",J292-(INT($Y292/18)+IF(INDEX('Tournament Setup'!$AH:$AH,MATCH($A292,'Tournament Setup'!$A:$A,0))&lt;=MOD($Y292,18),1,0)))</f>
      </c>
      <c r="AE292" t="e">
        <f>IF(OR(OR($A292="",$D292=""),K292=""),"",K292-(INT($Y292/18)+IF(INDEX('Tournament Setup'!$AI:$AI,MATCH($A292,'Tournament Setup'!$A:$A,0))&lt;=MOD($Y292,18),1,0)))</f>
      </c>
      <c r="AF292" t="e">
        <f>IF(OR(OR($A292="",$D292=""),L292=""),"",L292-(INT($Y292/18)+IF(INDEX('Tournament Setup'!$AJ:$AJ,MATCH($A292,'Tournament Setup'!$A:$A,0))&lt;=MOD($Y292,18),1,0)))</f>
      </c>
      <c r="AG292" t="e">
        <f>IF(OR(OR($A292="",$D292=""),M292=""),"",M292-(INT($Y292/18)+IF(INDEX('Tournament Setup'!$AK:$AK,MATCH($A292,'Tournament Setup'!$A:$A,0))&lt;=MOD($Y292,18),1,0)))</f>
      </c>
      <c r="AH292" t="e">
        <f>IF(OR(OR($A292="",$D292=""),N292=""),"",N292-(INT($Y292/18)+IF(INDEX('Tournament Setup'!$AL:$AL,MATCH($A292,'Tournament Setup'!$A:$A,0))&lt;=MOD($Y292,18),1,0)))</f>
      </c>
      <c r="AI292" t="e">
        <f>IF(OR(OR($A292="",$D292=""),O292=""),"",O292-(INT($Y292/18)+IF(INDEX('Tournament Setup'!$AM:$AM,MATCH($A292,'Tournament Setup'!$A:$A,0))&lt;=MOD($Y292,18),1,0)))</f>
      </c>
      <c r="AJ292" t="e">
        <f>IF(OR(OR($A292="",$D292=""),P292=""),"",P292-(INT($Y292/18)+IF(INDEX('Tournament Setup'!$AN:$AN,MATCH($A292,'Tournament Setup'!$A:$A,0))&lt;=MOD($Y292,18),1,0)))</f>
      </c>
      <c r="AK292" t="e">
        <f>IF(OR(OR($A292="",$D292=""),Q292=""),"",Q292-(INT($Y292/18)+IF(INDEX('Tournament Setup'!$AO:$AO,MATCH($A292,'Tournament Setup'!$A:$A,0))&lt;=MOD($Y292,18),1,0)))</f>
      </c>
      <c r="AL292" t="e">
        <f>IF(OR(OR($A292="",$D292=""),R292=""),"",R292-(INT($Y292/18)+IF(INDEX('Tournament Setup'!$AP:$AP,MATCH($A292,'Tournament Setup'!$A:$A,0))&lt;=MOD($Y292,18),1,0)))</f>
      </c>
      <c r="AM292" t="e">
        <f>IF(OR(OR($A292="",$D292=""),S292=""),"",S292-(INT($Y292/18)+IF(INDEX('Tournament Setup'!$AQ:$AQ,MATCH($A292,'Tournament Setup'!$A:$A,0))&lt;=MOD($Y292,18),1,0)))</f>
      </c>
      <c r="AN292" t="e">
        <f>IF(OR(OR($A292="",$D292=""),T292=""),"",T292-(INT($Y292/18)+IF(INDEX('Tournament Setup'!$AR:$AR,MATCH($A292,'Tournament Setup'!$A:$A,0))&lt;=MOD($Y292,18),1,0)))</f>
      </c>
      <c r="AO292" t="e">
        <f>IF(OR(OR($A292="",$D292=""),U292=""),"",U292-(INT($Y292/18)+IF(INDEX('Tournament Setup'!$AS:$AS,MATCH($A292,'Tournament Setup'!$A:$A,0))&lt;=MOD($Y292,18),1,0)))</f>
      </c>
      <c r="AP292" t="e">
        <f>IF(OR(OR($A292="",$D292=""),V292=""),"",V292-(INT($Y292/18)+IF(INDEX('Tournament Setup'!$AT:$AT,MATCH($A292,'Tournament Setup'!$A:$A,0))&lt;=MOD($Y292,18),1,0)))</f>
      </c>
      <c r="AQ292" t="e">
        <f>IF(OR(OR($A292="",$D292=""),W292=""),"",W292-(INT($Y292/18)+IF(INDEX('Tournament Setup'!$AU:$AU,MATCH($A292,'Tournament Setup'!$A:$A,0))&lt;=MOD($Y292,18),1,0)))</f>
      </c>
    </row>
    <row r="293">
      <c r="X293" t="e">
        <f>IF(OR($A293="",$D293=""),"",SUM(F293:W293))</f>
      </c>
      <c r="Y293" t="e">
        <f>IF(OR($A293="",$D293=""),"",IF(INDEX('Tournament Setup'!$F:$F,MATCH($A293,'Tournament Setup'!$A:$A,0))="Net",ROUND(($E293-_xlfn.MINIFS($E$2:$E$401,$A$2:$A$401,$A293,$B$2:$B$401,$B293))*INDEX('Tournament Setup'!$G:$G,MATCH($A293,'Tournament Setup'!$A:$A,0))/100,0),0))</f>
      </c>
      <c r="Z293" t="e">
        <f>IF(OR(OR($A293="",$D293=""),F293=""),"",F293-(INT($Y293/18)+IF(INDEX('Tournament Setup'!$AD:$AD,MATCH($A293,'Tournament Setup'!$A:$A,0))&lt;=MOD($Y293,18),1,0)))</f>
      </c>
      <c r="AA293" t="e">
        <f>IF(OR(OR($A293="",$D293=""),G293=""),"",G293-(INT($Y293/18)+IF(INDEX('Tournament Setup'!$AE:$AE,MATCH($A293,'Tournament Setup'!$A:$A,0))&lt;=MOD($Y293,18),1,0)))</f>
      </c>
      <c r="AB293" t="e">
        <f>IF(OR(OR($A293="",$D293=""),H293=""),"",H293-(INT($Y293/18)+IF(INDEX('Tournament Setup'!$AF:$AF,MATCH($A293,'Tournament Setup'!$A:$A,0))&lt;=MOD($Y293,18),1,0)))</f>
      </c>
      <c r="AC293" t="e">
        <f>IF(OR(OR($A293="",$D293=""),I293=""),"",I293-(INT($Y293/18)+IF(INDEX('Tournament Setup'!$AG:$AG,MATCH($A293,'Tournament Setup'!$A:$A,0))&lt;=MOD($Y293,18),1,0)))</f>
      </c>
      <c r="AD293" t="e">
        <f>IF(OR(OR($A293="",$D293=""),J293=""),"",J293-(INT($Y293/18)+IF(INDEX('Tournament Setup'!$AH:$AH,MATCH($A293,'Tournament Setup'!$A:$A,0))&lt;=MOD($Y293,18),1,0)))</f>
      </c>
      <c r="AE293" t="e">
        <f>IF(OR(OR($A293="",$D293=""),K293=""),"",K293-(INT($Y293/18)+IF(INDEX('Tournament Setup'!$AI:$AI,MATCH($A293,'Tournament Setup'!$A:$A,0))&lt;=MOD($Y293,18),1,0)))</f>
      </c>
      <c r="AF293" t="e">
        <f>IF(OR(OR($A293="",$D293=""),L293=""),"",L293-(INT($Y293/18)+IF(INDEX('Tournament Setup'!$AJ:$AJ,MATCH($A293,'Tournament Setup'!$A:$A,0))&lt;=MOD($Y293,18),1,0)))</f>
      </c>
      <c r="AG293" t="e">
        <f>IF(OR(OR($A293="",$D293=""),M293=""),"",M293-(INT($Y293/18)+IF(INDEX('Tournament Setup'!$AK:$AK,MATCH($A293,'Tournament Setup'!$A:$A,0))&lt;=MOD($Y293,18),1,0)))</f>
      </c>
      <c r="AH293" t="e">
        <f>IF(OR(OR($A293="",$D293=""),N293=""),"",N293-(INT($Y293/18)+IF(INDEX('Tournament Setup'!$AL:$AL,MATCH($A293,'Tournament Setup'!$A:$A,0))&lt;=MOD($Y293,18),1,0)))</f>
      </c>
      <c r="AI293" t="e">
        <f>IF(OR(OR($A293="",$D293=""),O293=""),"",O293-(INT($Y293/18)+IF(INDEX('Tournament Setup'!$AM:$AM,MATCH($A293,'Tournament Setup'!$A:$A,0))&lt;=MOD($Y293,18),1,0)))</f>
      </c>
      <c r="AJ293" t="e">
        <f>IF(OR(OR($A293="",$D293=""),P293=""),"",P293-(INT($Y293/18)+IF(INDEX('Tournament Setup'!$AN:$AN,MATCH($A293,'Tournament Setup'!$A:$A,0))&lt;=MOD($Y293,18),1,0)))</f>
      </c>
      <c r="AK293" t="e">
        <f>IF(OR(OR($A293="",$D293=""),Q293=""),"",Q293-(INT($Y293/18)+IF(INDEX('Tournament Setup'!$AO:$AO,MATCH($A293,'Tournament Setup'!$A:$A,0))&lt;=MOD($Y293,18),1,0)))</f>
      </c>
      <c r="AL293" t="e">
        <f>IF(OR(OR($A293="",$D293=""),R293=""),"",R293-(INT($Y293/18)+IF(INDEX('Tournament Setup'!$AP:$AP,MATCH($A293,'Tournament Setup'!$A:$A,0))&lt;=MOD($Y293,18),1,0)))</f>
      </c>
      <c r="AM293" t="e">
        <f>IF(OR(OR($A293="",$D293=""),S293=""),"",S293-(INT($Y293/18)+IF(INDEX('Tournament Setup'!$AQ:$AQ,MATCH($A293,'Tournament Setup'!$A:$A,0))&lt;=MOD($Y293,18),1,0)))</f>
      </c>
      <c r="AN293" t="e">
        <f>IF(OR(OR($A293="",$D293=""),T293=""),"",T293-(INT($Y293/18)+IF(INDEX('Tournament Setup'!$AR:$AR,MATCH($A293,'Tournament Setup'!$A:$A,0))&lt;=MOD($Y293,18),1,0)))</f>
      </c>
      <c r="AO293" t="e">
        <f>IF(OR(OR($A293="",$D293=""),U293=""),"",U293-(INT($Y293/18)+IF(INDEX('Tournament Setup'!$AS:$AS,MATCH($A293,'Tournament Setup'!$A:$A,0))&lt;=MOD($Y293,18),1,0)))</f>
      </c>
      <c r="AP293" t="e">
        <f>IF(OR(OR($A293="",$D293=""),V293=""),"",V293-(INT($Y293/18)+IF(INDEX('Tournament Setup'!$AT:$AT,MATCH($A293,'Tournament Setup'!$A:$A,0))&lt;=MOD($Y293,18),1,0)))</f>
      </c>
      <c r="AQ293" t="e">
        <f>IF(OR(OR($A293="",$D293=""),W293=""),"",W293-(INT($Y293/18)+IF(INDEX('Tournament Setup'!$AU:$AU,MATCH($A293,'Tournament Setup'!$A:$A,0))&lt;=MOD($Y293,18),1,0)))</f>
      </c>
    </row>
    <row r="294">
      <c r="X294" t="e">
        <f>IF(OR($A294="",$D294=""),"",SUM(F294:W294))</f>
      </c>
      <c r="Y294" t="e">
        <f>IF(OR($A294="",$D294=""),"",IF(INDEX('Tournament Setup'!$F:$F,MATCH($A294,'Tournament Setup'!$A:$A,0))="Net",ROUND(($E294-_xlfn.MINIFS($E$2:$E$401,$A$2:$A$401,$A294,$B$2:$B$401,$B294))*INDEX('Tournament Setup'!$G:$G,MATCH($A294,'Tournament Setup'!$A:$A,0))/100,0),0))</f>
      </c>
      <c r="Z294" t="e">
        <f>IF(OR(OR($A294="",$D294=""),F294=""),"",F294-(INT($Y294/18)+IF(INDEX('Tournament Setup'!$AD:$AD,MATCH($A294,'Tournament Setup'!$A:$A,0))&lt;=MOD($Y294,18),1,0)))</f>
      </c>
      <c r="AA294" t="e">
        <f>IF(OR(OR($A294="",$D294=""),G294=""),"",G294-(INT($Y294/18)+IF(INDEX('Tournament Setup'!$AE:$AE,MATCH($A294,'Tournament Setup'!$A:$A,0))&lt;=MOD($Y294,18),1,0)))</f>
      </c>
      <c r="AB294" t="e">
        <f>IF(OR(OR($A294="",$D294=""),H294=""),"",H294-(INT($Y294/18)+IF(INDEX('Tournament Setup'!$AF:$AF,MATCH($A294,'Tournament Setup'!$A:$A,0))&lt;=MOD($Y294,18),1,0)))</f>
      </c>
      <c r="AC294" t="e">
        <f>IF(OR(OR($A294="",$D294=""),I294=""),"",I294-(INT($Y294/18)+IF(INDEX('Tournament Setup'!$AG:$AG,MATCH($A294,'Tournament Setup'!$A:$A,0))&lt;=MOD($Y294,18),1,0)))</f>
      </c>
      <c r="AD294" t="e">
        <f>IF(OR(OR($A294="",$D294=""),J294=""),"",J294-(INT($Y294/18)+IF(INDEX('Tournament Setup'!$AH:$AH,MATCH($A294,'Tournament Setup'!$A:$A,0))&lt;=MOD($Y294,18),1,0)))</f>
      </c>
      <c r="AE294" t="e">
        <f>IF(OR(OR($A294="",$D294=""),K294=""),"",K294-(INT($Y294/18)+IF(INDEX('Tournament Setup'!$AI:$AI,MATCH($A294,'Tournament Setup'!$A:$A,0))&lt;=MOD($Y294,18),1,0)))</f>
      </c>
      <c r="AF294" t="e">
        <f>IF(OR(OR($A294="",$D294=""),L294=""),"",L294-(INT($Y294/18)+IF(INDEX('Tournament Setup'!$AJ:$AJ,MATCH($A294,'Tournament Setup'!$A:$A,0))&lt;=MOD($Y294,18),1,0)))</f>
      </c>
      <c r="AG294" t="e">
        <f>IF(OR(OR($A294="",$D294=""),M294=""),"",M294-(INT($Y294/18)+IF(INDEX('Tournament Setup'!$AK:$AK,MATCH($A294,'Tournament Setup'!$A:$A,0))&lt;=MOD($Y294,18),1,0)))</f>
      </c>
      <c r="AH294" t="e">
        <f>IF(OR(OR($A294="",$D294=""),N294=""),"",N294-(INT($Y294/18)+IF(INDEX('Tournament Setup'!$AL:$AL,MATCH($A294,'Tournament Setup'!$A:$A,0))&lt;=MOD($Y294,18),1,0)))</f>
      </c>
      <c r="AI294" t="e">
        <f>IF(OR(OR($A294="",$D294=""),O294=""),"",O294-(INT($Y294/18)+IF(INDEX('Tournament Setup'!$AM:$AM,MATCH($A294,'Tournament Setup'!$A:$A,0))&lt;=MOD($Y294,18),1,0)))</f>
      </c>
      <c r="AJ294" t="e">
        <f>IF(OR(OR($A294="",$D294=""),P294=""),"",P294-(INT($Y294/18)+IF(INDEX('Tournament Setup'!$AN:$AN,MATCH($A294,'Tournament Setup'!$A:$A,0))&lt;=MOD($Y294,18),1,0)))</f>
      </c>
      <c r="AK294" t="e">
        <f>IF(OR(OR($A294="",$D294=""),Q294=""),"",Q294-(INT($Y294/18)+IF(INDEX('Tournament Setup'!$AO:$AO,MATCH($A294,'Tournament Setup'!$A:$A,0))&lt;=MOD($Y294,18),1,0)))</f>
      </c>
      <c r="AL294" t="e">
        <f>IF(OR(OR($A294="",$D294=""),R294=""),"",R294-(INT($Y294/18)+IF(INDEX('Tournament Setup'!$AP:$AP,MATCH($A294,'Tournament Setup'!$A:$A,0))&lt;=MOD($Y294,18),1,0)))</f>
      </c>
      <c r="AM294" t="e">
        <f>IF(OR(OR($A294="",$D294=""),S294=""),"",S294-(INT($Y294/18)+IF(INDEX('Tournament Setup'!$AQ:$AQ,MATCH($A294,'Tournament Setup'!$A:$A,0))&lt;=MOD($Y294,18),1,0)))</f>
      </c>
      <c r="AN294" t="e">
        <f>IF(OR(OR($A294="",$D294=""),T294=""),"",T294-(INT($Y294/18)+IF(INDEX('Tournament Setup'!$AR:$AR,MATCH($A294,'Tournament Setup'!$A:$A,0))&lt;=MOD($Y294,18),1,0)))</f>
      </c>
      <c r="AO294" t="e">
        <f>IF(OR(OR($A294="",$D294=""),U294=""),"",U294-(INT($Y294/18)+IF(INDEX('Tournament Setup'!$AS:$AS,MATCH($A294,'Tournament Setup'!$A:$A,0))&lt;=MOD($Y294,18),1,0)))</f>
      </c>
      <c r="AP294" t="e">
        <f>IF(OR(OR($A294="",$D294=""),V294=""),"",V294-(INT($Y294/18)+IF(INDEX('Tournament Setup'!$AT:$AT,MATCH($A294,'Tournament Setup'!$A:$A,0))&lt;=MOD($Y294,18),1,0)))</f>
      </c>
      <c r="AQ294" t="e">
        <f>IF(OR(OR($A294="",$D294=""),W294=""),"",W294-(INT($Y294/18)+IF(INDEX('Tournament Setup'!$AU:$AU,MATCH($A294,'Tournament Setup'!$A:$A,0))&lt;=MOD($Y294,18),1,0)))</f>
      </c>
    </row>
    <row r="295">
      <c r="X295" t="e">
        <f>IF(OR($A295="",$D295=""),"",SUM(F295:W295))</f>
      </c>
      <c r="Y295" t="e">
        <f>IF(OR($A295="",$D295=""),"",IF(INDEX('Tournament Setup'!$F:$F,MATCH($A295,'Tournament Setup'!$A:$A,0))="Net",ROUND(($E295-_xlfn.MINIFS($E$2:$E$401,$A$2:$A$401,$A295,$B$2:$B$401,$B295))*INDEX('Tournament Setup'!$G:$G,MATCH($A295,'Tournament Setup'!$A:$A,0))/100,0),0))</f>
      </c>
      <c r="Z295" t="e">
        <f>IF(OR(OR($A295="",$D295=""),F295=""),"",F295-(INT($Y295/18)+IF(INDEX('Tournament Setup'!$AD:$AD,MATCH($A295,'Tournament Setup'!$A:$A,0))&lt;=MOD($Y295,18),1,0)))</f>
      </c>
      <c r="AA295" t="e">
        <f>IF(OR(OR($A295="",$D295=""),G295=""),"",G295-(INT($Y295/18)+IF(INDEX('Tournament Setup'!$AE:$AE,MATCH($A295,'Tournament Setup'!$A:$A,0))&lt;=MOD($Y295,18),1,0)))</f>
      </c>
      <c r="AB295" t="e">
        <f>IF(OR(OR($A295="",$D295=""),H295=""),"",H295-(INT($Y295/18)+IF(INDEX('Tournament Setup'!$AF:$AF,MATCH($A295,'Tournament Setup'!$A:$A,0))&lt;=MOD($Y295,18),1,0)))</f>
      </c>
      <c r="AC295" t="e">
        <f>IF(OR(OR($A295="",$D295=""),I295=""),"",I295-(INT($Y295/18)+IF(INDEX('Tournament Setup'!$AG:$AG,MATCH($A295,'Tournament Setup'!$A:$A,0))&lt;=MOD($Y295,18),1,0)))</f>
      </c>
      <c r="AD295" t="e">
        <f>IF(OR(OR($A295="",$D295=""),J295=""),"",J295-(INT($Y295/18)+IF(INDEX('Tournament Setup'!$AH:$AH,MATCH($A295,'Tournament Setup'!$A:$A,0))&lt;=MOD($Y295,18),1,0)))</f>
      </c>
      <c r="AE295" t="e">
        <f>IF(OR(OR($A295="",$D295=""),K295=""),"",K295-(INT($Y295/18)+IF(INDEX('Tournament Setup'!$AI:$AI,MATCH($A295,'Tournament Setup'!$A:$A,0))&lt;=MOD($Y295,18),1,0)))</f>
      </c>
      <c r="AF295" t="e">
        <f>IF(OR(OR($A295="",$D295=""),L295=""),"",L295-(INT($Y295/18)+IF(INDEX('Tournament Setup'!$AJ:$AJ,MATCH($A295,'Tournament Setup'!$A:$A,0))&lt;=MOD($Y295,18),1,0)))</f>
      </c>
      <c r="AG295" t="e">
        <f>IF(OR(OR($A295="",$D295=""),M295=""),"",M295-(INT($Y295/18)+IF(INDEX('Tournament Setup'!$AK:$AK,MATCH($A295,'Tournament Setup'!$A:$A,0))&lt;=MOD($Y295,18),1,0)))</f>
      </c>
      <c r="AH295" t="e">
        <f>IF(OR(OR($A295="",$D295=""),N295=""),"",N295-(INT($Y295/18)+IF(INDEX('Tournament Setup'!$AL:$AL,MATCH($A295,'Tournament Setup'!$A:$A,0))&lt;=MOD($Y295,18),1,0)))</f>
      </c>
      <c r="AI295" t="e">
        <f>IF(OR(OR($A295="",$D295=""),O295=""),"",O295-(INT($Y295/18)+IF(INDEX('Tournament Setup'!$AM:$AM,MATCH($A295,'Tournament Setup'!$A:$A,0))&lt;=MOD($Y295,18),1,0)))</f>
      </c>
      <c r="AJ295" t="e">
        <f>IF(OR(OR($A295="",$D295=""),P295=""),"",P295-(INT($Y295/18)+IF(INDEX('Tournament Setup'!$AN:$AN,MATCH($A295,'Tournament Setup'!$A:$A,0))&lt;=MOD($Y295,18),1,0)))</f>
      </c>
      <c r="AK295" t="e">
        <f>IF(OR(OR($A295="",$D295=""),Q295=""),"",Q295-(INT($Y295/18)+IF(INDEX('Tournament Setup'!$AO:$AO,MATCH($A295,'Tournament Setup'!$A:$A,0))&lt;=MOD($Y295,18),1,0)))</f>
      </c>
      <c r="AL295" t="e">
        <f>IF(OR(OR($A295="",$D295=""),R295=""),"",R295-(INT($Y295/18)+IF(INDEX('Tournament Setup'!$AP:$AP,MATCH($A295,'Tournament Setup'!$A:$A,0))&lt;=MOD($Y295,18),1,0)))</f>
      </c>
      <c r="AM295" t="e">
        <f>IF(OR(OR($A295="",$D295=""),S295=""),"",S295-(INT($Y295/18)+IF(INDEX('Tournament Setup'!$AQ:$AQ,MATCH($A295,'Tournament Setup'!$A:$A,0))&lt;=MOD($Y295,18),1,0)))</f>
      </c>
      <c r="AN295" t="e">
        <f>IF(OR(OR($A295="",$D295=""),T295=""),"",T295-(INT($Y295/18)+IF(INDEX('Tournament Setup'!$AR:$AR,MATCH($A295,'Tournament Setup'!$A:$A,0))&lt;=MOD($Y295,18),1,0)))</f>
      </c>
      <c r="AO295" t="e">
        <f>IF(OR(OR($A295="",$D295=""),U295=""),"",U295-(INT($Y295/18)+IF(INDEX('Tournament Setup'!$AS:$AS,MATCH($A295,'Tournament Setup'!$A:$A,0))&lt;=MOD($Y295,18),1,0)))</f>
      </c>
      <c r="AP295" t="e">
        <f>IF(OR(OR($A295="",$D295=""),V295=""),"",V295-(INT($Y295/18)+IF(INDEX('Tournament Setup'!$AT:$AT,MATCH($A295,'Tournament Setup'!$A:$A,0))&lt;=MOD($Y295,18),1,0)))</f>
      </c>
      <c r="AQ295" t="e">
        <f>IF(OR(OR($A295="",$D295=""),W295=""),"",W295-(INT($Y295/18)+IF(INDEX('Tournament Setup'!$AU:$AU,MATCH($A295,'Tournament Setup'!$A:$A,0))&lt;=MOD($Y295,18),1,0)))</f>
      </c>
    </row>
    <row r="296">
      <c r="X296" t="e">
        <f>IF(OR($A296="",$D296=""),"",SUM(F296:W296))</f>
      </c>
      <c r="Y296" t="e">
        <f>IF(OR($A296="",$D296=""),"",IF(INDEX('Tournament Setup'!$F:$F,MATCH($A296,'Tournament Setup'!$A:$A,0))="Net",ROUND(($E296-_xlfn.MINIFS($E$2:$E$401,$A$2:$A$401,$A296,$B$2:$B$401,$B296))*INDEX('Tournament Setup'!$G:$G,MATCH($A296,'Tournament Setup'!$A:$A,0))/100,0),0))</f>
      </c>
      <c r="Z296" t="e">
        <f>IF(OR(OR($A296="",$D296=""),F296=""),"",F296-(INT($Y296/18)+IF(INDEX('Tournament Setup'!$AD:$AD,MATCH($A296,'Tournament Setup'!$A:$A,0))&lt;=MOD($Y296,18),1,0)))</f>
      </c>
      <c r="AA296" t="e">
        <f>IF(OR(OR($A296="",$D296=""),G296=""),"",G296-(INT($Y296/18)+IF(INDEX('Tournament Setup'!$AE:$AE,MATCH($A296,'Tournament Setup'!$A:$A,0))&lt;=MOD($Y296,18),1,0)))</f>
      </c>
      <c r="AB296" t="e">
        <f>IF(OR(OR($A296="",$D296=""),H296=""),"",H296-(INT($Y296/18)+IF(INDEX('Tournament Setup'!$AF:$AF,MATCH($A296,'Tournament Setup'!$A:$A,0))&lt;=MOD($Y296,18),1,0)))</f>
      </c>
      <c r="AC296" t="e">
        <f>IF(OR(OR($A296="",$D296=""),I296=""),"",I296-(INT($Y296/18)+IF(INDEX('Tournament Setup'!$AG:$AG,MATCH($A296,'Tournament Setup'!$A:$A,0))&lt;=MOD($Y296,18),1,0)))</f>
      </c>
      <c r="AD296" t="e">
        <f>IF(OR(OR($A296="",$D296=""),J296=""),"",J296-(INT($Y296/18)+IF(INDEX('Tournament Setup'!$AH:$AH,MATCH($A296,'Tournament Setup'!$A:$A,0))&lt;=MOD($Y296,18),1,0)))</f>
      </c>
      <c r="AE296" t="e">
        <f>IF(OR(OR($A296="",$D296=""),K296=""),"",K296-(INT($Y296/18)+IF(INDEX('Tournament Setup'!$AI:$AI,MATCH($A296,'Tournament Setup'!$A:$A,0))&lt;=MOD($Y296,18),1,0)))</f>
      </c>
      <c r="AF296" t="e">
        <f>IF(OR(OR($A296="",$D296=""),L296=""),"",L296-(INT($Y296/18)+IF(INDEX('Tournament Setup'!$AJ:$AJ,MATCH($A296,'Tournament Setup'!$A:$A,0))&lt;=MOD($Y296,18),1,0)))</f>
      </c>
      <c r="AG296" t="e">
        <f>IF(OR(OR($A296="",$D296=""),M296=""),"",M296-(INT($Y296/18)+IF(INDEX('Tournament Setup'!$AK:$AK,MATCH($A296,'Tournament Setup'!$A:$A,0))&lt;=MOD($Y296,18),1,0)))</f>
      </c>
      <c r="AH296" t="e">
        <f>IF(OR(OR($A296="",$D296=""),N296=""),"",N296-(INT($Y296/18)+IF(INDEX('Tournament Setup'!$AL:$AL,MATCH($A296,'Tournament Setup'!$A:$A,0))&lt;=MOD($Y296,18),1,0)))</f>
      </c>
      <c r="AI296" t="e">
        <f>IF(OR(OR($A296="",$D296=""),O296=""),"",O296-(INT($Y296/18)+IF(INDEX('Tournament Setup'!$AM:$AM,MATCH($A296,'Tournament Setup'!$A:$A,0))&lt;=MOD($Y296,18),1,0)))</f>
      </c>
      <c r="AJ296" t="e">
        <f>IF(OR(OR($A296="",$D296=""),P296=""),"",P296-(INT($Y296/18)+IF(INDEX('Tournament Setup'!$AN:$AN,MATCH($A296,'Tournament Setup'!$A:$A,0))&lt;=MOD($Y296,18),1,0)))</f>
      </c>
      <c r="AK296" t="e">
        <f>IF(OR(OR($A296="",$D296=""),Q296=""),"",Q296-(INT($Y296/18)+IF(INDEX('Tournament Setup'!$AO:$AO,MATCH($A296,'Tournament Setup'!$A:$A,0))&lt;=MOD($Y296,18),1,0)))</f>
      </c>
      <c r="AL296" t="e">
        <f>IF(OR(OR($A296="",$D296=""),R296=""),"",R296-(INT($Y296/18)+IF(INDEX('Tournament Setup'!$AP:$AP,MATCH($A296,'Tournament Setup'!$A:$A,0))&lt;=MOD($Y296,18),1,0)))</f>
      </c>
      <c r="AM296" t="e">
        <f>IF(OR(OR($A296="",$D296=""),S296=""),"",S296-(INT($Y296/18)+IF(INDEX('Tournament Setup'!$AQ:$AQ,MATCH($A296,'Tournament Setup'!$A:$A,0))&lt;=MOD($Y296,18),1,0)))</f>
      </c>
      <c r="AN296" t="e">
        <f>IF(OR(OR($A296="",$D296=""),T296=""),"",T296-(INT($Y296/18)+IF(INDEX('Tournament Setup'!$AR:$AR,MATCH($A296,'Tournament Setup'!$A:$A,0))&lt;=MOD($Y296,18),1,0)))</f>
      </c>
      <c r="AO296" t="e">
        <f>IF(OR(OR($A296="",$D296=""),U296=""),"",U296-(INT($Y296/18)+IF(INDEX('Tournament Setup'!$AS:$AS,MATCH($A296,'Tournament Setup'!$A:$A,0))&lt;=MOD($Y296,18),1,0)))</f>
      </c>
      <c r="AP296" t="e">
        <f>IF(OR(OR($A296="",$D296=""),V296=""),"",V296-(INT($Y296/18)+IF(INDEX('Tournament Setup'!$AT:$AT,MATCH($A296,'Tournament Setup'!$A:$A,0))&lt;=MOD($Y296,18),1,0)))</f>
      </c>
      <c r="AQ296" t="e">
        <f>IF(OR(OR($A296="",$D296=""),W296=""),"",W296-(INT($Y296/18)+IF(INDEX('Tournament Setup'!$AU:$AU,MATCH($A296,'Tournament Setup'!$A:$A,0))&lt;=MOD($Y296,18),1,0)))</f>
      </c>
    </row>
    <row r="297">
      <c r="X297" t="e">
        <f>IF(OR($A297="",$D297=""),"",SUM(F297:W297))</f>
      </c>
      <c r="Y297" t="e">
        <f>IF(OR($A297="",$D297=""),"",IF(INDEX('Tournament Setup'!$F:$F,MATCH($A297,'Tournament Setup'!$A:$A,0))="Net",ROUND(($E297-_xlfn.MINIFS($E$2:$E$401,$A$2:$A$401,$A297,$B$2:$B$401,$B297))*INDEX('Tournament Setup'!$G:$G,MATCH($A297,'Tournament Setup'!$A:$A,0))/100,0),0))</f>
      </c>
      <c r="Z297" t="e">
        <f>IF(OR(OR($A297="",$D297=""),F297=""),"",F297-(INT($Y297/18)+IF(INDEX('Tournament Setup'!$AD:$AD,MATCH($A297,'Tournament Setup'!$A:$A,0))&lt;=MOD($Y297,18),1,0)))</f>
      </c>
      <c r="AA297" t="e">
        <f>IF(OR(OR($A297="",$D297=""),G297=""),"",G297-(INT($Y297/18)+IF(INDEX('Tournament Setup'!$AE:$AE,MATCH($A297,'Tournament Setup'!$A:$A,0))&lt;=MOD($Y297,18),1,0)))</f>
      </c>
      <c r="AB297" t="e">
        <f>IF(OR(OR($A297="",$D297=""),H297=""),"",H297-(INT($Y297/18)+IF(INDEX('Tournament Setup'!$AF:$AF,MATCH($A297,'Tournament Setup'!$A:$A,0))&lt;=MOD($Y297,18),1,0)))</f>
      </c>
      <c r="AC297" t="e">
        <f>IF(OR(OR($A297="",$D297=""),I297=""),"",I297-(INT($Y297/18)+IF(INDEX('Tournament Setup'!$AG:$AG,MATCH($A297,'Tournament Setup'!$A:$A,0))&lt;=MOD($Y297,18),1,0)))</f>
      </c>
      <c r="AD297" t="e">
        <f>IF(OR(OR($A297="",$D297=""),J297=""),"",J297-(INT($Y297/18)+IF(INDEX('Tournament Setup'!$AH:$AH,MATCH($A297,'Tournament Setup'!$A:$A,0))&lt;=MOD($Y297,18),1,0)))</f>
      </c>
      <c r="AE297" t="e">
        <f>IF(OR(OR($A297="",$D297=""),K297=""),"",K297-(INT($Y297/18)+IF(INDEX('Tournament Setup'!$AI:$AI,MATCH($A297,'Tournament Setup'!$A:$A,0))&lt;=MOD($Y297,18),1,0)))</f>
      </c>
      <c r="AF297" t="e">
        <f>IF(OR(OR($A297="",$D297=""),L297=""),"",L297-(INT($Y297/18)+IF(INDEX('Tournament Setup'!$AJ:$AJ,MATCH($A297,'Tournament Setup'!$A:$A,0))&lt;=MOD($Y297,18),1,0)))</f>
      </c>
      <c r="AG297" t="e">
        <f>IF(OR(OR($A297="",$D297=""),M297=""),"",M297-(INT($Y297/18)+IF(INDEX('Tournament Setup'!$AK:$AK,MATCH($A297,'Tournament Setup'!$A:$A,0))&lt;=MOD($Y297,18),1,0)))</f>
      </c>
      <c r="AH297" t="e">
        <f>IF(OR(OR($A297="",$D297=""),N297=""),"",N297-(INT($Y297/18)+IF(INDEX('Tournament Setup'!$AL:$AL,MATCH($A297,'Tournament Setup'!$A:$A,0))&lt;=MOD($Y297,18),1,0)))</f>
      </c>
      <c r="AI297" t="e">
        <f>IF(OR(OR($A297="",$D297=""),O297=""),"",O297-(INT($Y297/18)+IF(INDEX('Tournament Setup'!$AM:$AM,MATCH($A297,'Tournament Setup'!$A:$A,0))&lt;=MOD($Y297,18),1,0)))</f>
      </c>
      <c r="AJ297" t="e">
        <f>IF(OR(OR($A297="",$D297=""),P297=""),"",P297-(INT($Y297/18)+IF(INDEX('Tournament Setup'!$AN:$AN,MATCH($A297,'Tournament Setup'!$A:$A,0))&lt;=MOD($Y297,18),1,0)))</f>
      </c>
      <c r="AK297" t="e">
        <f>IF(OR(OR($A297="",$D297=""),Q297=""),"",Q297-(INT($Y297/18)+IF(INDEX('Tournament Setup'!$AO:$AO,MATCH($A297,'Tournament Setup'!$A:$A,0))&lt;=MOD($Y297,18),1,0)))</f>
      </c>
      <c r="AL297" t="e">
        <f>IF(OR(OR($A297="",$D297=""),R297=""),"",R297-(INT($Y297/18)+IF(INDEX('Tournament Setup'!$AP:$AP,MATCH($A297,'Tournament Setup'!$A:$A,0))&lt;=MOD($Y297,18),1,0)))</f>
      </c>
      <c r="AM297" t="e">
        <f>IF(OR(OR($A297="",$D297=""),S297=""),"",S297-(INT($Y297/18)+IF(INDEX('Tournament Setup'!$AQ:$AQ,MATCH($A297,'Tournament Setup'!$A:$A,0))&lt;=MOD($Y297,18),1,0)))</f>
      </c>
      <c r="AN297" t="e">
        <f>IF(OR(OR($A297="",$D297=""),T297=""),"",T297-(INT($Y297/18)+IF(INDEX('Tournament Setup'!$AR:$AR,MATCH($A297,'Tournament Setup'!$A:$A,0))&lt;=MOD($Y297,18),1,0)))</f>
      </c>
      <c r="AO297" t="e">
        <f>IF(OR(OR($A297="",$D297=""),U297=""),"",U297-(INT($Y297/18)+IF(INDEX('Tournament Setup'!$AS:$AS,MATCH($A297,'Tournament Setup'!$A:$A,0))&lt;=MOD($Y297,18),1,0)))</f>
      </c>
      <c r="AP297" t="e">
        <f>IF(OR(OR($A297="",$D297=""),V297=""),"",V297-(INT($Y297/18)+IF(INDEX('Tournament Setup'!$AT:$AT,MATCH($A297,'Tournament Setup'!$A:$A,0))&lt;=MOD($Y297,18),1,0)))</f>
      </c>
      <c r="AQ297" t="e">
        <f>IF(OR(OR($A297="",$D297=""),W297=""),"",W297-(INT($Y297/18)+IF(INDEX('Tournament Setup'!$AU:$AU,MATCH($A297,'Tournament Setup'!$A:$A,0))&lt;=MOD($Y297,18),1,0)))</f>
      </c>
    </row>
    <row r="298">
      <c r="X298" t="e">
        <f>IF(OR($A298="",$D298=""),"",SUM(F298:W298))</f>
      </c>
      <c r="Y298" t="e">
        <f>IF(OR($A298="",$D298=""),"",IF(INDEX('Tournament Setup'!$F:$F,MATCH($A298,'Tournament Setup'!$A:$A,0))="Net",ROUND(($E298-_xlfn.MINIFS($E$2:$E$401,$A$2:$A$401,$A298,$B$2:$B$401,$B298))*INDEX('Tournament Setup'!$G:$G,MATCH($A298,'Tournament Setup'!$A:$A,0))/100,0),0))</f>
      </c>
      <c r="Z298" t="e">
        <f>IF(OR(OR($A298="",$D298=""),F298=""),"",F298-(INT($Y298/18)+IF(INDEX('Tournament Setup'!$AD:$AD,MATCH($A298,'Tournament Setup'!$A:$A,0))&lt;=MOD($Y298,18),1,0)))</f>
      </c>
      <c r="AA298" t="e">
        <f>IF(OR(OR($A298="",$D298=""),G298=""),"",G298-(INT($Y298/18)+IF(INDEX('Tournament Setup'!$AE:$AE,MATCH($A298,'Tournament Setup'!$A:$A,0))&lt;=MOD($Y298,18),1,0)))</f>
      </c>
      <c r="AB298" t="e">
        <f>IF(OR(OR($A298="",$D298=""),H298=""),"",H298-(INT($Y298/18)+IF(INDEX('Tournament Setup'!$AF:$AF,MATCH($A298,'Tournament Setup'!$A:$A,0))&lt;=MOD($Y298,18),1,0)))</f>
      </c>
      <c r="AC298" t="e">
        <f>IF(OR(OR($A298="",$D298=""),I298=""),"",I298-(INT($Y298/18)+IF(INDEX('Tournament Setup'!$AG:$AG,MATCH($A298,'Tournament Setup'!$A:$A,0))&lt;=MOD($Y298,18),1,0)))</f>
      </c>
      <c r="AD298" t="e">
        <f>IF(OR(OR($A298="",$D298=""),J298=""),"",J298-(INT($Y298/18)+IF(INDEX('Tournament Setup'!$AH:$AH,MATCH($A298,'Tournament Setup'!$A:$A,0))&lt;=MOD($Y298,18),1,0)))</f>
      </c>
      <c r="AE298" t="e">
        <f>IF(OR(OR($A298="",$D298=""),K298=""),"",K298-(INT($Y298/18)+IF(INDEX('Tournament Setup'!$AI:$AI,MATCH($A298,'Tournament Setup'!$A:$A,0))&lt;=MOD($Y298,18),1,0)))</f>
      </c>
      <c r="AF298" t="e">
        <f>IF(OR(OR($A298="",$D298=""),L298=""),"",L298-(INT($Y298/18)+IF(INDEX('Tournament Setup'!$AJ:$AJ,MATCH($A298,'Tournament Setup'!$A:$A,0))&lt;=MOD($Y298,18),1,0)))</f>
      </c>
      <c r="AG298" t="e">
        <f>IF(OR(OR($A298="",$D298=""),M298=""),"",M298-(INT($Y298/18)+IF(INDEX('Tournament Setup'!$AK:$AK,MATCH($A298,'Tournament Setup'!$A:$A,0))&lt;=MOD($Y298,18),1,0)))</f>
      </c>
      <c r="AH298" t="e">
        <f>IF(OR(OR($A298="",$D298=""),N298=""),"",N298-(INT($Y298/18)+IF(INDEX('Tournament Setup'!$AL:$AL,MATCH($A298,'Tournament Setup'!$A:$A,0))&lt;=MOD($Y298,18),1,0)))</f>
      </c>
      <c r="AI298" t="e">
        <f>IF(OR(OR($A298="",$D298=""),O298=""),"",O298-(INT($Y298/18)+IF(INDEX('Tournament Setup'!$AM:$AM,MATCH($A298,'Tournament Setup'!$A:$A,0))&lt;=MOD($Y298,18),1,0)))</f>
      </c>
      <c r="AJ298" t="e">
        <f>IF(OR(OR($A298="",$D298=""),P298=""),"",P298-(INT($Y298/18)+IF(INDEX('Tournament Setup'!$AN:$AN,MATCH($A298,'Tournament Setup'!$A:$A,0))&lt;=MOD($Y298,18),1,0)))</f>
      </c>
      <c r="AK298" t="e">
        <f>IF(OR(OR($A298="",$D298=""),Q298=""),"",Q298-(INT($Y298/18)+IF(INDEX('Tournament Setup'!$AO:$AO,MATCH($A298,'Tournament Setup'!$A:$A,0))&lt;=MOD($Y298,18),1,0)))</f>
      </c>
      <c r="AL298" t="e">
        <f>IF(OR(OR($A298="",$D298=""),R298=""),"",R298-(INT($Y298/18)+IF(INDEX('Tournament Setup'!$AP:$AP,MATCH($A298,'Tournament Setup'!$A:$A,0))&lt;=MOD($Y298,18),1,0)))</f>
      </c>
      <c r="AM298" t="e">
        <f>IF(OR(OR($A298="",$D298=""),S298=""),"",S298-(INT($Y298/18)+IF(INDEX('Tournament Setup'!$AQ:$AQ,MATCH($A298,'Tournament Setup'!$A:$A,0))&lt;=MOD($Y298,18),1,0)))</f>
      </c>
      <c r="AN298" t="e">
        <f>IF(OR(OR($A298="",$D298=""),T298=""),"",T298-(INT($Y298/18)+IF(INDEX('Tournament Setup'!$AR:$AR,MATCH($A298,'Tournament Setup'!$A:$A,0))&lt;=MOD($Y298,18),1,0)))</f>
      </c>
      <c r="AO298" t="e">
        <f>IF(OR(OR($A298="",$D298=""),U298=""),"",U298-(INT($Y298/18)+IF(INDEX('Tournament Setup'!$AS:$AS,MATCH($A298,'Tournament Setup'!$A:$A,0))&lt;=MOD($Y298,18),1,0)))</f>
      </c>
      <c r="AP298" t="e">
        <f>IF(OR(OR($A298="",$D298=""),V298=""),"",V298-(INT($Y298/18)+IF(INDEX('Tournament Setup'!$AT:$AT,MATCH($A298,'Tournament Setup'!$A:$A,0))&lt;=MOD($Y298,18),1,0)))</f>
      </c>
      <c r="AQ298" t="e">
        <f>IF(OR(OR($A298="",$D298=""),W298=""),"",W298-(INT($Y298/18)+IF(INDEX('Tournament Setup'!$AU:$AU,MATCH($A298,'Tournament Setup'!$A:$A,0))&lt;=MOD($Y298,18),1,0)))</f>
      </c>
    </row>
    <row r="299">
      <c r="X299" t="e">
        <f>IF(OR($A299="",$D299=""),"",SUM(F299:W299))</f>
      </c>
      <c r="Y299" t="e">
        <f>IF(OR($A299="",$D299=""),"",IF(INDEX('Tournament Setup'!$F:$F,MATCH($A299,'Tournament Setup'!$A:$A,0))="Net",ROUND(($E299-_xlfn.MINIFS($E$2:$E$401,$A$2:$A$401,$A299,$B$2:$B$401,$B299))*INDEX('Tournament Setup'!$G:$G,MATCH($A299,'Tournament Setup'!$A:$A,0))/100,0),0))</f>
      </c>
      <c r="Z299" t="e">
        <f>IF(OR(OR($A299="",$D299=""),F299=""),"",F299-(INT($Y299/18)+IF(INDEX('Tournament Setup'!$AD:$AD,MATCH($A299,'Tournament Setup'!$A:$A,0))&lt;=MOD($Y299,18),1,0)))</f>
      </c>
      <c r="AA299" t="e">
        <f>IF(OR(OR($A299="",$D299=""),G299=""),"",G299-(INT($Y299/18)+IF(INDEX('Tournament Setup'!$AE:$AE,MATCH($A299,'Tournament Setup'!$A:$A,0))&lt;=MOD($Y299,18),1,0)))</f>
      </c>
      <c r="AB299" t="e">
        <f>IF(OR(OR($A299="",$D299=""),H299=""),"",H299-(INT($Y299/18)+IF(INDEX('Tournament Setup'!$AF:$AF,MATCH($A299,'Tournament Setup'!$A:$A,0))&lt;=MOD($Y299,18),1,0)))</f>
      </c>
      <c r="AC299" t="e">
        <f>IF(OR(OR($A299="",$D299=""),I299=""),"",I299-(INT($Y299/18)+IF(INDEX('Tournament Setup'!$AG:$AG,MATCH($A299,'Tournament Setup'!$A:$A,0))&lt;=MOD($Y299,18),1,0)))</f>
      </c>
      <c r="AD299" t="e">
        <f>IF(OR(OR($A299="",$D299=""),J299=""),"",J299-(INT($Y299/18)+IF(INDEX('Tournament Setup'!$AH:$AH,MATCH($A299,'Tournament Setup'!$A:$A,0))&lt;=MOD($Y299,18),1,0)))</f>
      </c>
      <c r="AE299" t="e">
        <f>IF(OR(OR($A299="",$D299=""),K299=""),"",K299-(INT($Y299/18)+IF(INDEX('Tournament Setup'!$AI:$AI,MATCH($A299,'Tournament Setup'!$A:$A,0))&lt;=MOD($Y299,18),1,0)))</f>
      </c>
      <c r="AF299" t="e">
        <f>IF(OR(OR($A299="",$D299=""),L299=""),"",L299-(INT($Y299/18)+IF(INDEX('Tournament Setup'!$AJ:$AJ,MATCH($A299,'Tournament Setup'!$A:$A,0))&lt;=MOD($Y299,18),1,0)))</f>
      </c>
      <c r="AG299" t="e">
        <f>IF(OR(OR($A299="",$D299=""),M299=""),"",M299-(INT($Y299/18)+IF(INDEX('Tournament Setup'!$AK:$AK,MATCH($A299,'Tournament Setup'!$A:$A,0))&lt;=MOD($Y299,18),1,0)))</f>
      </c>
      <c r="AH299" t="e">
        <f>IF(OR(OR($A299="",$D299=""),N299=""),"",N299-(INT($Y299/18)+IF(INDEX('Tournament Setup'!$AL:$AL,MATCH($A299,'Tournament Setup'!$A:$A,0))&lt;=MOD($Y299,18),1,0)))</f>
      </c>
      <c r="AI299" t="e">
        <f>IF(OR(OR($A299="",$D299=""),O299=""),"",O299-(INT($Y299/18)+IF(INDEX('Tournament Setup'!$AM:$AM,MATCH($A299,'Tournament Setup'!$A:$A,0))&lt;=MOD($Y299,18),1,0)))</f>
      </c>
      <c r="AJ299" t="e">
        <f>IF(OR(OR($A299="",$D299=""),P299=""),"",P299-(INT($Y299/18)+IF(INDEX('Tournament Setup'!$AN:$AN,MATCH($A299,'Tournament Setup'!$A:$A,0))&lt;=MOD($Y299,18),1,0)))</f>
      </c>
      <c r="AK299" t="e">
        <f>IF(OR(OR($A299="",$D299=""),Q299=""),"",Q299-(INT($Y299/18)+IF(INDEX('Tournament Setup'!$AO:$AO,MATCH($A299,'Tournament Setup'!$A:$A,0))&lt;=MOD($Y299,18),1,0)))</f>
      </c>
      <c r="AL299" t="e">
        <f>IF(OR(OR($A299="",$D299=""),R299=""),"",R299-(INT($Y299/18)+IF(INDEX('Tournament Setup'!$AP:$AP,MATCH($A299,'Tournament Setup'!$A:$A,0))&lt;=MOD($Y299,18),1,0)))</f>
      </c>
      <c r="AM299" t="e">
        <f>IF(OR(OR($A299="",$D299=""),S299=""),"",S299-(INT($Y299/18)+IF(INDEX('Tournament Setup'!$AQ:$AQ,MATCH($A299,'Tournament Setup'!$A:$A,0))&lt;=MOD($Y299,18),1,0)))</f>
      </c>
      <c r="AN299" t="e">
        <f>IF(OR(OR($A299="",$D299=""),T299=""),"",T299-(INT($Y299/18)+IF(INDEX('Tournament Setup'!$AR:$AR,MATCH($A299,'Tournament Setup'!$A:$A,0))&lt;=MOD($Y299,18),1,0)))</f>
      </c>
      <c r="AO299" t="e">
        <f>IF(OR(OR($A299="",$D299=""),U299=""),"",U299-(INT($Y299/18)+IF(INDEX('Tournament Setup'!$AS:$AS,MATCH($A299,'Tournament Setup'!$A:$A,0))&lt;=MOD($Y299,18),1,0)))</f>
      </c>
      <c r="AP299" t="e">
        <f>IF(OR(OR($A299="",$D299=""),V299=""),"",V299-(INT($Y299/18)+IF(INDEX('Tournament Setup'!$AT:$AT,MATCH($A299,'Tournament Setup'!$A:$A,0))&lt;=MOD($Y299,18),1,0)))</f>
      </c>
      <c r="AQ299" t="e">
        <f>IF(OR(OR($A299="",$D299=""),W299=""),"",W299-(INT($Y299/18)+IF(INDEX('Tournament Setup'!$AU:$AU,MATCH($A299,'Tournament Setup'!$A:$A,0))&lt;=MOD($Y299,18),1,0)))</f>
      </c>
    </row>
    <row r="300">
      <c r="X300" t="e">
        <f>IF(OR($A300="",$D300=""),"",SUM(F300:W300))</f>
      </c>
      <c r="Y300" t="e">
        <f>IF(OR($A300="",$D300=""),"",IF(INDEX('Tournament Setup'!$F:$F,MATCH($A300,'Tournament Setup'!$A:$A,0))="Net",ROUND(($E300-_xlfn.MINIFS($E$2:$E$401,$A$2:$A$401,$A300,$B$2:$B$401,$B300))*INDEX('Tournament Setup'!$G:$G,MATCH($A300,'Tournament Setup'!$A:$A,0))/100,0),0))</f>
      </c>
      <c r="Z300" t="e">
        <f>IF(OR(OR($A300="",$D300=""),F300=""),"",F300-(INT($Y300/18)+IF(INDEX('Tournament Setup'!$AD:$AD,MATCH($A300,'Tournament Setup'!$A:$A,0))&lt;=MOD($Y300,18),1,0)))</f>
      </c>
      <c r="AA300" t="e">
        <f>IF(OR(OR($A300="",$D300=""),G300=""),"",G300-(INT($Y300/18)+IF(INDEX('Tournament Setup'!$AE:$AE,MATCH($A300,'Tournament Setup'!$A:$A,0))&lt;=MOD($Y300,18),1,0)))</f>
      </c>
      <c r="AB300" t="e">
        <f>IF(OR(OR($A300="",$D300=""),H300=""),"",H300-(INT($Y300/18)+IF(INDEX('Tournament Setup'!$AF:$AF,MATCH($A300,'Tournament Setup'!$A:$A,0))&lt;=MOD($Y300,18),1,0)))</f>
      </c>
      <c r="AC300" t="e">
        <f>IF(OR(OR($A300="",$D300=""),I300=""),"",I300-(INT($Y300/18)+IF(INDEX('Tournament Setup'!$AG:$AG,MATCH($A300,'Tournament Setup'!$A:$A,0))&lt;=MOD($Y300,18),1,0)))</f>
      </c>
      <c r="AD300" t="e">
        <f>IF(OR(OR($A300="",$D300=""),J300=""),"",J300-(INT($Y300/18)+IF(INDEX('Tournament Setup'!$AH:$AH,MATCH($A300,'Tournament Setup'!$A:$A,0))&lt;=MOD($Y300,18),1,0)))</f>
      </c>
      <c r="AE300" t="e">
        <f>IF(OR(OR($A300="",$D300=""),K300=""),"",K300-(INT($Y300/18)+IF(INDEX('Tournament Setup'!$AI:$AI,MATCH($A300,'Tournament Setup'!$A:$A,0))&lt;=MOD($Y300,18),1,0)))</f>
      </c>
      <c r="AF300" t="e">
        <f>IF(OR(OR($A300="",$D300=""),L300=""),"",L300-(INT($Y300/18)+IF(INDEX('Tournament Setup'!$AJ:$AJ,MATCH($A300,'Tournament Setup'!$A:$A,0))&lt;=MOD($Y300,18),1,0)))</f>
      </c>
      <c r="AG300" t="e">
        <f>IF(OR(OR($A300="",$D300=""),M300=""),"",M300-(INT($Y300/18)+IF(INDEX('Tournament Setup'!$AK:$AK,MATCH($A300,'Tournament Setup'!$A:$A,0))&lt;=MOD($Y300,18),1,0)))</f>
      </c>
      <c r="AH300" t="e">
        <f>IF(OR(OR($A300="",$D300=""),N300=""),"",N300-(INT($Y300/18)+IF(INDEX('Tournament Setup'!$AL:$AL,MATCH($A300,'Tournament Setup'!$A:$A,0))&lt;=MOD($Y300,18),1,0)))</f>
      </c>
      <c r="AI300" t="e">
        <f>IF(OR(OR($A300="",$D300=""),O300=""),"",O300-(INT($Y300/18)+IF(INDEX('Tournament Setup'!$AM:$AM,MATCH($A300,'Tournament Setup'!$A:$A,0))&lt;=MOD($Y300,18),1,0)))</f>
      </c>
      <c r="AJ300" t="e">
        <f>IF(OR(OR($A300="",$D300=""),P300=""),"",P300-(INT($Y300/18)+IF(INDEX('Tournament Setup'!$AN:$AN,MATCH($A300,'Tournament Setup'!$A:$A,0))&lt;=MOD($Y300,18),1,0)))</f>
      </c>
      <c r="AK300" t="e">
        <f>IF(OR(OR($A300="",$D300=""),Q300=""),"",Q300-(INT($Y300/18)+IF(INDEX('Tournament Setup'!$AO:$AO,MATCH($A300,'Tournament Setup'!$A:$A,0))&lt;=MOD($Y300,18),1,0)))</f>
      </c>
      <c r="AL300" t="e">
        <f>IF(OR(OR($A300="",$D300=""),R300=""),"",R300-(INT($Y300/18)+IF(INDEX('Tournament Setup'!$AP:$AP,MATCH($A300,'Tournament Setup'!$A:$A,0))&lt;=MOD($Y300,18),1,0)))</f>
      </c>
      <c r="AM300" t="e">
        <f>IF(OR(OR($A300="",$D300=""),S300=""),"",S300-(INT($Y300/18)+IF(INDEX('Tournament Setup'!$AQ:$AQ,MATCH($A300,'Tournament Setup'!$A:$A,0))&lt;=MOD($Y300,18),1,0)))</f>
      </c>
      <c r="AN300" t="e">
        <f>IF(OR(OR($A300="",$D300=""),T300=""),"",T300-(INT($Y300/18)+IF(INDEX('Tournament Setup'!$AR:$AR,MATCH($A300,'Tournament Setup'!$A:$A,0))&lt;=MOD($Y300,18),1,0)))</f>
      </c>
      <c r="AO300" t="e">
        <f>IF(OR(OR($A300="",$D300=""),U300=""),"",U300-(INT($Y300/18)+IF(INDEX('Tournament Setup'!$AS:$AS,MATCH($A300,'Tournament Setup'!$A:$A,0))&lt;=MOD($Y300,18),1,0)))</f>
      </c>
      <c r="AP300" t="e">
        <f>IF(OR(OR($A300="",$D300=""),V300=""),"",V300-(INT($Y300/18)+IF(INDEX('Tournament Setup'!$AT:$AT,MATCH($A300,'Tournament Setup'!$A:$A,0))&lt;=MOD($Y300,18),1,0)))</f>
      </c>
      <c r="AQ300" t="e">
        <f>IF(OR(OR($A300="",$D300=""),W300=""),"",W300-(INT($Y300/18)+IF(INDEX('Tournament Setup'!$AU:$AU,MATCH($A300,'Tournament Setup'!$A:$A,0))&lt;=MOD($Y300,18),1,0)))</f>
      </c>
    </row>
    <row r="301">
      <c r="X301" t="e">
        <f>IF(OR($A301="",$D301=""),"",SUM(F301:W301))</f>
      </c>
      <c r="Y301" t="e">
        <f>IF(OR($A301="",$D301=""),"",IF(INDEX('Tournament Setup'!$F:$F,MATCH($A301,'Tournament Setup'!$A:$A,0))="Net",ROUND(($E301-_xlfn.MINIFS($E$2:$E$401,$A$2:$A$401,$A301,$B$2:$B$401,$B301))*INDEX('Tournament Setup'!$G:$G,MATCH($A301,'Tournament Setup'!$A:$A,0))/100,0),0))</f>
      </c>
      <c r="Z301" t="e">
        <f>IF(OR(OR($A301="",$D301=""),F301=""),"",F301-(INT($Y301/18)+IF(INDEX('Tournament Setup'!$AD:$AD,MATCH($A301,'Tournament Setup'!$A:$A,0))&lt;=MOD($Y301,18),1,0)))</f>
      </c>
      <c r="AA301" t="e">
        <f>IF(OR(OR($A301="",$D301=""),G301=""),"",G301-(INT($Y301/18)+IF(INDEX('Tournament Setup'!$AE:$AE,MATCH($A301,'Tournament Setup'!$A:$A,0))&lt;=MOD($Y301,18),1,0)))</f>
      </c>
      <c r="AB301" t="e">
        <f>IF(OR(OR($A301="",$D301=""),H301=""),"",H301-(INT($Y301/18)+IF(INDEX('Tournament Setup'!$AF:$AF,MATCH($A301,'Tournament Setup'!$A:$A,0))&lt;=MOD($Y301,18),1,0)))</f>
      </c>
      <c r="AC301" t="e">
        <f>IF(OR(OR($A301="",$D301=""),I301=""),"",I301-(INT($Y301/18)+IF(INDEX('Tournament Setup'!$AG:$AG,MATCH($A301,'Tournament Setup'!$A:$A,0))&lt;=MOD($Y301,18),1,0)))</f>
      </c>
      <c r="AD301" t="e">
        <f>IF(OR(OR($A301="",$D301=""),J301=""),"",J301-(INT($Y301/18)+IF(INDEX('Tournament Setup'!$AH:$AH,MATCH($A301,'Tournament Setup'!$A:$A,0))&lt;=MOD($Y301,18),1,0)))</f>
      </c>
      <c r="AE301" t="e">
        <f>IF(OR(OR($A301="",$D301=""),K301=""),"",K301-(INT($Y301/18)+IF(INDEX('Tournament Setup'!$AI:$AI,MATCH($A301,'Tournament Setup'!$A:$A,0))&lt;=MOD($Y301,18),1,0)))</f>
      </c>
      <c r="AF301" t="e">
        <f>IF(OR(OR($A301="",$D301=""),L301=""),"",L301-(INT($Y301/18)+IF(INDEX('Tournament Setup'!$AJ:$AJ,MATCH($A301,'Tournament Setup'!$A:$A,0))&lt;=MOD($Y301,18),1,0)))</f>
      </c>
      <c r="AG301" t="e">
        <f>IF(OR(OR($A301="",$D301=""),M301=""),"",M301-(INT($Y301/18)+IF(INDEX('Tournament Setup'!$AK:$AK,MATCH($A301,'Tournament Setup'!$A:$A,0))&lt;=MOD($Y301,18),1,0)))</f>
      </c>
      <c r="AH301" t="e">
        <f>IF(OR(OR($A301="",$D301=""),N301=""),"",N301-(INT($Y301/18)+IF(INDEX('Tournament Setup'!$AL:$AL,MATCH($A301,'Tournament Setup'!$A:$A,0))&lt;=MOD($Y301,18),1,0)))</f>
      </c>
      <c r="AI301" t="e">
        <f>IF(OR(OR($A301="",$D301=""),O301=""),"",O301-(INT($Y301/18)+IF(INDEX('Tournament Setup'!$AM:$AM,MATCH($A301,'Tournament Setup'!$A:$A,0))&lt;=MOD($Y301,18),1,0)))</f>
      </c>
      <c r="AJ301" t="e">
        <f>IF(OR(OR($A301="",$D301=""),P301=""),"",P301-(INT($Y301/18)+IF(INDEX('Tournament Setup'!$AN:$AN,MATCH($A301,'Tournament Setup'!$A:$A,0))&lt;=MOD($Y301,18),1,0)))</f>
      </c>
      <c r="AK301" t="e">
        <f>IF(OR(OR($A301="",$D301=""),Q301=""),"",Q301-(INT($Y301/18)+IF(INDEX('Tournament Setup'!$AO:$AO,MATCH($A301,'Tournament Setup'!$A:$A,0))&lt;=MOD($Y301,18),1,0)))</f>
      </c>
      <c r="AL301" t="e">
        <f>IF(OR(OR($A301="",$D301=""),R301=""),"",R301-(INT($Y301/18)+IF(INDEX('Tournament Setup'!$AP:$AP,MATCH($A301,'Tournament Setup'!$A:$A,0))&lt;=MOD($Y301,18),1,0)))</f>
      </c>
      <c r="AM301" t="e">
        <f>IF(OR(OR($A301="",$D301=""),S301=""),"",S301-(INT($Y301/18)+IF(INDEX('Tournament Setup'!$AQ:$AQ,MATCH($A301,'Tournament Setup'!$A:$A,0))&lt;=MOD($Y301,18),1,0)))</f>
      </c>
      <c r="AN301" t="e">
        <f>IF(OR(OR($A301="",$D301=""),T301=""),"",T301-(INT($Y301/18)+IF(INDEX('Tournament Setup'!$AR:$AR,MATCH($A301,'Tournament Setup'!$A:$A,0))&lt;=MOD($Y301,18),1,0)))</f>
      </c>
      <c r="AO301" t="e">
        <f>IF(OR(OR($A301="",$D301=""),U301=""),"",U301-(INT($Y301/18)+IF(INDEX('Tournament Setup'!$AS:$AS,MATCH($A301,'Tournament Setup'!$A:$A,0))&lt;=MOD($Y301,18),1,0)))</f>
      </c>
      <c r="AP301" t="e">
        <f>IF(OR(OR($A301="",$D301=""),V301=""),"",V301-(INT($Y301/18)+IF(INDEX('Tournament Setup'!$AT:$AT,MATCH($A301,'Tournament Setup'!$A:$A,0))&lt;=MOD($Y301,18),1,0)))</f>
      </c>
      <c r="AQ301" t="e">
        <f>IF(OR(OR($A301="",$D301=""),W301=""),"",W301-(INT($Y301/18)+IF(INDEX('Tournament Setup'!$AU:$AU,MATCH($A301,'Tournament Setup'!$A:$A,0))&lt;=MOD($Y301,18),1,0)))</f>
      </c>
    </row>
    <row r="302">
      <c r="X302" t="e">
        <f>IF(OR($A302="",$D302=""),"",SUM(F302:W302))</f>
      </c>
      <c r="Y302" t="e">
        <f>IF(OR($A302="",$D302=""),"",IF(INDEX('Tournament Setup'!$F:$F,MATCH($A302,'Tournament Setup'!$A:$A,0))="Net",ROUND(($E302-_xlfn.MINIFS($E$2:$E$401,$A$2:$A$401,$A302,$B$2:$B$401,$B302))*INDEX('Tournament Setup'!$G:$G,MATCH($A302,'Tournament Setup'!$A:$A,0))/100,0),0))</f>
      </c>
      <c r="Z302" t="e">
        <f>IF(OR(OR($A302="",$D302=""),F302=""),"",F302-(INT($Y302/18)+IF(INDEX('Tournament Setup'!$AD:$AD,MATCH($A302,'Tournament Setup'!$A:$A,0))&lt;=MOD($Y302,18),1,0)))</f>
      </c>
      <c r="AA302" t="e">
        <f>IF(OR(OR($A302="",$D302=""),G302=""),"",G302-(INT($Y302/18)+IF(INDEX('Tournament Setup'!$AE:$AE,MATCH($A302,'Tournament Setup'!$A:$A,0))&lt;=MOD($Y302,18),1,0)))</f>
      </c>
      <c r="AB302" t="e">
        <f>IF(OR(OR($A302="",$D302=""),H302=""),"",H302-(INT($Y302/18)+IF(INDEX('Tournament Setup'!$AF:$AF,MATCH($A302,'Tournament Setup'!$A:$A,0))&lt;=MOD($Y302,18),1,0)))</f>
      </c>
      <c r="AC302" t="e">
        <f>IF(OR(OR($A302="",$D302=""),I302=""),"",I302-(INT($Y302/18)+IF(INDEX('Tournament Setup'!$AG:$AG,MATCH($A302,'Tournament Setup'!$A:$A,0))&lt;=MOD($Y302,18),1,0)))</f>
      </c>
      <c r="AD302" t="e">
        <f>IF(OR(OR($A302="",$D302=""),J302=""),"",J302-(INT($Y302/18)+IF(INDEX('Tournament Setup'!$AH:$AH,MATCH($A302,'Tournament Setup'!$A:$A,0))&lt;=MOD($Y302,18),1,0)))</f>
      </c>
      <c r="AE302" t="e">
        <f>IF(OR(OR($A302="",$D302=""),K302=""),"",K302-(INT($Y302/18)+IF(INDEX('Tournament Setup'!$AI:$AI,MATCH($A302,'Tournament Setup'!$A:$A,0))&lt;=MOD($Y302,18),1,0)))</f>
      </c>
      <c r="AF302" t="e">
        <f>IF(OR(OR($A302="",$D302=""),L302=""),"",L302-(INT($Y302/18)+IF(INDEX('Tournament Setup'!$AJ:$AJ,MATCH($A302,'Tournament Setup'!$A:$A,0))&lt;=MOD($Y302,18),1,0)))</f>
      </c>
      <c r="AG302" t="e">
        <f>IF(OR(OR($A302="",$D302=""),M302=""),"",M302-(INT($Y302/18)+IF(INDEX('Tournament Setup'!$AK:$AK,MATCH($A302,'Tournament Setup'!$A:$A,0))&lt;=MOD($Y302,18),1,0)))</f>
      </c>
      <c r="AH302" t="e">
        <f>IF(OR(OR($A302="",$D302=""),N302=""),"",N302-(INT($Y302/18)+IF(INDEX('Tournament Setup'!$AL:$AL,MATCH($A302,'Tournament Setup'!$A:$A,0))&lt;=MOD($Y302,18),1,0)))</f>
      </c>
      <c r="AI302" t="e">
        <f>IF(OR(OR($A302="",$D302=""),O302=""),"",O302-(INT($Y302/18)+IF(INDEX('Tournament Setup'!$AM:$AM,MATCH($A302,'Tournament Setup'!$A:$A,0))&lt;=MOD($Y302,18),1,0)))</f>
      </c>
      <c r="AJ302" t="e">
        <f>IF(OR(OR($A302="",$D302=""),P302=""),"",P302-(INT($Y302/18)+IF(INDEX('Tournament Setup'!$AN:$AN,MATCH($A302,'Tournament Setup'!$A:$A,0))&lt;=MOD($Y302,18),1,0)))</f>
      </c>
      <c r="AK302" t="e">
        <f>IF(OR(OR($A302="",$D302=""),Q302=""),"",Q302-(INT($Y302/18)+IF(INDEX('Tournament Setup'!$AO:$AO,MATCH($A302,'Tournament Setup'!$A:$A,0))&lt;=MOD($Y302,18),1,0)))</f>
      </c>
      <c r="AL302" t="e">
        <f>IF(OR(OR($A302="",$D302=""),R302=""),"",R302-(INT($Y302/18)+IF(INDEX('Tournament Setup'!$AP:$AP,MATCH($A302,'Tournament Setup'!$A:$A,0))&lt;=MOD($Y302,18),1,0)))</f>
      </c>
      <c r="AM302" t="e">
        <f>IF(OR(OR($A302="",$D302=""),S302=""),"",S302-(INT($Y302/18)+IF(INDEX('Tournament Setup'!$AQ:$AQ,MATCH($A302,'Tournament Setup'!$A:$A,0))&lt;=MOD($Y302,18),1,0)))</f>
      </c>
      <c r="AN302" t="e">
        <f>IF(OR(OR($A302="",$D302=""),T302=""),"",T302-(INT($Y302/18)+IF(INDEX('Tournament Setup'!$AR:$AR,MATCH($A302,'Tournament Setup'!$A:$A,0))&lt;=MOD($Y302,18),1,0)))</f>
      </c>
      <c r="AO302" t="e">
        <f>IF(OR(OR($A302="",$D302=""),U302=""),"",U302-(INT($Y302/18)+IF(INDEX('Tournament Setup'!$AS:$AS,MATCH($A302,'Tournament Setup'!$A:$A,0))&lt;=MOD($Y302,18),1,0)))</f>
      </c>
      <c r="AP302" t="e">
        <f>IF(OR(OR($A302="",$D302=""),V302=""),"",V302-(INT($Y302/18)+IF(INDEX('Tournament Setup'!$AT:$AT,MATCH($A302,'Tournament Setup'!$A:$A,0))&lt;=MOD($Y302,18),1,0)))</f>
      </c>
      <c r="AQ302" t="e">
        <f>IF(OR(OR($A302="",$D302=""),W302=""),"",W302-(INT($Y302/18)+IF(INDEX('Tournament Setup'!$AU:$AU,MATCH($A302,'Tournament Setup'!$A:$A,0))&lt;=MOD($Y302,18),1,0)))</f>
      </c>
    </row>
    <row r="303">
      <c r="X303" t="e">
        <f>IF(OR($A303="",$D303=""),"",SUM(F303:W303))</f>
      </c>
      <c r="Y303" t="e">
        <f>IF(OR($A303="",$D303=""),"",IF(INDEX('Tournament Setup'!$F:$F,MATCH($A303,'Tournament Setup'!$A:$A,0))="Net",ROUND(($E303-_xlfn.MINIFS($E$2:$E$401,$A$2:$A$401,$A303,$B$2:$B$401,$B303))*INDEX('Tournament Setup'!$G:$G,MATCH($A303,'Tournament Setup'!$A:$A,0))/100,0),0))</f>
      </c>
      <c r="Z303" t="e">
        <f>IF(OR(OR($A303="",$D303=""),F303=""),"",F303-(INT($Y303/18)+IF(INDEX('Tournament Setup'!$AD:$AD,MATCH($A303,'Tournament Setup'!$A:$A,0))&lt;=MOD($Y303,18),1,0)))</f>
      </c>
      <c r="AA303" t="e">
        <f>IF(OR(OR($A303="",$D303=""),G303=""),"",G303-(INT($Y303/18)+IF(INDEX('Tournament Setup'!$AE:$AE,MATCH($A303,'Tournament Setup'!$A:$A,0))&lt;=MOD($Y303,18),1,0)))</f>
      </c>
      <c r="AB303" t="e">
        <f>IF(OR(OR($A303="",$D303=""),H303=""),"",H303-(INT($Y303/18)+IF(INDEX('Tournament Setup'!$AF:$AF,MATCH($A303,'Tournament Setup'!$A:$A,0))&lt;=MOD($Y303,18),1,0)))</f>
      </c>
      <c r="AC303" t="e">
        <f>IF(OR(OR($A303="",$D303=""),I303=""),"",I303-(INT($Y303/18)+IF(INDEX('Tournament Setup'!$AG:$AG,MATCH($A303,'Tournament Setup'!$A:$A,0))&lt;=MOD($Y303,18),1,0)))</f>
      </c>
      <c r="AD303" t="e">
        <f>IF(OR(OR($A303="",$D303=""),J303=""),"",J303-(INT($Y303/18)+IF(INDEX('Tournament Setup'!$AH:$AH,MATCH($A303,'Tournament Setup'!$A:$A,0))&lt;=MOD($Y303,18),1,0)))</f>
      </c>
      <c r="AE303" t="e">
        <f>IF(OR(OR($A303="",$D303=""),K303=""),"",K303-(INT($Y303/18)+IF(INDEX('Tournament Setup'!$AI:$AI,MATCH($A303,'Tournament Setup'!$A:$A,0))&lt;=MOD($Y303,18),1,0)))</f>
      </c>
      <c r="AF303" t="e">
        <f>IF(OR(OR($A303="",$D303=""),L303=""),"",L303-(INT($Y303/18)+IF(INDEX('Tournament Setup'!$AJ:$AJ,MATCH($A303,'Tournament Setup'!$A:$A,0))&lt;=MOD($Y303,18),1,0)))</f>
      </c>
      <c r="AG303" t="e">
        <f>IF(OR(OR($A303="",$D303=""),M303=""),"",M303-(INT($Y303/18)+IF(INDEX('Tournament Setup'!$AK:$AK,MATCH($A303,'Tournament Setup'!$A:$A,0))&lt;=MOD($Y303,18),1,0)))</f>
      </c>
      <c r="AH303" t="e">
        <f>IF(OR(OR($A303="",$D303=""),N303=""),"",N303-(INT($Y303/18)+IF(INDEX('Tournament Setup'!$AL:$AL,MATCH($A303,'Tournament Setup'!$A:$A,0))&lt;=MOD($Y303,18),1,0)))</f>
      </c>
      <c r="AI303" t="e">
        <f>IF(OR(OR($A303="",$D303=""),O303=""),"",O303-(INT($Y303/18)+IF(INDEX('Tournament Setup'!$AM:$AM,MATCH($A303,'Tournament Setup'!$A:$A,0))&lt;=MOD($Y303,18),1,0)))</f>
      </c>
      <c r="AJ303" t="e">
        <f>IF(OR(OR($A303="",$D303=""),P303=""),"",P303-(INT($Y303/18)+IF(INDEX('Tournament Setup'!$AN:$AN,MATCH($A303,'Tournament Setup'!$A:$A,0))&lt;=MOD($Y303,18),1,0)))</f>
      </c>
      <c r="AK303" t="e">
        <f>IF(OR(OR($A303="",$D303=""),Q303=""),"",Q303-(INT($Y303/18)+IF(INDEX('Tournament Setup'!$AO:$AO,MATCH($A303,'Tournament Setup'!$A:$A,0))&lt;=MOD($Y303,18),1,0)))</f>
      </c>
      <c r="AL303" t="e">
        <f>IF(OR(OR($A303="",$D303=""),R303=""),"",R303-(INT($Y303/18)+IF(INDEX('Tournament Setup'!$AP:$AP,MATCH($A303,'Tournament Setup'!$A:$A,0))&lt;=MOD($Y303,18),1,0)))</f>
      </c>
      <c r="AM303" t="e">
        <f>IF(OR(OR($A303="",$D303=""),S303=""),"",S303-(INT($Y303/18)+IF(INDEX('Tournament Setup'!$AQ:$AQ,MATCH($A303,'Tournament Setup'!$A:$A,0))&lt;=MOD($Y303,18),1,0)))</f>
      </c>
      <c r="AN303" t="e">
        <f>IF(OR(OR($A303="",$D303=""),T303=""),"",T303-(INT($Y303/18)+IF(INDEX('Tournament Setup'!$AR:$AR,MATCH($A303,'Tournament Setup'!$A:$A,0))&lt;=MOD($Y303,18),1,0)))</f>
      </c>
      <c r="AO303" t="e">
        <f>IF(OR(OR($A303="",$D303=""),U303=""),"",U303-(INT($Y303/18)+IF(INDEX('Tournament Setup'!$AS:$AS,MATCH($A303,'Tournament Setup'!$A:$A,0))&lt;=MOD($Y303,18),1,0)))</f>
      </c>
      <c r="AP303" t="e">
        <f>IF(OR(OR($A303="",$D303=""),V303=""),"",V303-(INT($Y303/18)+IF(INDEX('Tournament Setup'!$AT:$AT,MATCH($A303,'Tournament Setup'!$A:$A,0))&lt;=MOD($Y303,18),1,0)))</f>
      </c>
      <c r="AQ303" t="e">
        <f>IF(OR(OR($A303="",$D303=""),W303=""),"",W303-(INT($Y303/18)+IF(INDEX('Tournament Setup'!$AU:$AU,MATCH($A303,'Tournament Setup'!$A:$A,0))&lt;=MOD($Y303,18),1,0)))</f>
      </c>
    </row>
    <row r="304">
      <c r="X304" t="e">
        <f>IF(OR($A304="",$D304=""),"",SUM(F304:W304))</f>
      </c>
      <c r="Y304" t="e">
        <f>IF(OR($A304="",$D304=""),"",IF(INDEX('Tournament Setup'!$F:$F,MATCH($A304,'Tournament Setup'!$A:$A,0))="Net",ROUND(($E304-_xlfn.MINIFS($E$2:$E$401,$A$2:$A$401,$A304,$B$2:$B$401,$B304))*INDEX('Tournament Setup'!$G:$G,MATCH($A304,'Tournament Setup'!$A:$A,0))/100,0),0))</f>
      </c>
      <c r="Z304" t="e">
        <f>IF(OR(OR($A304="",$D304=""),F304=""),"",F304-(INT($Y304/18)+IF(INDEX('Tournament Setup'!$AD:$AD,MATCH($A304,'Tournament Setup'!$A:$A,0))&lt;=MOD($Y304,18),1,0)))</f>
      </c>
      <c r="AA304" t="e">
        <f>IF(OR(OR($A304="",$D304=""),G304=""),"",G304-(INT($Y304/18)+IF(INDEX('Tournament Setup'!$AE:$AE,MATCH($A304,'Tournament Setup'!$A:$A,0))&lt;=MOD($Y304,18),1,0)))</f>
      </c>
      <c r="AB304" t="e">
        <f>IF(OR(OR($A304="",$D304=""),H304=""),"",H304-(INT($Y304/18)+IF(INDEX('Tournament Setup'!$AF:$AF,MATCH($A304,'Tournament Setup'!$A:$A,0))&lt;=MOD($Y304,18),1,0)))</f>
      </c>
      <c r="AC304" t="e">
        <f>IF(OR(OR($A304="",$D304=""),I304=""),"",I304-(INT($Y304/18)+IF(INDEX('Tournament Setup'!$AG:$AG,MATCH($A304,'Tournament Setup'!$A:$A,0))&lt;=MOD($Y304,18),1,0)))</f>
      </c>
      <c r="AD304" t="e">
        <f>IF(OR(OR($A304="",$D304=""),J304=""),"",J304-(INT($Y304/18)+IF(INDEX('Tournament Setup'!$AH:$AH,MATCH($A304,'Tournament Setup'!$A:$A,0))&lt;=MOD($Y304,18),1,0)))</f>
      </c>
      <c r="AE304" t="e">
        <f>IF(OR(OR($A304="",$D304=""),K304=""),"",K304-(INT($Y304/18)+IF(INDEX('Tournament Setup'!$AI:$AI,MATCH($A304,'Tournament Setup'!$A:$A,0))&lt;=MOD($Y304,18),1,0)))</f>
      </c>
      <c r="AF304" t="e">
        <f>IF(OR(OR($A304="",$D304=""),L304=""),"",L304-(INT($Y304/18)+IF(INDEX('Tournament Setup'!$AJ:$AJ,MATCH($A304,'Tournament Setup'!$A:$A,0))&lt;=MOD($Y304,18),1,0)))</f>
      </c>
      <c r="AG304" t="e">
        <f>IF(OR(OR($A304="",$D304=""),M304=""),"",M304-(INT($Y304/18)+IF(INDEX('Tournament Setup'!$AK:$AK,MATCH($A304,'Tournament Setup'!$A:$A,0))&lt;=MOD($Y304,18),1,0)))</f>
      </c>
      <c r="AH304" t="e">
        <f>IF(OR(OR($A304="",$D304=""),N304=""),"",N304-(INT($Y304/18)+IF(INDEX('Tournament Setup'!$AL:$AL,MATCH($A304,'Tournament Setup'!$A:$A,0))&lt;=MOD($Y304,18),1,0)))</f>
      </c>
      <c r="AI304" t="e">
        <f>IF(OR(OR($A304="",$D304=""),O304=""),"",O304-(INT($Y304/18)+IF(INDEX('Tournament Setup'!$AM:$AM,MATCH($A304,'Tournament Setup'!$A:$A,0))&lt;=MOD($Y304,18),1,0)))</f>
      </c>
      <c r="AJ304" t="e">
        <f>IF(OR(OR($A304="",$D304=""),P304=""),"",P304-(INT($Y304/18)+IF(INDEX('Tournament Setup'!$AN:$AN,MATCH($A304,'Tournament Setup'!$A:$A,0))&lt;=MOD($Y304,18),1,0)))</f>
      </c>
      <c r="AK304" t="e">
        <f>IF(OR(OR($A304="",$D304=""),Q304=""),"",Q304-(INT($Y304/18)+IF(INDEX('Tournament Setup'!$AO:$AO,MATCH($A304,'Tournament Setup'!$A:$A,0))&lt;=MOD($Y304,18),1,0)))</f>
      </c>
      <c r="AL304" t="e">
        <f>IF(OR(OR($A304="",$D304=""),R304=""),"",R304-(INT($Y304/18)+IF(INDEX('Tournament Setup'!$AP:$AP,MATCH($A304,'Tournament Setup'!$A:$A,0))&lt;=MOD($Y304,18),1,0)))</f>
      </c>
      <c r="AM304" t="e">
        <f>IF(OR(OR($A304="",$D304=""),S304=""),"",S304-(INT($Y304/18)+IF(INDEX('Tournament Setup'!$AQ:$AQ,MATCH($A304,'Tournament Setup'!$A:$A,0))&lt;=MOD($Y304,18),1,0)))</f>
      </c>
      <c r="AN304" t="e">
        <f>IF(OR(OR($A304="",$D304=""),T304=""),"",T304-(INT($Y304/18)+IF(INDEX('Tournament Setup'!$AR:$AR,MATCH($A304,'Tournament Setup'!$A:$A,0))&lt;=MOD($Y304,18),1,0)))</f>
      </c>
      <c r="AO304" t="e">
        <f>IF(OR(OR($A304="",$D304=""),U304=""),"",U304-(INT($Y304/18)+IF(INDEX('Tournament Setup'!$AS:$AS,MATCH($A304,'Tournament Setup'!$A:$A,0))&lt;=MOD($Y304,18),1,0)))</f>
      </c>
      <c r="AP304" t="e">
        <f>IF(OR(OR($A304="",$D304=""),V304=""),"",V304-(INT($Y304/18)+IF(INDEX('Tournament Setup'!$AT:$AT,MATCH($A304,'Tournament Setup'!$A:$A,0))&lt;=MOD($Y304,18),1,0)))</f>
      </c>
      <c r="AQ304" t="e">
        <f>IF(OR(OR($A304="",$D304=""),W304=""),"",W304-(INT($Y304/18)+IF(INDEX('Tournament Setup'!$AU:$AU,MATCH($A304,'Tournament Setup'!$A:$A,0))&lt;=MOD($Y304,18),1,0)))</f>
      </c>
    </row>
    <row r="305">
      <c r="X305" t="e">
        <f>IF(OR($A305="",$D305=""),"",SUM(F305:W305))</f>
      </c>
      <c r="Y305" t="e">
        <f>IF(OR($A305="",$D305=""),"",IF(INDEX('Tournament Setup'!$F:$F,MATCH($A305,'Tournament Setup'!$A:$A,0))="Net",ROUND(($E305-_xlfn.MINIFS($E$2:$E$401,$A$2:$A$401,$A305,$B$2:$B$401,$B305))*INDEX('Tournament Setup'!$G:$G,MATCH($A305,'Tournament Setup'!$A:$A,0))/100,0),0))</f>
      </c>
      <c r="Z305" t="e">
        <f>IF(OR(OR($A305="",$D305=""),F305=""),"",F305-(INT($Y305/18)+IF(INDEX('Tournament Setup'!$AD:$AD,MATCH($A305,'Tournament Setup'!$A:$A,0))&lt;=MOD($Y305,18),1,0)))</f>
      </c>
      <c r="AA305" t="e">
        <f>IF(OR(OR($A305="",$D305=""),G305=""),"",G305-(INT($Y305/18)+IF(INDEX('Tournament Setup'!$AE:$AE,MATCH($A305,'Tournament Setup'!$A:$A,0))&lt;=MOD($Y305,18),1,0)))</f>
      </c>
      <c r="AB305" t="e">
        <f>IF(OR(OR($A305="",$D305=""),H305=""),"",H305-(INT($Y305/18)+IF(INDEX('Tournament Setup'!$AF:$AF,MATCH($A305,'Tournament Setup'!$A:$A,0))&lt;=MOD($Y305,18),1,0)))</f>
      </c>
      <c r="AC305" t="e">
        <f>IF(OR(OR($A305="",$D305=""),I305=""),"",I305-(INT($Y305/18)+IF(INDEX('Tournament Setup'!$AG:$AG,MATCH($A305,'Tournament Setup'!$A:$A,0))&lt;=MOD($Y305,18),1,0)))</f>
      </c>
      <c r="AD305" t="e">
        <f>IF(OR(OR($A305="",$D305=""),J305=""),"",J305-(INT($Y305/18)+IF(INDEX('Tournament Setup'!$AH:$AH,MATCH($A305,'Tournament Setup'!$A:$A,0))&lt;=MOD($Y305,18),1,0)))</f>
      </c>
      <c r="AE305" t="e">
        <f>IF(OR(OR($A305="",$D305=""),K305=""),"",K305-(INT($Y305/18)+IF(INDEX('Tournament Setup'!$AI:$AI,MATCH($A305,'Tournament Setup'!$A:$A,0))&lt;=MOD($Y305,18),1,0)))</f>
      </c>
      <c r="AF305" t="e">
        <f>IF(OR(OR($A305="",$D305=""),L305=""),"",L305-(INT($Y305/18)+IF(INDEX('Tournament Setup'!$AJ:$AJ,MATCH($A305,'Tournament Setup'!$A:$A,0))&lt;=MOD($Y305,18),1,0)))</f>
      </c>
      <c r="AG305" t="e">
        <f>IF(OR(OR($A305="",$D305=""),M305=""),"",M305-(INT($Y305/18)+IF(INDEX('Tournament Setup'!$AK:$AK,MATCH($A305,'Tournament Setup'!$A:$A,0))&lt;=MOD($Y305,18),1,0)))</f>
      </c>
      <c r="AH305" t="e">
        <f>IF(OR(OR($A305="",$D305=""),N305=""),"",N305-(INT($Y305/18)+IF(INDEX('Tournament Setup'!$AL:$AL,MATCH($A305,'Tournament Setup'!$A:$A,0))&lt;=MOD($Y305,18),1,0)))</f>
      </c>
      <c r="AI305" t="e">
        <f>IF(OR(OR($A305="",$D305=""),O305=""),"",O305-(INT($Y305/18)+IF(INDEX('Tournament Setup'!$AM:$AM,MATCH($A305,'Tournament Setup'!$A:$A,0))&lt;=MOD($Y305,18),1,0)))</f>
      </c>
      <c r="AJ305" t="e">
        <f>IF(OR(OR($A305="",$D305=""),P305=""),"",P305-(INT($Y305/18)+IF(INDEX('Tournament Setup'!$AN:$AN,MATCH($A305,'Tournament Setup'!$A:$A,0))&lt;=MOD($Y305,18),1,0)))</f>
      </c>
      <c r="AK305" t="e">
        <f>IF(OR(OR($A305="",$D305=""),Q305=""),"",Q305-(INT($Y305/18)+IF(INDEX('Tournament Setup'!$AO:$AO,MATCH($A305,'Tournament Setup'!$A:$A,0))&lt;=MOD($Y305,18),1,0)))</f>
      </c>
      <c r="AL305" t="e">
        <f>IF(OR(OR($A305="",$D305=""),R305=""),"",R305-(INT($Y305/18)+IF(INDEX('Tournament Setup'!$AP:$AP,MATCH($A305,'Tournament Setup'!$A:$A,0))&lt;=MOD($Y305,18),1,0)))</f>
      </c>
      <c r="AM305" t="e">
        <f>IF(OR(OR($A305="",$D305=""),S305=""),"",S305-(INT($Y305/18)+IF(INDEX('Tournament Setup'!$AQ:$AQ,MATCH($A305,'Tournament Setup'!$A:$A,0))&lt;=MOD($Y305,18),1,0)))</f>
      </c>
      <c r="AN305" t="e">
        <f>IF(OR(OR($A305="",$D305=""),T305=""),"",T305-(INT($Y305/18)+IF(INDEX('Tournament Setup'!$AR:$AR,MATCH($A305,'Tournament Setup'!$A:$A,0))&lt;=MOD($Y305,18),1,0)))</f>
      </c>
      <c r="AO305" t="e">
        <f>IF(OR(OR($A305="",$D305=""),U305=""),"",U305-(INT($Y305/18)+IF(INDEX('Tournament Setup'!$AS:$AS,MATCH($A305,'Tournament Setup'!$A:$A,0))&lt;=MOD($Y305,18),1,0)))</f>
      </c>
      <c r="AP305" t="e">
        <f>IF(OR(OR($A305="",$D305=""),V305=""),"",V305-(INT($Y305/18)+IF(INDEX('Tournament Setup'!$AT:$AT,MATCH($A305,'Tournament Setup'!$A:$A,0))&lt;=MOD($Y305,18),1,0)))</f>
      </c>
      <c r="AQ305" t="e">
        <f>IF(OR(OR($A305="",$D305=""),W305=""),"",W305-(INT($Y305/18)+IF(INDEX('Tournament Setup'!$AU:$AU,MATCH($A305,'Tournament Setup'!$A:$A,0))&lt;=MOD($Y305,18),1,0)))</f>
      </c>
    </row>
    <row r="306">
      <c r="X306" t="e">
        <f>IF(OR($A306="",$D306=""),"",SUM(F306:W306))</f>
      </c>
      <c r="Y306" t="e">
        <f>IF(OR($A306="",$D306=""),"",IF(INDEX('Tournament Setup'!$F:$F,MATCH($A306,'Tournament Setup'!$A:$A,0))="Net",ROUND(($E306-_xlfn.MINIFS($E$2:$E$401,$A$2:$A$401,$A306,$B$2:$B$401,$B306))*INDEX('Tournament Setup'!$G:$G,MATCH($A306,'Tournament Setup'!$A:$A,0))/100,0),0))</f>
      </c>
      <c r="Z306" t="e">
        <f>IF(OR(OR($A306="",$D306=""),F306=""),"",F306-(INT($Y306/18)+IF(INDEX('Tournament Setup'!$AD:$AD,MATCH($A306,'Tournament Setup'!$A:$A,0))&lt;=MOD($Y306,18),1,0)))</f>
      </c>
      <c r="AA306" t="e">
        <f>IF(OR(OR($A306="",$D306=""),G306=""),"",G306-(INT($Y306/18)+IF(INDEX('Tournament Setup'!$AE:$AE,MATCH($A306,'Tournament Setup'!$A:$A,0))&lt;=MOD($Y306,18),1,0)))</f>
      </c>
      <c r="AB306" t="e">
        <f>IF(OR(OR($A306="",$D306=""),H306=""),"",H306-(INT($Y306/18)+IF(INDEX('Tournament Setup'!$AF:$AF,MATCH($A306,'Tournament Setup'!$A:$A,0))&lt;=MOD($Y306,18),1,0)))</f>
      </c>
      <c r="AC306" t="e">
        <f>IF(OR(OR($A306="",$D306=""),I306=""),"",I306-(INT($Y306/18)+IF(INDEX('Tournament Setup'!$AG:$AG,MATCH($A306,'Tournament Setup'!$A:$A,0))&lt;=MOD($Y306,18),1,0)))</f>
      </c>
      <c r="AD306" t="e">
        <f>IF(OR(OR($A306="",$D306=""),J306=""),"",J306-(INT($Y306/18)+IF(INDEX('Tournament Setup'!$AH:$AH,MATCH($A306,'Tournament Setup'!$A:$A,0))&lt;=MOD($Y306,18),1,0)))</f>
      </c>
      <c r="AE306" t="e">
        <f>IF(OR(OR($A306="",$D306=""),K306=""),"",K306-(INT($Y306/18)+IF(INDEX('Tournament Setup'!$AI:$AI,MATCH($A306,'Tournament Setup'!$A:$A,0))&lt;=MOD($Y306,18),1,0)))</f>
      </c>
      <c r="AF306" t="e">
        <f>IF(OR(OR($A306="",$D306=""),L306=""),"",L306-(INT($Y306/18)+IF(INDEX('Tournament Setup'!$AJ:$AJ,MATCH($A306,'Tournament Setup'!$A:$A,0))&lt;=MOD($Y306,18),1,0)))</f>
      </c>
      <c r="AG306" t="e">
        <f>IF(OR(OR($A306="",$D306=""),M306=""),"",M306-(INT($Y306/18)+IF(INDEX('Tournament Setup'!$AK:$AK,MATCH($A306,'Tournament Setup'!$A:$A,0))&lt;=MOD($Y306,18),1,0)))</f>
      </c>
      <c r="AH306" t="e">
        <f>IF(OR(OR($A306="",$D306=""),N306=""),"",N306-(INT($Y306/18)+IF(INDEX('Tournament Setup'!$AL:$AL,MATCH($A306,'Tournament Setup'!$A:$A,0))&lt;=MOD($Y306,18),1,0)))</f>
      </c>
      <c r="AI306" t="e">
        <f>IF(OR(OR($A306="",$D306=""),O306=""),"",O306-(INT($Y306/18)+IF(INDEX('Tournament Setup'!$AM:$AM,MATCH($A306,'Tournament Setup'!$A:$A,0))&lt;=MOD($Y306,18),1,0)))</f>
      </c>
      <c r="AJ306" t="e">
        <f>IF(OR(OR($A306="",$D306=""),P306=""),"",P306-(INT($Y306/18)+IF(INDEX('Tournament Setup'!$AN:$AN,MATCH($A306,'Tournament Setup'!$A:$A,0))&lt;=MOD($Y306,18),1,0)))</f>
      </c>
      <c r="AK306" t="e">
        <f>IF(OR(OR($A306="",$D306=""),Q306=""),"",Q306-(INT($Y306/18)+IF(INDEX('Tournament Setup'!$AO:$AO,MATCH($A306,'Tournament Setup'!$A:$A,0))&lt;=MOD($Y306,18),1,0)))</f>
      </c>
      <c r="AL306" t="e">
        <f>IF(OR(OR($A306="",$D306=""),R306=""),"",R306-(INT($Y306/18)+IF(INDEX('Tournament Setup'!$AP:$AP,MATCH($A306,'Tournament Setup'!$A:$A,0))&lt;=MOD($Y306,18),1,0)))</f>
      </c>
      <c r="AM306" t="e">
        <f>IF(OR(OR($A306="",$D306=""),S306=""),"",S306-(INT($Y306/18)+IF(INDEX('Tournament Setup'!$AQ:$AQ,MATCH($A306,'Tournament Setup'!$A:$A,0))&lt;=MOD($Y306,18),1,0)))</f>
      </c>
      <c r="AN306" t="e">
        <f>IF(OR(OR($A306="",$D306=""),T306=""),"",T306-(INT($Y306/18)+IF(INDEX('Tournament Setup'!$AR:$AR,MATCH($A306,'Tournament Setup'!$A:$A,0))&lt;=MOD($Y306,18),1,0)))</f>
      </c>
      <c r="AO306" t="e">
        <f>IF(OR(OR($A306="",$D306=""),U306=""),"",U306-(INT($Y306/18)+IF(INDEX('Tournament Setup'!$AS:$AS,MATCH($A306,'Tournament Setup'!$A:$A,0))&lt;=MOD($Y306,18),1,0)))</f>
      </c>
      <c r="AP306" t="e">
        <f>IF(OR(OR($A306="",$D306=""),V306=""),"",V306-(INT($Y306/18)+IF(INDEX('Tournament Setup'!$AT:$AT,MATCH($A306,'Tournament Setup'!$A:$A,0))&lt;=MOD($Y306,18),1,0)))</f>
      </c>
      <c r="AQ306" t="e">
        <f>IF(OR(OR($A306="",$D306=""),W306=""),"",W306-(INT($Y306/18)+IF(INDEX('Tournament Setup'!$AU:$AU,MATCH($A306,'Tournament Setup'!$A:$A,0))&lt;=MOD($Y306,18),1,0)))</f>
      </c>
    </row>
    <row r="307">
      <c r="X307" t="e">
        <f>IF(OR($A307="",$D307=""),"",SUM(F307:W307))</f>
      </c>
      <c r="Y307" t="e">
        <f>IF(OR($A307="",$D307=""),"",IF(INDEX('Tournament Setup'!$F:$F,MATCH($A307,'Tournament Setup'!$A:$A,0))="Net",ROUND(($E307-_xlfn.MINIFS($E$2:$E$401,$A$2:$A$401,$A307,$B$2:$B$401,$B307))*INDEX('Tournament Setup'!$G:$G,MATCH($A307,'Tournament Setup'!$A:$A,0))/100,0),0))</f>
      </c>
      <c r="Z307" t="e">
        <f>IF(OR(OR($A307="",$D307=""),F307=""),"",F307-(INT($Y307/18)+IF(INDEX('Tournament Setup'!$AD:$AD,MATCH($A307,'Tournament Setup'!$A:$A,0))&lt;=MOD($Y307,18),1,0)))</f>
      </c>
      <c r="AA307" t="e">
        <f>IF(OR(OR($A307="",$D307=""),G307=""),"",G307-(INT($Y307/18)+IF(INDEX('Tournament Setup'!$AE:$AE,MATCH($A307,'Tournament Setup'!$A:$A,0))&lt;=MOD($Y307,18),1,0)))</f>
      </c>
      <c r="AB307" t="e">
        <f>IF(OR(OR($A307="",$D307=""),H307=""),"",H307-(INT($Y307/18)+IF(INDEX('Tournament Setup'!$AF:$AF,MATCH($A307,'Tournament Setup'!$A:$A,0))&lt;=MOD($Y307,18),1,0)))</f>
      </c>
      <c r="AC307" t="e">
        <f>IF(OR(OR($A307="",$D307=""),I307=""),"",I307-(INT($Y307/18)+IF(INDEX('Tournament Setup'!$AG:$AG,MATCH($A307,'Tournament Setup'!$A:$A,0))&lt;=MOD($Y307,18),1,0)))</f>
      </c>
      <c r="AD307" t="e">
        <f>IF(OR(OR($A307="",$D307=""),J307=""),"",J307-(INT($Y307/18)+IF(INDEX('Tournament Setup'!$AH:$AH,MATCH($A307,'Tournament Setup'!$A:$A,0))&lt;=MOD($Y307,18),1,0)))</f>
      </c>
      <c r="AE307" t="e">
        <f>IF(OR(OR($A307="",$D307=""),K307=""),"",K307-(INT($Y307/18)+IF(INDEX('Tournament Setup'!$AI:$AI,MATCH($A307,'Tournament Setup'!$A:$A,0))&lt;=MOD($Y307,18),1,0)))</f>
      </c>
      <c r="AF307" t="e">
        <f>IF(OR(OR($A307="",$D307=""),L307=""),"",L307-(INT($Y307/18)+IF(INDEX('Tournament Setup'!$AJ:$AJ,MATCH($A307,'Tournament Setup'!$A:$A,0))&lt;=MOD($Y307,18),1,0)))</f>
      </c>
      <c r="AG307" t="e">
        <f>IF(OR(OR($A307="",$D307=""),M307=""),"",M307-(INT($Y307/18)+IF(INDEX('Tournament Setup'!$AK:$AK,MATCH($A307,'Tournament Setup'!$A:$A,0))&lt;=MOD($Y307,18),1,0)))</f>
      </c>
      <c r="AH307" t="e">
        <f>IF(OR(OR($A307="",$D307=""),N307=""),"",N307-(INT($Y307/18)+IF(INDEX('Tournament Setup'!$AL:$AL,MATCH($A307,'Tournament Setup'!$A:$A,0))&lt;=MOD($Y307,18),1,0)))</f>
      </c>
      <c r="AI307" t="e">
        <f>IF(OR(OR($A307="",$D307=""),O307=""),"",O307-(INT($Y307/18)+IF(INDEX('Tournament Setup'!$AM:$AM,MATCH($A307,'Tournament Setup'!$A:$A,0))&lt;=MOD($Y307,18),1,0)))</f>
      </c>
      <c r="AJ307" t="e">
        <f>IF(OR(OR($A307="",$D307=""),P307=""),"",P307-(INT($Y307/18)+IF(INDEX('Tournament Setup'!$AN:$AN,MATCH($A307,'Tournament Setup'!$A:$A,0))&lt;=MOD($Y307,18),1,0)))</f>
      </c>
      <c r="AK307" t="e">
        <f>IF(OR(OR($A307="",$D307=""),Q307=""),"",Q307-(INT($Y307/18)+IF(INDEX('Tournament Setup'!$AO:$AO,MATCH($A307,'Tournament Setup'!$A:$A,0))&lt;=MOD($Y307,18),1,0)))</f>
      </c>
      <c r="AL307" t="e">
        <f>IF(OR(OR($A307="",$D307=""),R307=""),"",R307-(INT($Y307/18)+IF(INDEX('Tournament Setup'!$AP:$AP,MATCH($A307,'Tournament Setup'!$A:$A,0))&lt;=MOD($Y307,18),1,0)))</f>
      </c>
      <c r="AM307" t="e">
        <f>IF(OR(OR($A307="",$D307=""),S307=""),"",S307-(INT($Y307/18)+IF(INDEX('Tournament Setup'!$AQ:$AQ,MATCH($A307,'Tournament Setup'!$A:$A,0))&lt;=MOD($Y307,18),1,0)))</f>
      </c>
      <c r="AN307" t="e">
        <f>IF(OR(OR($A307="",$D307=""),T307=""),"",T307-(INT($Y307/18)+IF(INDEX('Tournament Setup'!$AR:$AR,MATCH($A307,'Tournament Setup'!$A:$A,0))&lt;=MOD($Y307,18),1,0)))</f>
      </c>
      <c r="AO307" t="e">
        <f>IF(OR(OR($A307="",$D307=""),U307=""),"",U307-(INT($Y307/18)+IF(INDEX('Tournament Setup'!$AS:$AS,MATCH($A307,'Tournament Setup'!$A:$A,0))&lt;=MOD($Y307,18),1,0)))</f>
      </c>
      <c r="AP307" t="e">
        <f>IF(OR(OR($A307="",$D307=""),V307=""),"",V307-(INT($Y307/18)+IF(INDEX('Tournament Setup'!$AT:$AT,MATCH($A307,'Tournament Setup'!$A:$A,0))&lt;=MOD($Y307,18),1,0)))</f>
      </c>
      <c r="AQ307" t="e">
        <f>IF(OR(OR($A307="",$D307=""),W307=""),"",W307-(INT($Y307/18)+IF(INDEX('Tournament Setup'!$AU:$AU,MATCH($A307,'Tournament Setup'!$A:$A,0))&lt;=MOD($Y307,18),1,0)))</f>
      </c>
    </row>
    <row r="308">
      <c r="X308" t="e">
        <f>IF(OR($A308="",$D308=""),"",SUM(F308:W308))</f>
      </c>
      <c r="Y308" t="e">
        <f>IF(OR($A308="",$D308=""),"",IF(INDEX('Tournament Setup'!$F:$F,MATCH($A308,'Tournament Setup'!$A:$A,0))="Net",ROUND(($E308-_xlfn.MINIFS($E$2:$E$401,$A$2:$A$401,$A308,$B$2:$B$401,$B308))*INDEX('Tournament Setup'!$G:$G,MATCH($A308,'Tournament Setup'!$A:$A,0))/100,0),0))</f>
      </c>
      <c r="Z308" t="e">
        <f>IF(OR(OR($A308="",$D308=""),F308=""),"",F308-(INT($Y308/18)+IF(INDEX('Tournament Setup'!$AD:$AD,MATCH($A308,'Tournament Setup'!$A:$A,0))&lt;=MOD($Y308,18),1,0)))</f>
      </c>
      <c r="AA308" t="e">
        <f>IF(OR(OR($A308="",$D308=""),G308=""),"",G308-(INT($Y308/18)+IF(INDEX('Tournament Setup'!$AE:$AE,MATCH($A308,'Tournament Setup'!$A:$A,0))&lt;=MOD($Y308,18),1,0)))</f>
      </c>
      <c r="AB308" t="e">
        <f>IF(OR(OR($A308="",$D308=""),H308=""),"",H308-(INT($Y308/18)+IF(INDEX('Tournament Setup'!$AF:$AF,MATCH($A308,'Tournament Setup'!$A:$A,0))&lt;=MOD($Y308,18),1,0)))</f>
      </c>
      <c r="AC308" t="e">
        <f>IF(OR(OR($A308="",$D308=""),I308=""),"",I308-(INT($Y308/18)+IF(INDEX('Tournament Setup'!$AG:$AG,MATCH($A308,'Tournament Setup'!$A:$A,0))&lt;=MOD($Y308,18),1,0)))</f>
      </c>
      <c r="AD308" t="e">
        <f>IF(OR(OR($A308="",$D308=""),J308=""),"",J308-(INT($Y308/18)+IF(INDEX('Tournament Setup'!$AH:$AH,MATCH($A308,'Tournament Setup'!$A:$A,0))&lt;=MOD($Y308,18),1,0)))</f>
      </c>
      <c r="AE308" t="e">
        <f>IF(OR(OR($A308="",$D308=""),K308=""),"",K308-(INT($Y308/18)+IF(INDEX('Tournament Setup'!$AI:$AI,MATCH($A308,'Tournament Setup'!$A:$A,0))&lt;=MOD($Y308,18),1,0)))</f>
      </c>
      <c r="AF308" t="e">
        <f>IF(OR(OR($A308="",$D308=""),L308=""),"",L308-(INT($Y308/18)+IF(INDEX('Tournament Setup'!$AJ:$AJ,MATCH($A308,'Tournament Setup'!$A:$A,0))&lt;=MOD($Y308,18),1,0)))</f>
      </c>
      <c r="AG308" t="e">
        <f>IF(OR(OR($A308="",$D308=""),M308=""),"",M308-(INT($Y308/18)+IF(INDEX('Tournament Setup'!$AK:$AK,MATCH($A308,'Tournament Setup'!$A:$A,0))&lt;=MOD($Y308,18),1,0)))</f>
      </c>
      <c r="AH308" t="e">
        <f>IF(OR(OR($A308="",$D308=""),N308=""),"",N308-(INT($Y308/18)+IF(INDEX('Tournament Setup'!$AL:$AL,MATCH($A308,'Tournament Setup'!$A:$A,0))&lt;=MOD($Y308,18),1,0)))</f>
      </c>
      <c r="AI308" t="e">
        <f>IF(OR(OR($A308="",$D308=""),O308=""),"",O308-(INT($Y308/18)+IF(INDEX('Tournament Setup'!$AM:$AM,MATCH($A308,'Tournament Setup'!$A:$A,0))&lt;=MOD($Y308,18),1,0)))</f>
      </c>
      <c r="AJ308" t="e">
        <f>IF(OR(OR($A308="",$D308=""),P308=""),"",P308-(INT($Y308/18)+IF(INDEX('Tournament Setup'!$AN:$AN,MATCH($A308,'Tournament Setup'!$A:$A,0))&lt;=MOD($Y308,18),1,0)))</f>
      </c>
      <c r="AK308" t="e">
        <f>IF(OR(OR($A308="",$D308=""),Q308=""),"",Q308-(INT($Y308/18)+IF(INDEX('Tournament Setup'!$AO:$AO,MATCH($A308,'Tournament Setup'!$A:$A,0))&lt;=MOD($Y308,18),1,0)))</f>
      </c>
      <c r="AL308" t="e">
        <f>IF(OR(OR($A308="",$D308=""),R308=""),"",R308-(INT($Y308/18)+IF(INDEX('Tournament Setup'!$AP:$AP,MATCH($A308,'Tournament Setup'!$A:$A,0))&lt;=MOD($Y308,18),1,0)))</f>
      </c>
      <c r="AM308" t="e">
        <f>IF(OR(OR($A308="",$D308=""),S308=""),"",S308-(INT($Y308/18)+IF(INDEX('Tournament Setup'!$AQ:$AQ,MATCH($A308,'Tournament Setup'!$A:$A,0))&lt;=MOD($Y308,18),1,0)))</f>
      </c>
      <c r="AN308" t="e">
        <f>IF(OR(OR($A308="",$D308=""),T308=""),"",T308-(INT($Y308/18)+IF(INDEX('Tournament Setup'!$AR:$AR,MATCH($A308,'Tournament Setup'!$A:$A,0))&lt;=MOD($Y308,18),1,0)))</f>
      </c>
      <c r="AO308" t="e">
        <f>IF(OR(OR($A308="",$D308=""),U308=""),"",U308-(INT($Y308/18)+IF(INDEX('Tournament Setup'!$AS:$AS,MATCH($A308,'Tournament Setup'!$A:$A,0))&lt;=MOD($Y308,18),1,0)))</f>
      </c>
      <c r="AP308" t="e">
        <f>IF(OR(OR($A308="",$D308=""),V308=""),"",V308-(INT($Y308/18)+IF(INDEX('Tournament Setup'!$AT:$AT,MATCH($A308,'Tournament Setup'!$A:$A,0))&lt;=MOD($Y308,18),1,0)))</f>
      </c>
      <c r="AQ308" t="e">
        <f>IF(OR(OR($A308="",$D308=""),W308=""),"",W308-(INT($Y308/18)+IF(INDEX('Tournament Setup'!$AU:$AU,MATCH($A308,'Tournament Setup'!$A:$A,0))&lt;=MOD($Y308,18),1,0)))</f>
      </c>
    </row>
    <row r="309">
      <c r="X309" t="e">
        <f>IF(OR($A309="",$D309=""),"",SUM(F309:W309))</f>
      </c>
      <c r="Y309" t="e">
        <f>IF(OR($A309="",$D309=""),"",IF(INDEX('Tournament Setup'!$F:$F,MATCH($A309,'Tournament Setup'!$A:$A,0))="Net",ROUND(($E309-_xlfn.MINIFS($E$2:$E$401,$A$2:$A$401,$A309,$B$2:$B$401,$B309))*INDEX('Tournament Setup'!$G:$G,MATCH($A309,'Tournament Setup'!$A:$A,0))/100,0),0))</f>
      </c>
      <c r="Z309" t="e">
        <f>IF(OR(OR($A309="",$D309=""),F309=""),"",F309-(INT($Y309/18)+IF(INDEX('Tournament Setup'!$AD:$AD,MATCH($A309,'Tournament Setup'!$A:$A,0))&lt;=MOD($Y309,18),1,0)))</f>
      </c>
      <c r="AA309" t="e">
        <f>IF(OR(OR($A309="",$D309=""),G309=""),"",G309-(INT($Y309/18)+IF(INDEX('Tournament Setup'!$AE:$AE,MATCH($A309,'Tournament Setup'!$A:$A,0))&lt;=MOD($Y309,18),1,0)))</f>
      </c>
      <c r="AB309" t="e">
        <f>IF(OR(OR($A309="",$D309=""),H309=""),"",H309-(INT($Y309/18)+IF(INDEX('Tournament Setup'!$AF:$AF,MATCH($A309,'Tournament Setup'!$A:$A,0))&lt;=MOD($Y309,18),1,0)))</f>
      </c>
      <c r="AC309" t="e">
        <f>IF(OR(OR($A309="",$D309=""),I309=""),"",I309-(INT($Y309/18)+IF(INDEX('Tournament Setup'!$AG:$AG,MATCH($A309,'Tournament Setup'!$A:$A,0))&lt;=MOD($Y309,18),1,0)))</f>
      </c>
      <c r="AD309" t="e">
        <f>IF(OR(OR($A309="",$D309=""),J309=""),"",J309-(INT($Y309/18)+IF(INDEX('Tournament Setup'!$AH:$AH,MATCH($A309,'Tournament Setup'!$A:$A,0))&lt;=MOD($Y309,18),1,0)))</f>
      </c>
      <c r="AE309" t="e">
        <f>IF(OR(OR($A309="",$D309=""),K309=""),"",K309-(INT($Y309/18)+IF(INDEX('Tournament Setup'!$AI:$AI,MATCH($A309,'Tournament Setup'!$A:$A,0))&lt;=MOD($Y309,18),1,0)))</f>
      </c>
      <c r="AF309" t="e">
        <f>IF(OR(OR($A309="",$D309=""),L309=""),"",L309-(INT($Y309/18)+IF(INDEX('Tournament Setup'!$AJ:$AJ,MATCH($A309,'Tournament Setup'!$A:$A,0))&lt;=MOD($Y309,18),1,0)))</f>
      </c>
      <c r="AG309" t="e">
        <f>IF(OR(OR($A309="",$D309=""),M309=""),"",M309-(INT($Y309/18)+IF(INDEX('Tournament Setup'!$AK:$AK,MATCH($A309,'Tournament Setup'!$A:$A,0))&lt;=MOD($Y309,18),1,0)))</f>
      </c>
      <c r="AH309" t="e">
        <f>IF(OR(OR($A309="",$D309=""),N309=""),"",N309-(INT($Y309/18)+IF(INDEX('Tournament Setup'!$AL:$AL,MATCH($A309,'Tournament Setup'!$A:$A,0))&lt;=MOD($Y309,18),1,0)))</f>
      </c>
      <c r="AI309" t="e">
        <f>IF(OR(OR($A309="",$D309=""),O309=""),"",O309-(INT($Y309/18)+IF(INDEX('Tournament Setup'!$AM:$AM,MATCH($A309,'Tournament Setup'!$A:$A,0))&lt;=MOD($Y309,18),1,0)))</f>
      </c>
      <c r="AJ309" t="e">
        <f>IF(OR(OR($A309="",$D309=""),P309=""),"",P309-(INT($Y309/18)+IF(INDEX('Tournament Setup'!$AN:$AN,MATCH($A309,'Tournament Setup'!$A:$A,0))&lt;=MOD($Y309,18),1,0)))</f>
      </c>
      <c r="AK309" t="e">
        <f>IF(OR(OR($A309="",$D309=""),Q309=""),"",Q309-(INT($Y309/18)+IF(INDEX('Tournament Setup'!$AO:$AO,MATCH($A309,'Tournament Setup'!$A:$A,0))&lt;=MOD($Y309,18),1,0)))</f>
      </c>
      <c r="AL309" t="e">
        <f>IF(OR(OR($A309="",$D309=""),R309=""),"",R309-(INT($Y309/18)+IF(INDEX('Tournament Setup'!$AP:$AP,MATCH($A309,'Tournament Setup'!$A:$A,0))&lt;=MOD($Y309,18),1,0)))</f>
      </c>
      <c r="AM309" t="e">
        <f>IF(OR(OR($A309="",$D309=""),S309=""),"",S309-(INT($Y309/18)+IF(INDEX('Tournament Setup'!$AQ:$AQ,MATCH($A309,'Tournament Setup'!$A:$A,0))&lt;=MOD($Y309,18),1,0)))</f>
      </c>
      <c r="AN309" t="e">
        <f>IF(OR(OR($A309="",$D309=""),T309=""),"",T309-(INT($Y309/18)+IF(INDEX('Tournament Setup'!$AR:$AR,MATCH($A309,'Tournament Setup'!$A:$A,0))&lt;=MOD($Y309,18),1,0)))</f>
      </c>
      <c r="AO309" t="e">
        <f>IF(OR(OR($A309="",$D309=""),U309=""),"",U309-(INT($Y309/18)+IF(INDEX('Tournament Setup'!$AS:$AS,MATCH($A309,'Tournament Setup'!$A:$A,0))&lt;=MOD($Y309,18),1,0)))</f>
      </c>
      <c r="AP309" t="e">
        <f>IF(OR(OR($A309="",$D309=""),V309=""),"",V309-(INT($Y309/18)+IF(INDEX('Tournament Setup'!$AT:$AT,MATCH($A309,'Tournament Setup'!$A:$A,0))&lt;=MOD($Y309,18),1,0)))</f>
      </c>
      <c r="AQ309" t="e">
        <f>IF(OR(OR($A309="",$D309=""),W309=""),"",W309-(INT($Y309/18)+IF(INDEX('Tournament Setup'!$AU:$AU,MATCH($A309,'Tournament Setup'!$A:$A,0))&lt;=MOD($Y309,18),1,0)))</f>
      </c>
    </row>
    <row r="310">
      <c r="X310" t="e">
        <f>IF(OR($A310="",$D310=""),"",SUM(F310:W310))</f>
      </c>
      <c r="Y310" t="e">
        <f>IF(OR($A310="",$D310=""),"",IF(INDEX('Tournament Setup'!$F:$F,MATCH($A310,'Tournament Setup'!$A:$A,0))="Net",ROUND(($E310-_xlfn.MINIFS($E$2:$E$401,$A$2:$A$401,$A310,$B$2:$B$401,$B310))*INDEX('Tournament Setup'!$G:$G,MATCH($A310,'Tournament Setup'!$A:$A,0))/100,0),0))</f>
      </c>
      <c r="Z310" t="e">
        <f>IF(OR(OR($A310="",$D310=""),F310=""),"",F310-(INT($Y310/18)+IF(INDEX('Tournament Setup'!$AD:$AD,MATCH($A310,'Tournament Setup'!$A:$A,0))&lt;=MOD($Y310,18),1,0)))</f>
      </c>
      <c r="AA310" t="e">
        <f>IF(OR(OR($A310="",$D310=""),G310=""),"",G310-(INT($Y310/18)+IF(INDEX('Tournament Setup'!$AE:$AE,MATCH($A310,'Tournament Setup'!$A:$A,0))&lt;=MOD($Y310,18),1,0)))</f>
      </c>
      <c r="AB310" t="e">
        <f>IF(OR(OR($A310="",$D310=""),H310=""),"",H310-(INT($Y310/18)+IF(INDEX('Tournament Setup'!$AF:$AF,MATCH($A310,'Tournament Setup'!$A:$A,0))&lt;=MOD($Y310,18),1,0)))</f>
      </c>
      <c r="AC310" t="e">
        <f>IF(OR(OR($A310="",$D310=""),I310=""),"",I310-(INT($Y310/18)+IF(INDEX('Tournament Setup'!$AG:$AG,MATCH($A310,'Tournament Setup'!$A:$A,0))&lt;=MOD($Y310,18),1,0)))</f>
      </c>
      <c r="AD310" t="e">
        <f>IF(OR(OR($A310="",$D310=""),J310=""),"",J310-(INT($Y310/18)+IF(INDEX('Tournament Setup'!$AH:$AH,MATCH($A310,'Tournament Setup'!$A:$A,0))&lt;=MOD($Y310,18),1,0)))</f>
      </c>
      <c r="AE310" t="e">
        <f>IF(OR(OR($A310="",$D310=""),K310=""),"",K310-(INT($Y310/18)+IF(INDEX('Tournament Setup'!$AI:$AI,MATCH($A310,'Tournament Setup'!$A:$A,0))&lt;=MOD($Y310,18),1,0)))</f>
      </c>
      <c r="AF310" t="e">
        <f>IF(OR(OR($A310="",$D310=""),L310=""),"",L310-(INT($Y310/18)+IF(INDEX('Tournament Setup'!$AJ:$AJ,MATCH($A310,'Tournament Setup'!$A:$A,0))&lt;=MOD($Y310,18),1,0)))</f>
      </c>
      <c r="AG310" t="e">
        <f>IF(OR(OR($A310="",$D310=""),M310=""),"",M310-(INT($Y310/18)+IF(INDEX('Tournament Setup'!$AK:$AK,MATCH($A310,'Tournament Setup'!$A:$A,0))&lt;=MOD($Y310,18),1,0)))</f>
      </c>
      <c r="AH310" t="e">
        <f>IF(OR(OR($A310="",$D310=""),N310=""),"",N310-(INT($Y310/18)+IF(INDEX('Tournament Setup'!$AL:$AL,MATCH($A310,'Tournament Setup'!$A:$A,0))&lt;=MOD($Y310,18),1,0)))</f>
      </c>
      <c r="AI310" t="e">
        <f>IF(OR(OR($A310="",$D310=""),O310=""),"",O310-(INT($Y310/18)+IF(INDEX('Tournament Setup'!$AM:$AM,MATCH($A310,'Tournament Setup'!$A:$A,0))&lt;=MOD($Y310,18),1,0)))</f>
      </c>
      <c r="AJ310" t="e">
        <f>IF(OR(OR($A310="",$D310=""),P310=""),"",P310-(INT($Y310/18)+IF(INDEX('Tournament Setup'!$AN:$AN,MATCH($A310,'Tournament Setup'!$A:$A,0))&lt;=MOD($Y310,18),1,0)))</f>
      </c>
      <c r="AK310" t="e">
        <f>IF(OR(OR($A310="",$D310=""),Q310=""),"",Q310-(INT($Y310/18)+IF(INDEX('Tournament Setup'!$AO:$AO,MATCH($A310,'Tournament Setup'!$A:$A,0))&lt;=MOD($Y310,18),1,0)))</f>
      </c>
      <c r="AL310" t="e">
        <f>IF(OR(OR($A310="",$D310=""),R310=""),"",R310-(INT($Y310/18)+IF(INDEX('Tournament Setup'!$AP:$AP,MATCH($A310,'Tournament Setup'!$A:$A,0))&lt;=MOD($Y310,18),1,0)))</f>
      </c>
      <c r="AM310" t="e">
        <f>IF(OR(OR($A310="",$D310=""),S310=""),"",S310-(INT($Y310/18)+IF(INDEX('Tournament Setup'!$AQ:$AQ,MATCH($A310,'Tournament Setup'!$A:$A,0))&lt;=MOD($Y310,18),1,0)))</f>
      </c>
      <c r="AN310" t="e">
        <f>IF(OR(OR($A310="",$D310=""),T310=""),"",T310-(INT($Y310/18)+IF(INDEX('Tournament Setup'!$AR:$AR,MATCH($A310,'Tournament Setup'!$A:$A,0))&lt;=MOD($Y310,18),1,0)))</f>
      </c>
      <c r="AO310" t="e">
        <f>IF(OR(OR($A310="",$D310=""),U310=""),"",U310-(INT($Y310/18)+IF(INDEX('Tournament Setup'!$AS:$AS,MATCH($A310,'Tournament Setup'!$A:$A,0))&lt;=MOD($Y310,18),1,0)))</f>
      </c>
      <c r="AP310" t="e">
        <f>IF(OR(OR($A310="",$D310=""),V310=""),"",V310-(INT($Y310/18)+IF(INDEX('Tournament Setup'!$AT:$AT,MATCH($A310,'Tournament Setup'!$A:$A,0))&lt;=MOD($Y310,18),1,0)))</f>
      </c>
      <c r="AQ310" t="e">
        <f>IF(OR(OR($A310="",$D310=""),W310=""),"",W310-(INT($Y310/18)+IF(INDEX('Tournament Setup'!$AU:$AU,MATCH($A310,'Tournament Setup'!$A:$A,0))&lt;=MOD($Y310,18),1,0)))</f>
      </c>
    </row>
    <row r="311">
      <c r="X311" t="e">
        <f>IF(OR($A311="",$D311=""),"",SUM(F311:W311))</f>
      </c>
      <c r="Y311" t="e">
        <f>IF(OR($A311="",$D311=""),"",IF(INDEX('Tournament Setup'!$F:$F,MATCH($A311,'Tournament Setup'!$A:$A,0))="Net",ROUND(($E311-_xlfn.MINIFS($E$2:$E$401,$A$2:$A$401,$A311,$B$2:$B$401,$B311))*INDEX('Tournament Setup'!$G:$G,MATCH($A311,'Tournament Setup'!$A:$A,0))/100,0),0))</f>
      </c>
      <c r="Z311" t="e">
        <f>IF(OR(OR($A311="",$D311=""),F311=""),"",F311-(INT($Y311/18)+IF(INDEX('Tournament Setup'!$AD:$AD,MATCH($A311,'Tournament Setup'!$A:$A,0))&lt;=MOD($Y311,18),1,0)))</f>
      </c>
      <c r="AA311" t="e">
        <f>IF(OR(OR($A311="",$D311=""),G311=""),"",G311-(INT($Y311/18)+IF(INDEX('Tournament Setup'!$AE:$AE,MATCH($A311,'Tournament Setup'!$A:$A,0))&lt;=MOD($Y311,18),1,0)))</f>
      </c>
      <c r="AB311" t="e">
        <f>IF(OR(OR($A311="",$D311=""),H311=""),"",H311-(INT($Y311/18)+IF(INDEX('Tournament Setup'!$AF:$AF,MATCH($A311,'Tournament Setup'!$A:$A,0))&lt;=MOD($Y311,18),1,0)))</f>
      </c>
      <c r="AC311" t="e">
        <f>IF(OR(OR($A311="",$D311=""),I311=""),"",I311-(INT($Y311/18)+IF(INDEX('Tournament Setup'!$AG:$AG,MATCH($A311,'Tournament Setup'!$A:$A,0))&lt;=MOD($Y311,18),1,0)))</f>
      </c>
      <c r="AD311" t="e">
        <f>IF(OR(OR($A311="",$D311=""),J311=""),"",J311-(INT($Y311/18)+IF(INDEX('Tournament Setup'!$AH:$AH,MATCH($A311,'Tournament Setup'!$A:$A,0))&lt;=MOD($Y311,18),1,0)))</f>
      </c>
      <c r="AE311" t="e">
        <f>IF(OR(OR($A311="",$D311=""),K311=""),"",K311-(INT($Y311/18)+IF(INDEX('Tournament Setup'!$AI:$AI,MATCH($A311,'Tournament Setup'!$A:$A,0))&lt;=MOD($Y311,18),1,0)))</f>
      </c>
      <c r="AF311" t="e">
        <f>IF(OR(OR($A311="",$D311=""),L311=""),"",L311-(INT($Y311/18)+IF(INDEX('Tournament Setup'!$AJ:$AJ,MATCH($A311,'Tournament Setup'!$A:$A,0))&lt;=MOD($Y311,18),1,0)))</f>
      </c>
      <c r="AG311" t="e">
        <f>IF(OR(OR($A311="",$D311=""),M311=""),"",M311-(INT($Y311/18)+IF(INDEX('Tournament Setup'!$AK:$AK,MATCH($A311,'Tournament Setup'!$A:$A,0))&lt;=MOD($Y311,18),1,0)))</f>
      </c>
      <c r="AH311" t="e">
        <f>IF(OR(OR($A311="",$D311=""),N311=""),"",N311-(INT($Y311/18)+IF(INDEX('Tournament Setup'!$AL:$AL,MATCH($A311,'Tournament Setup'!$A:$A,0))&lt;=MOD($Y311,18),1,0)))</f>
      </c>
      <c r="AI311" t="e">
        <f>IF(OR(OR($A311="",$D311=""),O311=""),"",O311-(INT($Y311/18)+IF(INDEX('Tournament Setup'!$AM:$AM,MATCH($A311,'Tournament Setup'!$A:$A,0))&lt;=MOD($Y311,18),1,0)))</f>
      </c>
      <c r="AJ311" t="e">
        <f>IF(OR(OR($A311="",$D311=""),P311=""),"",P311-(INT($Y311/18)+IF(INDEX('Tournament Setup'!$AN:$AN,MATCH($A311,'Tournament Setup'!$A:$A,0))&lt;=MOD($Y311,18),1,0)))</f>
      </c>
      <c r="AK311" t="e">
        <f>IF(OR(OR($A311="",$D311=""),Q311=""),"",Q311-(INT($Y311/18)+IF(INDEX('Tournament Setup'!$AO:$AO,MATCH($A311,'Tournament Setup'!$A:$A,0))&lt;=MOD($Y311,18),1,0)))</f>
      </c>
      <c r="AL311" t="e">
        <f>IF(OR(OR($A311="",$D311=""),R311=""),"",R311-(INT($Y311/18)+IF(INDEX('Tournament Setup'!$AP:$AP,MATCH($A311,'Tournament Setup'!$A:$A,0))&lt;=MOD($Y311,18),1,0)))</f>
      </c>
      <c r="AM311" t="e">
        <f>IF(OR(OR($A311="",$D311=""),S311=""),"",S311-(INT($Y311/18)+IF(INDEX('Tournament Setup'!$AQ:$AQ,MATCH($A311,'Tournament Setup'!$A:$A,0))&lt;=MOD($Y311,18),1,0)))</f>
      </c>
      <c r="AN311" t="e">
        <f>IF(OR(OR($A311="",$D311=""),T311=""),"",T311-(INT($Y311/18)+IF(INDEX('Tournament Setup'!$AR:$AR,MATCH($A311,'Tournament Setup'!$A:$A,0))&lt;=MOD($Y311,18),1,0)))</f>
      </c>
      <c r="AO311" t="e">
        <f>IF(OR(OR($A311="",$D311=""),U311=""),"",U311-(INT($Y311/18)+IF(INDEX('Tournament Setup'!$AS:$AS,MATCH($A311,'Tournament Setup'!$A:$A,0))&lt;=MOD($Y311,18),1,0)))</f>
      </c>
      <c r="AP311" t="e">
        <f>IF(OR(OR($A311="",$D311=""),V311=""),"",V311-(INT($Y311/18)+IF(INDEX('Tournament Setup'!$AT:$AT,MATCH($A311,'Tournament Setup'!$A:$A,0))&lt;=MOD($Y311,18),1,0)))</f>
      </c>
      <c r="AQ311" t="e">
        <f>IF(OR(OR($A311="",$D311=""),W311=""),"",W311-(INT($Y311/18)+IF(INDEX('Tournament Setup'!$AU:$AU,MATCH($A311,'Tournament Setup'!$A:$A,0))&lt;=MOD($Y311,18),1,0)))</f>
      </c>
    </row>
    <row r="312">
      <c r="X312" t="e">
        <f>IF(OR($A312="",$D312=""),"",SUM(F312:W312))</f>
      </c>
      <c r="Y312" t="e">
        <f>IF(OR($A312="",$D312=""),"",IF(INDEX('Tournament Setup'!$F:$F,MATCH($A312,'Tournament Setup'!$A:$A,0))="Net",ROUND(($E312-_xlfn.MINIFS($E$2:$E$401,$A$2:$A$401,$A312,$B$2:$B$401,$B312))*INDEX('Tournament Setup'!$G:$G,MATCH($A312,'Tournament Setup'!$A:$A,0))/100,0),0))</f>
      </c>
      <c r="Z312" t="e">
        <f>IF(OR(OR($A312="",$D312=""),F312=""),"",F312-(INT($Y312/18)+IF(INDEX('Tournament Setup'!$AD:$AD,MATCH($A312,'Tournament Setup'!$A:$A,0))&lt;=MOD($Y312,18),1,0)))</f>
      </c>
      <c r="AA312" t="e">
        <f>IF(OR(OR($A312="",$D312=""),G312=""),"",G312-(INT($Y312/18)+IF(INDEX('Tournament Setup'!$AE:$AE,MATCH($A312,'Tournament Setup'!$A:$A,0))&lt;=MOD($Y312,18),1,0)))</f>
      </c>
      <c r="AB312" t="e">
        <f>IF(OR(OR($A312="",$D312=""),H312=""),"",H312-(INT($Y312/18)+IF(INDEX('Tournament Setup'!$AF:$AF,MATCH($A312,'Tournament Setup'!$A:$A,0))&lt;=MOD($Y312,18),1,0)))</f>
      </c>
      <c r="AC312" t="e">
        <f>IF(OR(OR($A312="",$D312=""),I312=""),"",I312-(INT($Y312/18)+IF(INDEX('Tournament Setup'!$AG:$AG,MATCH($A312,'Tournament Setup'!$A:$A,0))&lt;=MOD($Y312,18),1,0)))</f>
      </c>
      <c r="AD312" t="e">
        <f>IF(OR(OR($A312="",$D312=""),J312=""),"",J312-(INT($Y312/18)+IF(INDEX('Tournament Setup'!$AH:$AH,MATCH($A312,'Tournament Setup'!$A:$A,0))&lt;=MOD($Y312,18),1,0)))</f>
      </c>
      <c r="AE312" t="e">
        <f>IF(OR(OR($A312="",$D312=""),K312=""),"",K312-(INT($Y312/18)+IF(INDEX('Tournament Setup'!$AI:$AI,MATCH($A312,'Tournament Setup'!$A:$A,0))&lt;=MOD($Y312,18),1,0)))</f>
      </c>
      <c r="AF312" t="e">
        <f>IF(OR(OR($A312="",$D312=""),L312=""),"",L312-(INT($Y312/18)+IF(INDEX('Tournament Setup'!$AJ:$AJ,MATCH($A312,'Tournament Setup'!$A:$A,0))&lt;=MOD($Y312,18),1,0)))</f>
      </c>
      <c r="AG312" t="e">
        <f>IF(OR(OR($A312="",$D312=""),M312=""),"",M312-(INT($Y312/18)+IF(INDEX('Tournament Setup'!$AK:$AK,MATCH($A312,'Tournament Setup'!$A:$A,0))&lt;=MOD($Y312,18),1,0)))</f>
      </c>
      <c r="AH312" t="e">
        <f>IF(OR(OR($A312="",$D312=""),N312=""),"",N312-(INT($Y312/18)+IF(INDEX('Tournament Setup'!$AL:$AL,MATCH($A312,'Tournament Setup'!$A:$A,0))&lt;=MOD($Y312,18),1,0)))</f>
      </c>
      <c r="AI312" t="e">
        <f>IF(OR(OR($A312="",$D312=""),O312=""),"",O312-(INT($Y312/18)+IF(INDEX('Tournament Setup'!$AM:$AM,MATCH($A312,'Tournament Setup'!$A:$A,0))&lt;=MOD($Y312,18),1,0)))</f>
      </c>
      <c r="AJ312" t="e">
        <f>IF(OR(OR($A312="",$D312=""),P312=""),"",P312-(INT($Y312/18)+IF(INDEX('Tournament Setup'!$AN:$AN,MATCH($A312,'Tournament Setup'!$A:$A,0))&lt;=MOD($Y312,18),1,0)))</f>
      </c>
      <c r="AK312" t="e">
        <f>IF(OR(OR($A312="",$D312=""),Q312=""),"",Q312-(INT($Y312/18)+IF(INDEX('Tournament Setup'!$AO:$AO,MATCH($A312,'Tournament Setup'!$A:$A,0))&lt;=MOD($Y312,18),1,0)))</f>
      </c>
      <c r="AL312" t="e">
        <f>IF(OR(OR($A312="",$D312=""),R312=""),"",R312-(INT($Y312/18)+IF(INDEX('Tournament Setup'!$AP:$AP,MATCH($A312,'Tournament Setup'!$A:$A,0))&lt;=MOD($Y312,18),1,0)))</f>
      </c>
      <c r="AM312" t="e">
        <f>IF(OR(OR($A312="",$D312=""),S312=""),"",S312-(INT($Y312/18)+IF(INDEX('Tournament Setup'!$AQ:$AQ,MATCH($A312,'Tournament Setup'!$A:$A,0))&lt;=MOD($Y312,18),1,0)))</f>
      </c>
      <c r="AN312" t="e">
        <f>IF(OR(OR($A312="",$D312=""),T312=""),"",T312-(INT($Y312/18)+IF(INDEX('Tournament Setup'!$AR:$AR,MATCH($A312,'Tournament Setup'!$A:$A,0))&lt;=MOD($Y312,18),1,0)))</f>
      </c>
      <c r="AO312" t="e">
        <f>IF(OR(OR($A312="",$D312=""),U312=""),"",U312-(INT($Y312/18)+IF(INDEX('Tournament Setup'!$AS:$AS,MATCH($A312,'Tournament Setup'!$A:$A,0))&lt;=MOD($Y312,18),1,0)))</f>
      </c>
      <c r="AP312" t="e">
        <f>IF(OR(OR($A312="",$D312=""),V312=""),"",V312-(INT($Y312/18)+IF(INDEX('Tournament Setup'!$AT:$AT,MATCH($A312,'Tournament Setup'!$A:$A,0))&lt;=MOD($Y312,18),1,0)))</f>
      </c>
      <c r="AQ312" t="e">
        <f>IF(OR(OR($A312="",$D312=""),W312=""),"",W312-(INT($Y312/18)+IF(INDEX('Tournament Setup'!$AU:$AU,MATCH($A312,'Tournament Setup'!$A:$A,0))&lt;=MOD($Y312,18),1,0)))</f>
      </c>
    </row>
    <row r="313">
      <c r="X313" t="e">
        <f>IF(OR($A313="",$D313=""),"",SUM(F313:W313))</f>
      </c>
      <c r="Y313" t="e">
        <f>IF(OR($A313="",$D313=""),"",IF(INDEX('Tournament Setup'!$F:$F,MATCH($A313,'Tournament Setup'!$A:$A,0))="Net",ROUND(($E313-_xlfn.MINIFS($E$2:$E$401,$A$2:$A$401,$A313,$B$2:$B$401,$B313))*INDEX('Tournament Setup'!$G:$G,MATCH($A313,'Tournament Setup'!$A:$A,0))/100,0),0))</f>
      </c>
      <c r="Z313" t="e">
        <f>IF(OR(OR($A313="",$D313=""),F313=""),"",F313-(INT($Y313/18)+IF(INDEX('Tournament Setup'!$AD:$AD,MATCH($A313,'Tournament Setup'!$A:$A,0))&lt;=MOD($Y313,18),1,0)))</f>
      </c>
      <c r="AA313" t="e">
        <f>IF(OR(OR($A313="",$D313=""),G313=""),"",G313-(INT($Y313/18)+IF(INDEX('Tournament Setup'!$AE:$AE,MATCH($A313,'Tournament Setup'!$A:$A,0))&lt;=MOD($Y313,18),1,0)))</f>
      </c>
      <c r="AB313" t="e">
        <f>IF(OR(OR($A313="",$D313=""),H313=""),"",H313-(INT($Y313/18)+IF(INDEX('Tournament Setup'!$AF:$AF,MATCH($A313,'Tournament Setup'!$A:$A,0))&lt;=MOD($Y313,18),1,0)))</f>
      </c>
      <c r="AC313" t="e">
        <f>IF(OR(OR($A313="",$D313=""),I313=""),"",I313-(INT($Y313/18)+IF(INDEX('Tournament Setup'!$AG:$AG,MATCH($A313,'Tournament Setup'!$A:$A,0))&lt;=MOD($Y313,18),1,0)))</f>
      </c>
      <c r="AD313" t="e">
        <f>IF(OR(OR($A313="",$D313=""),J313=""),"",J313-(INT($Y313/18)+IF(INDEX('Tournament Setup'!$AH:$AH,MATCH($A313,'Tournament Setup'!$A:$A,0))&lt;=MOD($Y313,18),1,0)))</f>
      </c>
      <c r="AE313" t="e">
        <f>IF(OR(OR($A313="",$D313=""),K313=""),"",K313-(INT($Y313/18)+IF(INDEX('Tournament Setup'!$AI:$AI,MATCH($A313,'Tournament Setup'!$A:$A,0))&lt;=MOD($Y313,18),1,0)))</f>
      </c>
      <c r="AF313" t="e">
        <f>IF(OR(OR($A313="",$D313=""),L313=""),"",L313-(INT($Y313/18)+IF(INDEX('Tournament Setup'!$AJ:$AJ,MATCH($A313,'Tournament Setup'!$A:$A,0))&lt;=MOD($Y313,18),1,0)))</f>
      </c>
      <c r="AG313" t="e">
        <f>IF(OR(OR($A313="",$D313=""),M313=""),"",M313-(INT($Y313/18)+IF(INDEX('Tournament Setup'!$AK:$AK,MATCH($A313,'Tournament Setup'!$A:$A,0))&lt;=MOD($Y313,18),1,0)))</f>
      </c>
      <c r="AH313" t="e">
        <f>IF(OR(OR($A313="",$D313=""),N313=""),"",N313-(INT($Y313/18)+IF(INDEX('Tournament Setup'!$AL:$AL,MATCH($A313,'Tournament Setup'!$A:$A,0))&lt;=MOD($Y313,18),1,0)))</f>
      </c>
      <c r="AI313" t="e">
        <f>IF(OR(OR($A313="",$D313=""),O313=""),"",O313-(INT($Y313/18)+IF(INDEX('Tournament Setup'!$AM:$AM,MATCH($A313,'Tournament Setup'!$A:$A,0))&lt;=MOD($Y313,18),1,0)))</f>
      </c>
      <c r="AJ313" t="e">
        <f>IF(OR(OR($A313="",$D313=""),P313=""),"",P313-(INT($Y313/18)+IF(INDEX('Tournament Setup'!$AN:$AN,MATCH($A313,'Tournament Setup'!$A:$A,0))&lt;=MOD($Y313,18),1,0)))</f>
      </c>
      <c r="AK313" t="e">
        <f>IF(OR(OR($A313="",$D313=""),Q313=""),"",Q313-(INT($Y313/18)+IF(INDEX('Tournament Setup'!$AO:$AO,MATCH($A313,'Tournament Setup'!$A:$A,0))&lt;=MOD($Y313,18),1,0)))</f>
      </c>
      <c r="AL313" t="e">
        <f>IF(OR(OR($A313="",$D313=""),R313=""),"",R313-(INT($Y313/18)+IF(INDEX('Tournament Setup'!$AP:$AP,MATCH($A313,'Tournament Setup'!$A:$A,0))&lt;=MOD($Y313,18),1,0)))</f>
      </c>
      <c r="AM313" t="e">
        <f>IF(OR(OR($A313="",$D313=""),S313=""),"",S313-(INT($Y313/18)+IF(INDEX('Tournament Setup'!$AQ:$AQ,MATCH($A313,'Tournament Setup'!$A:$A,0))&lt;=MOD($Y313,18),1,0)))</f>
      </c>
      <c r="AN313" t="e">
        <f>IF(OR(OR($A313="",$D313=""),T313=""),"",T313-(INT($Y313/18)+IF(INDEX('Tournament Setup'!$AR:$AR,MATCH($A313,'Tournament Setup'!$A:$A,0))&lt;=MOD($Y313,18),1,0)))</f>
      </c>
      <c r="AO313" t="e">
        <f>IF(OR(OR($A313="",$D313=""),U313=""),"",U313-(INT($Y313/18)+IF(INDEX('Tournament Setup'!$AS:$AS,MATCH($A313,'Tournament Setup'!$A:$A,0))&lt;=MOD($Y313,18),1,0)))</f>
      </c>
      <c r="AP313" t="e">
        <f>IF(OR(OR($A313="",$D313=""),V313=""),"",V313-(INT($Y313/18)+IF(INDEX('Tournament Setup'!$AT:$AT,MATCH($A313,'Tournament Setup'!$A:$A,0))&lt;=MOD($Y313,18),1,0)))</f>
      </c>
      <c r="AQ313" t="e">
        <f>IF(OR(OR($A313="",$D313=""),W313=""),"",W313-(INT($Y313/18)+IF(INDEX('Tournament Setup'!$AU:$AU,MATCH($A313,'Tournament Setup'!$A:$A,0))&lt;=MOD($Y313,18),1,0)))</f>
      </c>
    </row>
    <row r="314">
      <c r="X314" t="e">
        <f>IF(OR($A314="",$D314=""),"",SUM(F314:W314))</f>
      </c>
      <c r="Y314" t="e">
        <f>IF(OR($A314="",$D314=""),"",IF(INDEX('Tournament Setup'!$F:$F,MATCH($A314,'Tournament Setup'!$A:$A,0))="Net",ROUND(($E314-_xlfn.MINIFS($E$2:$E$401,$A$2:$A$401,$A314,$B$2:$B$401,$B314))*INDEX('Tournament Setup'!$G:$G,MATCH($A314,'Tournament Setup'!$A:$A,0))/100,0),0))</f>
      </c>
      <c r="Z314" t="e">
        <f>IF(OR(OR($A314="",$D314=""),F314=""),"",F314-(INT($Y314/18)+IF(INDEX('Tournament Setup'!$AD:$AD,MATCH($A314,'Tournament Setup'!$A:$A,0))&lt;=MOD($Y314,18),1,0)))</f>
      </c>
      <c r="AA314" t="e">
        <f>IF(OR(OR($A314="",$D314=""),G314=""),"",G314-(INT($Y314/18)+IF(INDEX('Tournament Setup'!$AE:$AE,MATCH($A314,'Tournament Setup'!$A:$A,0))&lt;=MOD($Y314,18),1,0)))</f>
      </c>
      <c r="AB314" t="e">
        <f>IF(OR(OR($A314="",$D314=""),H314=""),"",H314-(INT($Y314/18)+IF(INDEX('Tournament Setup'!$AF:$AF,MATCH($A314,'Tournament Setup'!$A:$A,0))&lt;=MOD($Y314,18),1,0)))</f>
      </c>
      <c r="AC314" t="e">
        <f>IF(OR(OR($A314="",$D314=""),I314=""),"",I314-(INT($Y314/18)+IF(INDEX('Tournament Setup'!$AG:$AG,MATCH($A314,'Tournament Setup'!$A:$A,0))&lt;=MOD($Y314,18),1,0)))</f>
      </c>
      <c r="AD314" t="e">
        <f>IF(OR(OR($A314="",$D314=""),J314=""),"",J314-(INT($Y314/18)+IF(INDEX('Tournament Setup'!$AH:$AH,MATCH($A314,'Tournament Setup'!$A:$A,0))&lt;=MOD($Y314,18),1,0)))</f>
      </c>
      <c r="AE314" t="e">
        <f>IF(OR(OR($A314="",$D314=""),K314=""),"",K314-(INT($Y314/18)+IF(INDEX('Tournament Setup'!$AI:$AI,MATCH($A314,'Tournament Setup'!$A:$A,0))&lt;=MOD($Y314,18),1,0)))</f>
      </c>
      <c r="AF314" t="e">
        <f>IF(OR(OR($A314="",$D314=""),L314=""),"",L314-(INT($Y314/18)+IF(INDEX('Tournament Setup'!$AJ:$AJ,MATCH($A314,'Tournament Setup'!$A:$A,0))&lt;=MOD($Y314,18),1,0)))</f>
      </c>
      <c r="AG314" t="e">
        <f>IF(OR(OR($A314="",$D314=""),M314=""),"",M314-(INT($Y314/18)+IF(INDEX('Tournament Setup'!$AK:$AK,MATCH($A314,'Tournament Setup'!$A:$A,0))&lt;=MOD($Y314,18),1,0)))</f>
      </c>
      <c r="AH314" t="e">
        <f>IF(OR(OR($A314="",$D314=""),N314=""),"",N314-(INT($Y314/18)+IF(INDEX('Tournament Setup'!$AL:$AL,MATCH($A314,'Tournament Setup'!$A:$A,0))&lt;=MOD($Y314,18),1,0)))</f>
      </c>
      <c r="AI314" t="e">
        <f>IF(OR(OR($A314="",$D314=""),O314=""),"",O314-(INT($Y314/18)+IF(INDEX('Tournament Setup'!$AM:$AM,MATCH($A314,'Tournament Setup'!$A:$A,0))&lt;=MOD($Y314,18),1,0)))</f>
      </c>
      <c r="AJ314" t="e">
        <f>IF(OR(OR($A314="",$D314=""),P314=""),"",P314-(INT($Y314/18)+IF(INDEX('Tournament Setup'!$AN:$AN,MATCH($A314,'Tournament Setup'!$A:$A,0))&lt;=MOD($Y314,18),1,0)))</f>
      </c>
      <c r="AK314" t="e">
        <f>IF(OR(OR($A314="",$D314=""),Q314=""),"",Q314-(INT($Y314/18)+IF(INDEX('Tournament Setup'!$AO:$AO,MATCH($A314,'Tournament Setup'!$A:$A,0))&lt;=MOD($Y314,18),1,0)))</f>
      </c>
      <c r="AL314" t="e">
        <f>IF(OR(OR($A314="",$D314=""),R314=""),"",R314-(INT($Y314/18)+IF(INDEX('Tournament Setup'!$AP:$AP,MATCH($A314,'Tournament Setup'!$A:$A,0))&lt;=MOD($Y314,18),1,0)))</f>
      </c>
      <c r="AM314" t="e">
        <f>IF(OR(OR($A314="",$D314=""),S314=""),"",S314-(INT($Y314/18)+IF(INDEX('Tournament Setup'!$AQ:$AQ,MATCH($A314,'Tournament Setup'!$A:$A,0))&lt;=MOD($Y314,18),1,0)))</f>
      </c>
      <c r="AN314" t="e">
        <f>IF(OR(OR($A314="",$D314=""),T314=""),"",T314-(INT($Y314/18)+IF(INDEX('Tournament Setup'!$AR:$AR,MATCH($A314,'Tournament Setup'!$A:$A,0))&lt;=MOD($Y314,18),1,0)))</f>
      </c>
      <c r="AO314" t="e">
        <f>IF(OR(OR($A314="",$D314=""),U314=""),"",U314-(INT($Y314/18)+IF(INDEX('Tournament Setup'!$AS:$AS,MATCH($A314,'Tournament Setup'!$A:$A,0))&lt;=MOD($Y314,18),1,0)))</f>
      </c>
      <c r="AP314" t="e">
        <f>IF(OR(OR($A314="",$D314=""),V314=""),"",V314-(INT($Y314/18)+IF(INDEX('Tournament Setup'!$AT:$AT,MATCH($A314,'Tournament Setup'!$A:$A,0))&lt;=MOD($Y314,18),1,0)))</f>
      </c>
      <c r="AQ314" t="e">
        <f>IF(OR(OR($A314="",$D314=""),W314=""),"",W314-(INT($Y314/18)+IF(INDEX('Tournament Setup'!$AU:$AU,MATCH($A314,'Tournament Setup'!$A:$A,0))&lt;=MOD($Y314,18),1,0)))</f>
      </c>
    </row>
    <row r="315">
      <c r="X315" t="e">
        <f>IF(OR($A315="",$D315=""),"",SUM(F315:W315))</f>
      </c>
      <c r="Y315" t="e">
        <f>IF(OR($A315="",$D315=""),"",IF(INDEX('Tournament Setup'!$F:$F,MATCH($A315,'Tournament Setup'!$A:$A,0))="Net",ROUND(($E315-_xlfn.MINIFS($E$2:$E$401,$A$2:$A$401,$A315,$B$2:$B$401,$B315))*INDEX('Tournament Setup'!$G:$G,MATCH($A315,'Tournament Setup'!$A:$A,0))/100,0),0))</f>
      </c>
      <c r="Z315" t="e">
        <f>IF(OR(OR($A315="",$D315=""),F315=""),"",F315-(INT($Y315/18)+IF(INDEX('Tournament Setup'!$AD:$AD,MATCH($A315,'Tournament Setup'!$A:$A,0))&lt;=MOD($Y315,18),1,0)))</f>
      </c>
      <c r="AA315" t="e">
        <f>IF(OR(OR($A315="",$D315=""),G315=""),"",G315-(INT($Y315/18)+IF(INDEX('Tournament Setup'!$AE:$AE,MATCH($A315,'Tournament Setup'!$A:$A,0))&lt;=MOD($Y315,18),1,0)))</f>
      </c>
      <c r="AB315" t="e">
        <f>IF(OR(OR($A315="",$D315=""),H315=""),"",H315-(INT($Y315/18)+IF(INDEX('Tournament Setup'!$AF:$AF,MATCH($A315,'Tournament Setup'!$A:$A,0))&lt;=MOD($Y315,18),1,0)))</f>
      </c>
      <c r="AC315" t="e">
        <f>IF(OR(OR($A315="",$D315=""),I315=""),"",I315-(INT($Y315/18)+IF(INDEX('Tournament Setup'!$AG:$AG,MATCH($A315,'Tournament Setup'!$A:$A,0))&lt;=MOD($Y315,18),1,0)))</f>
      </c>
      <c r="AD315" t="e">
        <f>IF(OR(OR($A315="",$D315=""),J315=""),"",J315-(INT($Y315/18)+IF(INDEX('Tournament Setup'!$AH:$AH,MATCH($A315,'Tournament Setup'!$A:$A,0))&lt;=MOD($Y315,18),1,0)))</f>
      </c>
      <c r="AE315" t="e">
        <f>IF(OR(OR($A315="",$D315=""),K315=""),"",K315-(INT($Y315/18)+IF(INDEX('Tournament Setup'!$AI:$AI,MATCH($A315,'Tournament Setup'!$A:$A,0))&lt;=MOD($Y315,18),1,0)))</f>
      </c>
      <c r="AF315" t="e">
        <f>IF(OR(OR($A315="",$D315=""),L315=""),"",L315-(INT($Y315/18)+IF(INDEX('Tournament Setup'!$AJ:$AJ,MATCH($A315,'Tournament Setup'!$A:$A,0))&lt;=MOD($Y315,18),1,0)))</f>
      </c>
      <c r="AG315" t="e">
        <f>IF(OR(OR($A315="",$D315=""),M315=""),"",M315-(INT($Y315/18)+IF(INDEX('Tournament Setup'!$AK:$AK,MATCH($A315,'Tournament Setup'!$A:$A,0))&lt;=MOD($Y315,18),1,0)))</f>
      </c>
      <c r="AH315" t="e">
        <f>IF(OR(OR($A315="",$D315=""),N315=""),"",N315-(INT($Y315/18)+IF(INDEX('Tournament Setup'!$AL:$AL,MATCH($A315,'Tournament Setup'!$A:$A,0))&lt;=MOD($Y315,18),1,0)))</f>
      </c>
      <c r="AI315" t="e">
        <f>IF(OR(OR($A315="",$D315=""),O315=""),"",O315-(INT($Y315/18)+IF(INDEX('Tournament Setup'!$AM:$AM,MATCH($A315,'Tournament Setup'!$A:$A,0))&lt;=MOD($Y315,18),1,0)))</f>
      </c>
      <c r="AJ315" t="e">
        <f>IF(OR(OR($A315="",$D315=""),P315=""),"",P315-(INT($Y315/18)+IF(INDEX('Tournament Setup'!$AN:$AN,MATCH($A315,'Tournament Setup'!$A:$A,0))&lt;=MOD($Y315,18),1,0)))</f>
      </c>
      <c r="AK315" t="e">
        <f>IF(OR(OR($A315="",$D315=""),Q315=""),"",Q315-(INT($Y315/18)+IF(INDEX('Tournament Setup'!$AO:$AO,MATCH($A315,'Tournament Setup'!$A:$A,0))&lt;=MOD($Y315,18),1,0)))</f>
      </c>
      <c r="AL315" t="e">
        <f>IF(OR(OR($A315="",$D315=""),R315=""),"",R315-(INT($Y315/18)+IF(INDEX('Tournament Setup'!$AP:$AP,MATCH($A315,'Tournament Setup'!$A:$A,0))&lt;=MOD($Y315,18),1,0)))</f>
      </c>
      <c r="AM315" t="e">
        <f>IF(OR(OR($A315="",$D315=""),S315=""),"",S315-(INT($Y315/18)+IF(INDEX('Tournament Setup'!$AQ:$AQ,MATCH($A315,'Tournament Setup'!$A:$A,0))&lt;=MOD($Y315,18),1,0)))</f>
      </c>
      <c r="AN315" t="e">
        <f>IF(OR(OR($A315="",$D315=""),T315=""),"",T315-(INT($Y315/18)+IF(INDEX('Tournament Setup'!$AR:$AR,MATCH($A315,'Tournament Setup'!$A:$A,0))&lt;=MOD($Y315,18),1,0)))</f>
      </c>
      <c r="AO315" t="e">
        <f>IF(OR(OR($A315="",$D315=""),U315=""),"",U315-(INT($Y315/18)+IF(INDEX('Tournament Setup'!$AS:$AS,MATCH($A315,'Tournament Setup'!$A:$A,0))&lt;=MOD($Y315,18),1,0)))</f>
      </c>
      <c r="AP315" t="e">
        <f>IF(OR(OR($A315="",$D315=""),V315=""),"",V315-(INT($Y315/18)+IF(INDEX('Tournament Setup'!$AT:$AT,MATCH($A315,'Tournament Setup'!$A:$A,0))&lt;=MOD($Y315,18),1,0)))</f>
      </c>
      <c r="AQ315" t="e">
        <f>IF(OR(OR($A315="",$D315=""),W315=""),"",W315-(INT($Y315/18)+IF(INDEX('Tournament Setup'!$AU:$AU,MATCH($A315,'Tournament Setup'!$A:$A,0))&lt;=MOD($Y315,18),1,0)))</f>
      </c>
    </row>
    <row r="316">
      <c r="X316" t="e">
        <f>IF(OR($A316="",$D316=""),"",SUM(F316:W316))</f>
      </c>
      <c r="Y316" t="e">
        <f>IF(OR($A316="",$D316=""),"",IF(INDEX('Tournament Setup'!$F:$F,MATCH($A316,'Tournament Setup'!$A:$A,0))="Net",ROUND(($E316-_xlfn.MINIFS($E$2:$E$401,$A$2:$A$401,$A316,$B$2:$B$401,$B316))*INDEX('Tournament Setup'!$G:$G,MATCH($A316,'Tournament Setup'!$A:$A,0))/100,0),0))</f>
      </c>
      <c r="Z316" t="e">
        <f>IF(OR(OR($A316="",$D316=""),F316=""),"",F316-(INT($Y316/18)+IF(INDEX('Tournament Setup'!$AD:$AD,MATCH($A316,'Tournament Setup'!$A:$A,0))&lt;=MOD($Y316,18),1,0)))</f>
      </c>
      <c r="AA316" t="e">
        <f>IF(OR(OR($A316="",$D316=""),G316=""),"",G316-(INT($Y316/18)+IF(INDEX('Tournament Setup'!$AE:$AE,MATCH($A316,'Tournament Setup'!$A:$A,0))&lt;=MOD($Y316,18),1,0)))</f>
      </c>
      <c r="AB316" t="e">
        <f>IF(OR(OR($A316="",$D316=""),H316=""),"",H316-(INT($Y316/18)+IF(INDEX('Tournament Setup'!$AF:$AF,MATCH($A316,'Tournament Setup'!$A:$A,0))&lt;=MOD($Y316,18),1,0)))</f>
      </c>
      <c r="AC316" t="e">
        <f>IF(OR(OR($A316="",$D316=""),I316=""),"",I316-(INT($Y316/18)+IF(INDEX('Tournament Setup'!$AG:$AG,MATCH($A316,'Tournament Setup'!$A:$A,0))&lt;=MOD($Y316,18),1,0)))</f>
      </c>
      <c r="AD316" t="e">
        <f>IF(OR(OR($A316="",$D316=""),J316=""),"",J316-(INT($Y316/18)+IF(INDEX('Tournament Setup'!$AH:$AH,MATCH($A316,'Tournament Setup'!$A:$A,0))&lt;=MOD($Y316,18),1,0)))</f>
      </c>
      <c r="AE316" t="e">
        <f>IF(OR(OR($A316="",$D316=""),K316=""),"",K316-(INT($Y316/18)+IF(INDEX('Tournament Setup'!$AI:$AI,MATCH($A316,'Tournament Setup'!$A:$A,0))&lt;=MOD($Y316,18),1,0)))</f>
      </c>
      <c r="AF316" t="e">
        <f>IF(OR(OR($A316="",$D316=""),L316=""),"",L316-(INT($Y316/18)+IF(INDEX('Tournament Setup'!$AJ:$AJ,MATCH($A316,'Tournament Setup'!$A:$A,0))&lt;=MOD($Y316,18),1,0)))</f>
      </c>
      <c r="AG316" t="e">
        <f>IF(OR(OR($A316="",$D316=""),M316=""),"",M316-(INT($Y316/18)+IF(INDEX('Tournament Setup'!$AK:$AK,MATCH($A316,'Tournament Setup'!$A:$A,0))&lt;=MOD($Y316,18),1,0)))</f>
      </c>
      <c r="AH316" t="e">
        <f>IF(OR(OR($A316="",$D316=""),N316=""),"",N316-(INT($Y316/18)+IF(INDEX('Tournament Setup'!$AL:$AL,MATCH($A316,'Tournament Setup'!$A:$A,0))&lt;=MOD($Y316,18),1,0)))</f>
      </c>
      <c r="AI316" t="e">
        <f>IF(OR(OR($A316="",$D316=""),O316=""),"",O316-(INT($Y316/18)+IF(INDEX('Tournament Setup'!$AM:$AM,MATCH($A316,'Tournament Setup'!$A:$A,0))&lt;=MOD($Y316,18),1,0)))</f>
      </c>
      <c r="AJ316" t="e">
        <f>IF(OR(OR($A316="",$D316=""),P316=""),"",P316-(INT($Y316/18)+IF(INDEX('Tournament Setup'!$AN:$AN,MATCH($A316,'Tournament Setup'!$A:$A,0))&lt;=MOD($Y316,18),1,0)))</f>
      </c>
      <c r="AK316" t="e">
        <f>IF(OR(OR($A316="",$D316=""),Q316=""),"",Q316-(INT($Y316/18)+IF(INDEX('Tournament Setup'!$AO:$AO,MATCH($A316,'Tournament Setup'!$A:$A,0))&lt;=MOD($Y316,18),1,0)))</f>
      </c>
      <c r="AL316" t="e">
        <f>IF(OR(OR($A316="",$D316=""),R316=""),"",R316-(INT($Y316/18)+IF(INDEX('Tournament Setup'!$AP:$AP,MATCH($A316,'Tournament Setup'!$A:$A,0))&lt;=MOD($Y316,18),1,0)))</f>
      </c>
      <c r="AM316" t="e">
        <f>IF(OR(OR($A316="",$D316=""),S316=""),"",S316-(INT($Y316/18)+IF(INDEX('Tournament Setup'!$AQ:$AQ,MATCH($A316,'Tournament Setup'!$A:$A,0))&lt;=MOD($Y316,18),1,0)))</f>
      </c>
      <c r="AN316" t="e">
        <f>IF(OR(OR($A316="",$D316=""),T316=""),"",T316-(INT($Y316/18)+IF(INDEX('Tournament Setup'!$AR:$AR,MATCH($A316,'Tournament Setup'!$A:$A,0))&lt;=MOD($Y316,18),1,0)))</f>
      </c>
      <c r="AO316" t="e">
        <f>IF(OR(OR($A316="",$D316=""),U316=""),"",U316-(INT($Y316/18)+IF(INDEX('Tournament Setup'!$AS:$AS,MATCH($A316,'Tournament Setup'!$A:$A,0))&lt;=MOD($Y316,18),1,0)))</f>
      </c>
      <c r="AP316" t="e">
        <f>IF(OR(OR($A316="",$D316=""),V316=""),"",V316-(INT($Y316/18)+IF(INDEX('Tournament Setup'!$AT:$AT,MATCH($A316,'Tournament Setup'!$A:$A,0))&lt;=MOD($Y316,18),1,0)))</f>
      </c>
      <c r="AQ316" t="e">
        <f>IF(OR(OR($A316="",$D316=""),W316=""),"",W316-(INT($Y316/18)+IF(INDEX('Tournament Setup'!$AU:$AU,MATCH($A316,'Tournament Setup'!$A:$A,0))&lt;=MOD($Y316,18),1,0)))</f>
      </c>
    </row>
    <row r="317">
      <c r="X317" t="e">
        <f>IF(OR($A317="",$D317=""),"",SUM(F317:W317))</f>
      </c>
      <c r="Y317" t="e">
        <f>IF(OR($A317="",$D317=""),"",IF(INDEX('Tournament Setup'!$F:$F,MATCH($A317,'Tournament Setup'!$A:$A,0))="Net",ROUND(($E317-_xlfn.MINIFS($E$2:$E$401,$A$2:$A$401,$A317,$B$2:$B$401,$B317))*INDEX('Tournament Setup'!$G:$G,MATCH($A317,'Tournament Setup'!$A:$A,0))/100,0),0))</f>
      </c>
      <c r="Z317" t="e">
        <f>IF(OR(OR($A317="",$D317=""),F317=""),"",F317-(INT($Y317/18)+IF(INDEX('Tournament Setup'!$AD:$AD,MATCH($A317,'Tournament Setup'!$A:$A,0))&lt;=MOD($Y317,18),1,0)))</f>
      </c>
      <c r="AA317" t="e">
        <f>IF(OR(OR($A317="",$D317=""),G317=""),"",G317-(INT($Y317/18)+IF(INDEX('Tournament Setup'!$AE:$AE,MATCH($A317,'Tournament Setup'!$A:$A,0))&lt;=MOD($Y317,18),1,0)))</f>
      </c>
      <c r="AB317" t="e">
        <f>IF(OR(OR($A317="",$D317=""),H317=""),"",H317-(INT($Y317/18)+IF(INDEX('Tournament Setup'!$AF:$AF,MATCH($A317,'Tournament Setup'!$A:$A,0))&lt;=MOD($Y317,18),1,0)))</f>
      </c>
      <c r="AC317" t="e">
        <f>IF(OR(OR($A317="",$D317=""),I317=""),"",I317-(INT($Y317/18)+IF(INDEX('Tournament Setup'!$AG:$AG,MATCH($A317,'Tournament Setup'!$A:$A,0))&lt;=MOD($Y317,18),1,0)))</f>
      </c>
      <c r="AD317" t="e">
        <f>IF(OR(OR($A317="",$D317=""),J317=""),"",J317-(INT($Y317/18)+IF(INDEX('Tournament Setup'!$AH:$AH,MATCH($A317,'Tournament Setup'!$A:$A,0))&lt;=MOD($Y317,18),1,0)))</f>
      </c>
      <c r="AE317" t="e">
        <f>IF(OR(OR($A317="",$D317=""),K317=""),"",K317-(INT($Y317/18)+IF(INDEX('Tournament Setup'!$AI:$AI,MATCH($A317,'Tournament Setup'!$A:$A,0))&lt;=MOD($Y317,18),1,0)))</f>
      </c>
      <c r="AF317" t="e">
        <f>IF(OR(OR($A317="",$D317=""),L317=""),"",L317-(INT($Y317/18)+IF(INDEX('Tournament Setup'!$AJ:$AJ,MATCH($A317,'Tournament Setup'!$A:$A,0))&lt;=MOD($Y317,18),1,0)))</f>
      </c>
      <c r="AG317" t="e">
        <f>IF(OR(OR($A317="",$D317=""),M317=""),"",M317-(INT($Y317/18)+IF(INDEX('Tournament Setup'!$AK:$AK,MATCH($A317,'Tournament Setup'!$A:$A,0))&lt;=MOD($Y317,18),1,0)))</f>
      </c>
      <c r="AH317" t="e">
        <f>IF(OR(OR($A317="",$D317=""),N317=""),"",N317-(INT($Y317/18)+IF(INDEX('Tournament Setup'!$AL:$AL,MATCH($A317,'Tournament Setup'!$A:$A,0))&lt;=MOD($Y317,18),1,0)))</f>
      </c>
      <c r="AI317" t="e">
        <f>IF(OR(OR($A317="",$D317=""),O317=""),"",O317-(INT($Y317/18)+IF(INDEX('Tournament Setup'!$AM:$AM,MATCH($A317,'Tournament Setup'!$A:$A,0))&lt;=MOD($Y317,18),1,0)))</f>
      </c>
      <c r="AJ317" t="e">
        <f>IF(OR(OR($A317="",$D317=""),P317=""),"",P317-(INT($Y317/18)+IF(INDEX('Tournament Setup'!$AN:$AN,MATCH($A317,'Tournament Setup'!$A:$A,0))&lt;=MOD($Y317,18),1,0)))</f>
      </c>
      <c r="AK317" t="e">
        <f>IF(OR(OR($A317="",$D317=""),Q317=""),"",Q317-(INT($Y317/18)+IF(INDEX('Tournament Setup'!$AO:$AO,MATCH($A317,'Tournament Setup'!$A:$A,0))&lt;=MOD($Y317,18),1,0)))</f>
      </c>
      <c r="AL317" t="e">
        <f>IF(OR(OR($A317="",$D317=""),R317=""),"",R317-(INT($Y317/18)+IF(INDEX('Tournament Setup'!$AP:$AP,MATCH($A317,'Tournament Setup'!$A:$A,0))&lt;=MOD($Y317,18),1,0)))</f>
      </c>
      <c r="AM317" t="e">
        <f>IF(OR(OR($A317="",$D317=""),S317=""),"",S317-(INT($Y317/18)+IF(INDEX('Tournament Setup'!$AQ:$AQ,MATCH($A317,'Tournament Setup'!$A:$A,0))&lt;=MOD($Y317,18),1,0)))</f>
      </c>
      <c r="AN317" t="e">
        <f>IF(OR(OR($A317="",$D317=""),T317=""),"",T317-(INT($Y317/18)+IF(INDEX('Tournament Setup'!$AR:$AR,MATCH($A317,'Tournament Setup'!$A:$A,0))&lt;=MOD($Y317,18),1,0)))</f>
      </c>
      <c r="AO317" t="e">
        <f>IF(OR(OR($A317="",$D317=""),U317=""),"",U317-(INT($Y317/18)+IF(INDEX('Tournament Setup'!$AS:$AS,MATCH($A317,'Tournament Setup'!$A:$A,0))&lt;=MOD($Y317,18),1,0)))</f>
      </c>
      <c r="AP317" t="e">
        <f>IF(OR(OR($A317="",$D317=""),V317=""),"",V317-(INT($Y317/18)+IF(INDEX('Tournament Setup'!$AT:$AT,MATCH($A317,'Tournament Setup'!$A:$A,0))&lt;=MOD($Y317,18),1,0)))</f>
      </c>
      <c r="AQ317" t="e">
        <f>IF(OR(OR($A317="",$D317=""),W317=""),"",W317-(INT($Y317/18)+IF(INDEX('Tournament Setup'!$AU:$AU,MATCH($A317,'Tournament Setup'!$A:$A,0))&lt;=MOD($Y317,18),1,0)))</f>
      </c>
    </row>
    <row r="318">
      <c r="X318" t="e">
        <f>IF(OR($A318="",$D318=""),"",SUM(F318:W318))</f>
      </c>
      <c r="Y318" t="e">
        <f>IF(OR($A318="",$D318=""),"",IF(INDEX('Tournament Setup'!$F:$F,MATCH($A318,'Tournament Setup'!$A:$A,0))="Net",ROUND(($E318-_xlfn.MINIFS($E$2:$E$401,$A$2:$A$401,$A318,$B$2:$B$401,$B318))*INDEX('Tournament Setup'!$G:$G,MATCH($A318,'Tournament Setup'!$A:$A,0))/100,0),0))</f>
      </c>
      <c r="Z318" t="e">
        <f>IF(OR(OR($A318="",$D318=""),F318=""),"",F318-(INT($Y318/18)+IF(INDEX('Tournament Setup'!$AD:$AD,MATCH($A318,'Tournament Setup'!$A:$A,0))&lt;=MOD($Y318,18),1,0)))</f>
      </c>
      <c r="AA318" t="e">
        <f>IF(OR(OR($A318="",$D318=""),G318=""),"",G318-(INT($Y318/18)+IF(INDEX('Tournament Setup'!$AE:$AE,MATCH($A318,'Tournament Setup'!$A:$A,0))&lt;=MOD($Y318,18),1,0)))</f>
      </c>
      <c r="AB318" t="e">
        <f>IF(OR(OR($A318="",$D318=""),H318=""),"",H318-(INT($Y318/18)+IF(INDEX('Tournament Setup'!$AF:$AF,MATCH($A318,'Tournament Setup'!$A:$A,0))&lt;=MOD($Y318,18),1,0)))</f>
      </c>
      <c r="AC318" t="e">
        <f>IF(OR(OR($A318="",$D318=""),I318=""),"",I318-(INT($Y318/18)+IF(INDEX('Tournament Setup'!$AG:$AG,MATCH($A318,'Tournament Setup'!$A:$A,0))&lt;=MOD($Y318,18),1,0)))</f>
      </c>
      <c r="AD318" t="e">
        <f>IF(OR(OR($A318="",$D318=""),J318=""),"",J318-(INT($Y318/18)+IF(INDEX('Tournament Setup'!$AH:$AH,MATCH($A318,'Tournament Setup'!$A:$A,0))&lt;=MOD($Y318,18),1,0)))</f>
      </c>
      <c r="AE318" t="e">
        <f>IF(OR(OR($A318="",$D318=""),K318=""),"",K318-(INT($Y318/18)+IF(INDEX('Tournament Setup'!$AI:$AI,MATCH($A318,'Tournament Setup'!$A:$A,0))&lt;=MOD($Y318,18),1,0)))</f>
      </c>
      <c r="AF318" t="e">
        <f>IF(OR(OR($A318="",$D318=""),L318=""),"",L318-(INT($Y318/18)+IF(INDEX('Tournament Setup'!$AJ:$AJ,MATCH($A318,'Tournament Setup'!$A:$A,0))&lt;=MOD($Y318,18),1,0)))</f>
      </c>
      <c r="AG318" t="e">
        <f>IF(OR(OR($A318="",$D318=""),M318=""),"",M318-(INT($Y318/18)+IF(INDEX('Tournament Setup'!$AK:$AK,MATCH($A318,'Tournament Setup'!$A:$A,0))&lt;=MOD($Y318,18),1,0)))</f>
      </c>
      <c r="AH318" t="e">
        <f>IF(OR(OR($A318="",$D318=""),N318=""),"",N318-(INT($Y318/18)+IF(INDEX('Tournament Setup'!$AL:$AL,MATCH($A318,'Tournament Setup'!$A:$A,0))&lt;=MOD($Y318,18),1,0)))</f>
      </c>
      <c r="AI318" t="e">
        <f>IF(OR(OR($A318="",$D318=""),O318=""),"",O318-(INT($Y318/18)+IF(INDEX('Tournament Setup'!$AM:$AM,MATCH($A318,'Tournament Setup'!$A:$A,0))&lt;=MOD($Y318,18),1,0)))</f>
      </c>
      <c r="AJ318" t="e">
        <f>IF(OR(OR($A318="",$D318=""),P318=""),"",P318-(INT($Y318/18)+IF(INDEX('Tournament Setup'!$AN:$AN,MATCH($A318,'Tournament Setup'!$A:$A,0))&lt;=MOD($Y318,18),1,0)))</f>
      </c>
      <c r="AK318" t="e">
        <f>IF(OR(OR($A318="",$D318=""),Q318=""),"",Q318-(INT($Y318/18)+IF(INDEX('Tournament Setup'!$AO:$AO,MATCH($A318,'Tournament Setup'!$A:$A,0))&lt;=MOD($Y318,18),1,0)))</f>
      </c>
      <c r="AL318" t="e">
        <f>IF(OR(OR($A318="",$D318=""),R318=""),"",R318-(INT($Y318/18)+IF(INDEX('Tournament Setup'!$AP:$AP,MATCH($A318,'Tournament Setup'!$A:$A,0))&lt;=MOD($Y318,18),1,0)))</f>
      </c>
      <c r="AM318" t="e">
        <f>IF(OR(OR($A318="",$D318=""),S318=""),"",S318-(INT($Y318/18)+IF(INDEX('Tournament Setup'!$AQ:$AQ,MATCH($A318,'Tournament Setup'!$A:$A,0))&lt;=MOD($Y318,18),1,0)))</f>
      </c>
      <c r="AN318" t="e">
        <f>IF(OR(OR($A318="",$D318=""),T318=""),"",T318-(INT($Y318/18)+IF(INDEX('Tournament Setup'!$AR:$AR,MATCH($A318,'Tournament Setup'!$A:$A,0))&lt;=MOD($Y318,18),1,0)))</f>
      </c>
      <c r="AO318" t="e">
        <f>IF(OR(OR($A318="",$D318=""),U318=""),"",U318-(INT($Y318/18)+IF(INDEX('Tournament Setup'!$AS:$AS,MATCH($A318,'Tournament Setup'!$A:$A,0))&lt;=MOD($Y318,18),1,0)))</f>
      </c>
      <c r="AP318" t="e">
        <f>IF(OR(OR($A318="",$D318=""),V318=""),"",V318-(INT($Y318/18)+IF(INDEX('Tournament Setup'!$AT:$AT,MATCH($A318,'Tournament Setup'!$A:$A,0))&lt;=MOD($Y318,18),1,0)))</f>
      </c>
      <c r="AQ318" t="e">
        <f>IF(OR(OR($A318="",$D318=""),W318=""),"",W318-(INT($Y318/18)+IF(INDEX('Tournament Setup'!$AU:$AU,MATCH($A318,'Tournament Setup'!$A:$A,0))&lt;=MOD($Y318,18),1,0)))</f>
      </c>
    </row>
    <row r="319">
      <c r="X319" t="e">
        <f>IF(OR($A319="",$D319=""),"",SUM(F319:W319))</f>
      </c>
      <c r="Y319" t="e">
        <f>IF(OR($A319="",$D319=""),"",IF(INDEX('Tournament Setup'!$F:$F,MATCH($A319,'Tournament Setup'!$A:$A,0))="Net",ROUND(($E319-_xlfn.MINIFS($E$2:$E$401,$A$2:$A$401,$A319,$B$2:$B$401,$B319))*INDEX('Tournament Setup'!$G:$G,MATCH($A319,'Tournament Setup'!$A:$A,0))/100,0),0))</f>
      </c>
      <c r="Z319" t="e">
        <f>IF(OR(OR($A319="",$D319=""),F319=""),"",F319-(INT($Y319/18)+IF(INDEX('Tournament Setup'!$AD:$AD,MATCH($A319,'Tournament Setup'!$A:$A,0))&lt;=MOD($Y319,18),1,0)))</f>
      </c>
      <c r="AA319" t="e">
        <f>IF(OR(OR($A319="",$D319=""),G319=""),"",G319-(INT($Y319/18)+IF(INDEX('Tournament Setup'!$AE:$AE,MATCH($A319,'Tournament Setup'!$A:$A,0))&lt;=MOD($Y319,18),1,0)))</f>
      </c>
      <c r="AB319" t="e">
        <f>IF(OR(OR($A319="",$D319=""),H319=""),"",H319-(INT($Y319/18)+IF(INDEX('Tournament Setup'!$AF:$AF,MATCH($A319,'Tournament Setup'!$A:$A,0))&lt;=MOD($Y319,18),1,0)))</f>
      </c>
      <c r="AC319" t="e">
        <f>IF(OR(OR($A319="",$D319=""),I319=""),"",I319-(INT($Y319/18)+IF(INDEX('Tournament Setup'!$AG:$AG,MATCH($A319,'Tournament Setup'!$A:$A,0))&lt;=MOD($Y319,18),1,0)))</f>
      </c>
      <c r="AD319" t="e">
        <f>IF(OR(OR($A319="",$D319=""),J319=""),"",J319-(INT($Y319/18)+IF(INDEX('Tournament Setup'!$AH:$AH,MATCH($A319,'Tournament Setup'!$A:$A,0))&lt;=MOD($Y319,18),1,0)))</f>
      </c>
      <c r="AE319" t="e">
        <f>IF(OR(OR($A319="",$D319=""),K319=""),"",K319-(INT($Y319/18)+IF(INDEX('Tournament Setup'!$AI:$AI,MATCH($A319,'Tournament Setup'!$A:$A,0))&lt;=MOD($Y319,18),1,0)))</f>
      </c>
      <c r="AF319" t="e">
        <f>IF(OR(OR($A319="",$D319=""),L319=""),"",L319-(INT($Y319/18)+IF(INDEX('Tournament Setup'!$AJ:$AJ,MATCH($A319,'Tournament Setup'!$A:$A,0))&lt;=MOD($Y319,18),1,0)))</f>
      </c>
      <c r="AG319" t="e">
        <f>IF(OR(OR($A319="",$D319=""),M319=""),"",M319-(INT($Y319/18)+IF(INDEX('Tournament Setup'!$AK:$AK,MATCH($A319,'Tournament Setup'!$A:$A,0))&lt;=MOD($Y319,18),1,0)))</f>
      </c>
      <c r="AH319" t="e">
        <f>IF(OR(OR($A319="",$D319=""),N319=""),"",N319-(INT($Y319/18)+IF(INDEX('Tournament Setup'!$AL:$AL,MATCH($A319,'Tournament Setup'!$A:$A,0))&lt;=MOD($Y319,18),1,0)))</f>
      </c>
      <c r="AI319" t="e">
        <f>IF(OR(OR($A319="",$D319=""),O319=""),"",O319-(INT($Y319/18)+IF(INDEX('Tournament Setup'!$AM:$AM,MATCH($A319,'Tournament Setup'!$A:$A,0))&lt;=MOD($Y319,18),1,0)))</f>
      </c>
      <c r="AJ319" t="e">
        <f>IF(OR(OR($A319="",$D319=""),P319=""),"",P319-(INT($Y319/18)+IF(INDEX('Tournament Setup'!$AN:$AN,MATCH($A319,'Tournament Setup'!$A:$A,0))&lt;=MOD($Y319,18),1,0)))</f>
      </c>
      <c r="AK319" t="e">
        <f>IF(OR(OR($A319="",$D319=""),Q319=""),"",Q319-(INT($Y319/18)+IF(INDEX('Tournament Setup'!$AO:$AO,MATCH($A319,'Tournament Setup'!$A:$A,0))&lt;=MOD($Y319,18),1,0)))</f>
      </c>
      <c r="AL319" t="e">
        <f>IF(OR(OR($A319="",$D319=""),R319=""),"",R319-(INT($Y319/18)+IF(INDEX('Tournament Setup'!$AP:$AP,MATCH($A319,'Tournament Setup'!$A:$A,0))&lt;=MOD($Y319,18),1,0)))</f>
      </c>
      <c r="AM319" t="e">
        <f>IF(OR(OR($A319="",$D319=""),S319=""),"",S319-(INT($Y319/18)+IF(INDEX('Tournament Setup'!$AQ:$AQ,MATCH($A319,'Tournament Setup'!$A:$A,0))&lt;=MOD($Y319,18),1,0)))</f>
      </c>
      <c r="AN319" t="e">
        <f>IF(OR(OR($A319="",$D319=""),T319=""),"",T319-(INT($Y319/18)+IF(INDEX('Tournament Setup'!$AR:$AR,MATCH($A319,'Tournament Setup'!$A:$A,0))&lt;=MOD($Y319,18),1,0)))</f>
      </c>
      <c r="AO319" t="e">
        <f>IF(OR(OR($A319="",$D319=""),U319=""),"",U319-(INT($Y319/18)+IF(INDEX('Tournament Setup'!$AS:$AS,MATCH($A319,'Tournament Setup'!$A:$A,0))&lt;=MOD($Y319,18),1,0)))</f>
      </c>
      <c r="AP319" t="e">
        <f>IF(OR(OR($A319="",$D319=""),V319=""),"",V319-(INT($Y319/18)+IF(INDEX('Tournament Setup'!$AT:$AT,MATCH($A319,'Tournament Setup'!$A:$A,0))&lt;=MOD($Y319,18),1,0)))</f>
      </c>
      <c r="AQ319" t="e">
        <f>IF(OR(OR($A319="",$D319=""),W319=""),"",W319-(INT($Y319/18)+IF(INDEX('Tournament Setup'!$AU:$AU,MATCH($A319,'Tournament Setup'!$A:$A,0))&lt;=MOD($Y319,18),1,0)))</f>
      </c>
    </row>
    <row r="320">
      <c r="X320" t="e">
        <f>IF(OR($A320="",$D320=""),"",SUM(F320:W320))</f>
      </c>
      <c r="Y320" t="e">
        <f>IF(OR($A320="",$D320=""),"",IF(INDEX('Tournament Setup'!$F:$F,MATCH($A320,'Tournament Setup'!$A:$A,0))="Net",ROUND(($E320-_xlfn.MINIFS($E$2:$E$401,$A$2:$A$401,$A320,$B$2:$B$401,$B320))*INDEX('Tournament Setup'!$G:$G,MATCH($A320,'Tournament Setup'!$A:$A,0))/100,0),0))</f>
      </c>
      <c r="Z320" t="e">
        <f>IF(OR(OR($A320="",$D320=""),F320=""),"",F320-(INT($Y320/18)+IF(INDEX('Tournament Setup'!$AD:$AD,MATCH($A320,'Tournament Setup'!$A:$A,0))&lt;=MOD($Y320,18),1,0)))</f>
      </c>
      <c r="AA320" t="e">
        <f>IF(OR(OR($A320="",$D320=""),G320=""),"",G320-(INT($Y320/18)+IF(INDEX('Tournament Setup'!$AE:$AE,MATCH($A320,'Tournament Setup'!$A:$A,0))&lt;=MOD($Y320,18),1,0)))</f>
      </c>
      <c r="AB320" t="e">
        <f>IF(OR(OR($A320="",$D320=""),H320=""),"",H320-(INT($Y320/18)+IF(INDEX('Tournament Setup'!$AF:$AF,MATCH($A320,'Tournament Setup'!$A:$A,0))&lt;=MOD($Y320,18),1,0)))</f>
      </c>
      <c r="AC320" t="e">
        <f>IF(OR(OR($A320="",$D320=""),I320=""),"",I320-(INT($Y320/18)+IF(INDEX('Tournament Setup'!$AG:$AG,MATCH($A320,'Tournament Setup'!$A:$A,0))&lt;=MOD($Y320,18),1,0)))</f>
      </c>
      <c r="AD320" t="e">
        <f>IF(OR(OR($A320="",$D320=""),J320=""),"",J320-(INT($Y320/18)+IF(INDEX('Tournament Setup'!$AH:$AH,MATCH($A320,'Tournament Setup'!$A:$A,0))&lt;=MOD($Y320,18),1,0)))</f>
      </c>
      <c r="AE320" t="e">
        <f>IF(OR(OR($A320="",$D320=""),K320=""),"",K320-(INT($Y320/18)+IF(INDEX('Tournament Setup'!$AI:$AI,MATCH($A320,'Tournament Setup'!$A:$A,0))&lt;=MOD($Y320,18),1,0)))</f>
      </c>
      <c r="AF320" t="e">
        <f>IF(OR(OR($A320="",$D320=""),L320=""),"",L320-(INT($Y320/18)+IF(INDEX('Tournament Setup'!$AJ:$AJ,MATCH($A320,'Tournament Setup'!$A:$A,0))&lt;=MOD($Y320,18),1,0)))</f>
      </c>
      <c r="AG320" t="e">
        <f>IF(OR(OR($A320="",$D320=""),M320=""),"",M320-(INT($Y320/18)+IF(INDEX('Tournament Setup'!$AK:$AK,MATCH($A320,'Tournament Setup'!$A:$A,0))&lt;=MOD($Y320,18),1,0)))</f>
      </c>
      <c r="AH320" t="e">
        <f>IF(OR(OR($A320="",$D320=""),N320=""),"",N320-(INT($Y320/18)+IF(INDEX('Tournament Setup'!$AL:$AL,MATCH($A320,'Tournament Setup'!$A:$A,0))&lt;=MOD($Y320,18),1,0)))</f>
      </c>
      <c r="AI320" t="e">
        <f>IF(OR(OR($A320="",$D320=""),O320=""),"",O320-(INT($Y320/18)+IF(INDEX('Tournament Setup'!$AM:$AM,MATCH($A320,'Tournament Setup'!$A:$A,0))&lt;=MOD($Y320,18),1,0)))</f>
      </c>
      <c r="AJ320" t="e">
        <f>IF(OR(OR($A320="",$D320=""),P320=""),"",P320-(INT($Y320/18)+IF(INDEX('Tournament Setup'!$AN:$AN,MATCH($A320,'Tournament Setup'!$A:$A,0))&lt;=MOD($Y320,18),1,0)))</f>
      </c>
      <c r="AK320" t="e">
        <f>IF(OR(OR($A320="",$D320=""),Q320=""),"",Q320-(INT($Y320/18)+IF(INDEX('Tournament Setup'!$AO:$AO,MATCH($A320,'Tournament Setup'!$A:$A,0))&lt;=MOD($Y320,18),1,0)))</f>
      </c>
      <c r="AL320" t="e">
        <f>IF(OR(OR($A320="",$D320=""),R320=""),"",R320-(INT($Y320/18)+IF(INDEX('Tournament Setup'!$AP:$AP,MATCH($A320,'Tournament Setup'!$A:$A,0))&lt;=MOD($Y320,18),1,0)))</f>
      </c>
      <c r="AM320" t="e">
        <f>IF(OR(OR($A320="",$D320=""),S320=""),"",S320-(INT($Y320/18)+IF(INDEX('Tournament Setup'!$AQ:$AQ,MATCH($A320,'Tournament Setup'!$A:$A,0))&lt;=MOD($Y320,18),1,0)))</f>
      </c>
      <c r="AN320" t="e">
        <f>IF(OR(OR($A320="",$D320=""),T320=""),"",T320-(INT($Y320/18)+IF(INDEX('Tournament Setup'!$AR:$AR,MATCH($A320,'Tournament Setup'!$A:$A,0))&lt;=MOD($Y320,18),1,0)))</f>
      </c>
      <c r="AO320" t="e">
        <f>IF(OR(OR($A320="",$D320=""),U320=""),"",U320-(INT($Y320/18)+IF(INDEX('Tournament Setup'!$AS:$AS,MATCH($A320,'Tournament Setup'!$A:$A,0))&lt;=MOD($Y320,18),1,0)))</f>
      </c>
      <c r="AP320" t="e">
        <f>IF(OR(OR($A320="",$D320=""),V320=""),"",V320-(INT($Y320/18)+IF(INDEX('Tournament Setup'!$AT:$AT,MATCH($A320,'Tournament Setup'!$A:$A,0))&lt;=MOD($Y320,18),1,0)))</f>
      </c>
      <c r="AQ320" t="e">
        <f>IF(OR(OR($A320="",$D320=""),W320=""),"",W320-(INT($Y320/18)+IF(INDEX('Tournament Setup'!$AU:$AU,MATCH($A320,'Tournament Setup'!$A:$A,0))&lt;=MOD($Y320,18),1,0)))</f>
      </c>
    </row>
    <row r="321">
      <c r="X321" t="e">
        <f>IF(OR($A321="",$D321=""),"",SUM(F321:W321))</f>
      </c>
      <c r="Y321" t="e">
        <f>IF(OR($A321="",$D321=""),"",IF(INDEX('Tournament Setup'!$F:$F,MATCH($A321,'Tournament Setup'!$A:$A,0))="Net",ROUND(($E321-_xlfn.MINIFS($E$2:$E$401,$A$2:$A$401,$A321,$B$2:$B$401,$B321))*INDEX('Tournament Setup'!$G:$G,MATCH($A321,'Tournament Setup'!$A:$A,0))/100,0),0))</f>
      </c>
      <c r="Z321" t="e">
        <f>IF(OR(OR($A321="",$D321=""),F321=""),"",F321-(INT($Y321/18)+IF(INDEX('Tournament Setup'!$AD:$AD,MATCH($A321,'Tournament Setup'!$A:$A,0))&lt;=MOD($Y321,18),1,0)))</f>
      </c>
      <c r="AA321" t="e">
        <f>IF(OR(OR($A321="",$D321=""),G321=""),"",G321-(INT($Y321/18)+IF(INDEX('Tournament Setup'!$AE:$AE,MATCH($A321,'Tournament Setup'!$A:$A,0))&lt;=MOD($Y321,18),1,0)))</f>
      </c>
      <c r="AB321" t="e">
        <f>IF(OR(OR($A321="",$D321=""),H321=""),"",H321-(INT($Y321/18)+IF(INDEX('Tournament Setup'!$AF:$AF,MATCH($A321,'Tournament Setup'!$A:$A,0))&lt;=MOD($Y321,18),1,0)))</f>
      </c>
      <c r="AC321" t="e">
        <f>IF(OR(OR($A321="",$D321=""),I321=""),"",I321-(INT($Y321/18)+IF(INDEX('Tournament Setup'!$AG:$AG,MATCH($A321,'Tournament Setup'!$A:$A,0))&lt;=MOD($Y321,18),1,0)))</f>
      </c>
      <c r="AD321" t="e">
        <f>IF(OR(OR($A321="",$D321=""),J321=""),"",J321-(INT($Y321/18)+IF(INDEX('Tournament Setup'!$AH:$AH,MATCH($A321,'Tournament Setup'!$A:$A,0))&lt;=MOD($Y321,18),1,0)))</f>
      </c>
      <c r="AE321" t="e">
        <f>IF(OR(OR($A321="",$D321=""),K321=""),"",K321-(INT($Y321/18)+IF(INDEX('Tournament Setup'!$AI:$AI,MATCH($A321,'Tournament Setup'!$A:$A,0))&lt;=MOD($Y321,18),1,0)))</f>
      </c>
      <c r="AF321" t="e">
        <f>IF(OR(OR($A321="",$D321=""),L321=""),"",L321-(INT($Y321/18)+IF(INDEX('Tournament Setup'!$AJ:$AJ,MATCH($A321,'Tournament Setup'!$A:$A,0))&lt;=MOD($Y321,18),1,0)))</f>
      </c>
      <c r="AG321" t="e">
        <f>IF(OR(OR($A321="",$D321=""),M321=""),"",M321-(INT($Y321/18)+IF(INDEX('Tournament Setup'!$AK:$AK,MATCH($A321,'Tournament Setup'!$A:$A,0))&lt;=MOD($Y321,18),1,0)))</f>
      </c>
      <c r="AH321" t="e">
        <f>IF(OR(OR($A321="",$D321=""),N321=""),"",N321-(INT($Y321/18)+IF(INDEX('Tournament Setup'!$AL:$AL,MATCH($A321,'Tournament Setup'!$A:$A,0))&lt;=MOD($Y321,18),1,0)))</f>
      </c>
      <c r="AI321" t="e">
        <f>IF(OR(OR($A321="",$D321=""),O321=""),"",O321-(INT($Y321/18)+IF(INDEX('Tournament Setup'!$AM:$AM,MATCH($A321,'Tournament Setup'!$A:$A,0))&lt;=MOD($Y321,18),1,0)))</f>
      </c>
      <c r="AJ321" t="e">
        <f>IF(OR(OR($A321="",$D321=""),P321=""),"",P321-(INT($Y321/18)+IF(INDEX('Tournament Setup'!$AN:$AN,MATCH($A321,'Tournament Setup'!$A:$A,0))&lt;=MOD($Y321,18),1,0)))</f>
      </c>
      <c r="AK321" t="e">
        <f>IF(OR(OR($A321="",$D321=""),Q321=""),"",Q321-(INT($Y321/18)+IF(INDEX('Tournament Setup'!$AO:$AO,MATCH($A321,'Tournament Setup'!$A:$A,0))&lt;=MOD($Y321,18),1,0)))</f>
      </c>
      <c r="AL321" t="e">
        <f>IF(OR(OR($A321="",$D321=""),R321=""),"",R321-(INT($Y321/18)+IF(INDEX('Tournament Setup'!$AP:$AP,MATCH($A321,'Tournament Setup'!$A:$A,0))&lt;=MOD($Y321,18),1,0)))</f>
      </c>
      <c r="AM321" t="e">
        <f>IF(OR(OR($A321="",$D321=""),S321=""),"",S321-(INT($Y321/18)+IF(INDEX('Tournament Setup'!$AQ:$AQ,MATCH($A321,'Tournament Setup'!$A:$A,0))&lt;=MOD($Y321,18),1,0)))</f>
      </c>
      <c r="AN321" t="e">
        <f>IF(OR(OR($A321="",$D321=""),T321=""),"",T321-(INT($Y321/18)+IF(INDEX('Tournament Setup'!$AR:$AR,MATCH($A321,'Tournament Setup'!$A:$A,0))&lt;=MOD($Y321,18),1,0)))</f>
      </c>
      <c r="AO321" t="e">
        <f>IF(OR(OR($A321="",$D321=""),U321=""),"",U321-(INT($Y321/18)+IF(INDEX('Tournament Setup'!$AS:$AS,MATCH($A321,'Tournament Setup'!$A:$A,0))&lt;=MOD($Y321,18),1,0)))</f>
      </c>
      <c r="AP321" t="e">
        <f>IF(OR(OR($A321="",$D321=""),V321=""),"",V321-(INT($Y321/18)+IF(INDEX('Tournament Setup'!$AT:$AT,MATCH($A321,'Tournament Setup'!$A:$A,0))&lt;=MOD($Y321,18),1,0)))</f>
      </c>
      <c r="AQ321" t="e">
        <f>IF(OR(OR($A321="",$D321=""),W321=""),"",W321-(INT($Y321/18)+IF(INDEX('Tournament Setup'!$AU:$AU,MATCH($A321,'Tournament Setup'!$A:$A,0))&lt;=MOD($Y321,18),1,0)))</f>
      </c>
    </row>
    <row r="322">
      <c r="X322" t="e">
        <f>IF(OR($A322="",$D322=""),"",SUM(F322:W322))</f>
      </c>
      <c r="Y322" t="e">
        <f>IF(OR($A322="",$D322=""),"",IF(INDEX('Tournament Setup'!$F:$F,MATCH($A322,'Tournament Setup'!$A:$A,0))="Net",ROUND(($E322-_xlfn.MINIFS($E$2:$E$401,$A$2:$A$401,$A322,$B$2:$B$401,$B322))*INDEX('Tournament Setup'!$G:$G,MATCH($A322,'Tournament Setup'!$A:$A,0))/100,0),0))</f>
      </c>
      <c r="Z322" t="e">
        <f>IF(OR(OR($A322="",$D322=""),F322=""),"",F322-(INT($Y322/18)+IF(INDEX('Tournament Setup'!$AD:$AD,MATCH($A322,'Tournament Setup'!$A:$A,0))&lt;=MOD($Y322,18),1,0)))</f>
      </c>
      <c r="AA322" t="e">
        <f>IF(OR(OR($A322="",$D322=""),G322=""),"",G322-(INT($Y322/18)+IF(INDEX('Tournament Setup'!$AE:$AE,MATCH($A322,'Tournament Setup'!$A:$A,0))&lt;=MOD($Y322,18),1,0)))</f>
      </c>
      <c r="AB322" t="e">
        <f>IF(OR(OR($A322="",$D322=""),H322=""),"",H322-(INT($Y322/18)+IF(INDEX('Tournament Setup'!$AF:$AF,MATCH($A322,'Tournament Setup'!$A:$A,0))&lt;=MOD($Y322,18),1,0)))</f>
      </c>
      <c r="AC322" t="e">
        <f>IF(OR(OR($A322="",$D322=""),I322=""),"",I322-(INT($Y322/18)+IF(INDEX('Tournament Setup'!$AG:$AG,MATCH($A322,'Tournament Setup'!$A:$A,0))&lt;=MOD($Y322,18),1,0)))</f>
      </c>
      <c r="AD322" t="e">
        <f>IF(OR(OR($A322="",$D322=""),J322=""),"",J322-(INT($Y322/18)+IF(INDEX('Tournament Setup'!$AH:$AH,MATCH($A322,'Tournament Setup'!$A:$A,0))&lt;=MOD($Y322,18),1,0)))</f>
      </c>
      <c r="AE322" t="e">
        <f>IF(OR(OR($A322="",$D322=""),K322=""),"",K322-(INT($Y322/18)+IF(INDEX('Tournament Setup'!$AI:$AI,MATCH($A322,'Tournament Setup'!$A:$A,0))&lt;=MOD($Y322,18),1,0)))</f>
      </c>
      <c r="AF322" t="e">
        <f>IF(OR(OR($A322="",$D322=""),L322=""),"",L322-(INT($Y322/18)+IF(INDEX('Tournament Setup'!$AJ:$AJ,MATCH($A322,'Tournament Setup'!$A:$A,0))&lt;=MOD($Y322,18),1,0)))</f>
      </c>
      <c r="AG322" t="e">
        <f>IF(OR(OR($A322="",$D322=""),M322=""),"",M322-(INT($Y322/18)+IF(INDEX('Tournament Setup'!$AK:$AK,MATCH($A322,'Tournament Setup'!$A:$A,0))&lt;=MOD($Y322,18),1,0)))</f>
      </c>
      <c r="AH322" t="e">
        <f>IF(OR(OR($A322="",$D322=""),N322=""),"",N322-(INT($Y322/18)+IF(INDEX('Tournament Setup'!$AL:$AL,MATCH($A322,'Tournament Setup'!$A:$A,0))&lt;=MOD($Y322,18),1,0)))</f>
      </c>
      <c r="AI322" t="e">
        <f>IF(OR(OR($A322="",$D322=""),O322=""),"",O322-(INT($Y322/18)+IF(INDEX('Tournament Setup'!$AM:$AM,MATCH($A322,'Tournament Setup'!$A:$A,0))&lt;=MOD($Y322,18),1,0)))</f>
      </c>
      <c r="AJ322" t="e">
        <f>IF(OR(OR($A322="",$D322=""),P322=""),"",P322-(INT($Y322/18)+IF(INDEX('Tournament Setup'!$AN:$AN,MATCH($A322,'Tournament Setup'!$A:$A,0))&lt;=MOD($Y322,18),1,0)))</f>
      </c>
      <c r="AK322" t="e">
        <f>IF(OR(OR($A322="",$D322=""),Q322=""),"",Q322-(INT($Y322/18)+IF(INDEX('Tournament Setup'!$AO:$AO,MATCH($A322,'Tournament Setup'!$A:$A,0))&lt;=MOD($Y322,18),1,0)))</f>
      </c>
      <c r="AL322" t="e">
        <f>IF(OR(OR($A322="",$D322=""),R322=""),"",R322-(INT($Y322/18)+IF(INDEX('Tournament Setup'!$AP:$AP,MATCH($A322,'Tournament Setup'!$A:$A,0))&lt;=MOD($Y322,18),1,0)))</f>
      </c>
      <c r="AM322" t="e">
        <f>IF(OR(OR($A322="",$D322=""),S322=""),"",S322-(INT($Y322/18)+IF(INDEX('Tournament Setup'!$AQ:$AQ,MATCH($A322,'Tournament Setup'!$A:$A,0))&lt;=MOD($Y322,18),1,0)))</f>
      </c>
      <c r="AN322" t="e">
        <f>IF(OR(OR($A322="",$D322=""),T322=""),"",T322-(INT($Y322/18)+IF(INDEX('Tournament Setup'!$AR:$AR,MATCH($A322,'Tournament Setup'!$A:$A,0))&lt;=MOD($Y322,18),1,0)))</f>
      </c>
      <c r="AO322" t="e">
        <f>IF(OR(OR($A322="",$D322=""),U322=""),"",U322-(INT($Y322/18)+IF(INDEX('Tournament Setup'!$AS:$AS,MATCH($A322,'Tournament Setup'!$A:$A,0))&lt;=MOD($Y322,18),1,0)))</f>
      </c>
      <c r="AP322" t="e">
        <f>IF(OR(OR($A322="",$D322=""),V322=""),"",V322-(INT($Y322/18)+IF(INDEX('Tournament Setup'!$AT:$AT,MATCH($A322,'Tournament Setup'!$A:$A,0))&lt;=MOD($Y322,18),1,0)))</f>
      </c>
      <c r="AQ322" t="e">
        <f>IF(OR(OR($A322="",$D322=""),W322=""),"",W322-(INT($Y322/18)+IF(INDEX('Tournament Setup'!$AU:$AU,MATCH($A322,'Tournament Setup'!$A:$A,0))&lt;=MOD($Y322,18),1,0)))</f>
      </c>
    </row>
    <row r="323">
      <c r="X323" t="e">
        <f>IF(OR($A323="",$D323=""),"",SUM(F323:W323))</f>
      </c>
      <c r="Y323" t="e">
        <f>IF(OR($A323="",$D323=""),"",IF(INDEX('Tournament Setup'!$F:$F,MATCH($A323,'Tournament Setup'!$A:$A,0))="Net",ROUND(($E323-_xlfn.MINIFS($E$2:$E$401,$A$2:$A$401,$A323,$B$2:$B$401,$B323))*INDEX('Tournament Setup'!$G:$G,MATCH($A323,'Tournament Setup'!$A:$A,0))/100,0),0))</f>
      </c>
      <c r="Z323" t="e">
        <f>IF(OR(OR($A323="",$D323=""),F323=""),"",F323-(INT($Y323/18)+IF(INDEX('Tournament Setup'!$AD:$AD,MATCH($A323,'Tournament Setup'!$A:$A,0))&lt;=MOD($Y323,18),1,0)))</f>
      </c>
      <c r="AA323" t="e">
        <f>IF(OR(OR($A323="",$D323=""),G323=""),"",G323-(INT($Y323/18)+IF(INDEX('Tournament Setup'!$AE:$AE,MATCH($A323,'Tournament Setup'!$A:$A,0))&lt;=MOD($Y323,18),1,0)))</f>
      </c>
      <c r="AB323" t="e">
        <f>IF(OR(OR($A323="",$D323=""),H323=""),"",H323-(INT($Y323/18)+IF(INDEX('Tournament Setup'!$AF:$AF,MATCH($A323,'Tournament Setup'!$A:$A,0))&lt;=MOD($Y323,18),1,0)))</f>
      </c>
      <c r="AC323" t="e">
        <f>IF(OR(OR($A323="",$D323=""),I323=""),"",I323-(INT($Y323/18)+IF(INDEX('Tournament Setup'!$AG:$AG,MATCH($A323,'Tournament Setup'!$A:$A,0))&lt;=MOD($Y323,18),1,0)))</f>
      </c>
      <c r="AD323" t="e">
        <f>IF(OR(OR($A323="",$D323=""),J323=""),"",J323-(INT($Y323/18)+IF(INDEX('Tournament Setup'!$AH:$AH,MATCH($A323,'Tournament Setup'!$A:$A,0))&lt;=MOD($Y323,18),1,0)))</f>
      </c>
      <c r="AE323" t="e">
        <f>IF(OR(OR($A323="",$D323=""),K323=""),"",K323-(INT($Y323/18)+IF(INDEX('Tournament Setup'!$AI:$AI,MATCH($A323,'Tournament Setup'!$A:$A,0))&lt;=MOD($Y323,18),1,0)))</f>
      </c>
      <c r="AF323" t="e">
        <f>IF(OR(OR($A323="",$D323=""),L323=""),"",L323-(INT($Y323/18)+IF(INDEX('Tournament Setup'!$AJ:$AJ,MATCH($A323,'Tournament Setup'!$A:$A,0))&lt;=MOD($Y323,18),1,0)))</f>
      </c>
      <c r="AG323" t="e">
        <f>IF(OR(OR($A323="",$D323=""),M323=""),"",M323-(INT($Y323/18)+IF(INDEX('Tournament Setup'!$AK:$AK,MATCH($A323,'Tournament Setup'!$A:$A,0))&lt;=MOD($Y323,18),1,0)))</f>
      </c>
      <c r="AH323" t="e">
        <f>IF(OR(OR($A323="",$D323=""),N323=""),"",N323-(INT($Y323/18)+IF(INDEX('Tournament Setup'!$AL:$AL,MATCH($A323,'Tournament Setup'!$A:$A,0))&lt;=MOD($Y323,18),1,0)))</f>
      </c>
      <c r="AI323" t="e">
        <f>IF(OR(OR($A323="",$D323=""),O323=""),"",O323-(INT($Y323/18)+IF(INDEX('Tournament Setup'!$AM:$AM,MATCH($A323,'Tournament Setup'!$A:$A,0))&lt;=MOD($Y323,18),1,0)))</f>
      </c>
      <c r="AJ323" t="e">
        <f>IF(OR(OR($A323="",$D323=""),P323=""),"",P323-(INT($Y323/18)+IF(INDEX('Tournament Setup'!$AN:$AN,MATCH($A323,'Tournament Setup'!$A:$A,0))&lt;=MOD($Y323,18),1,0)))</f>
      </c>
      <c r="AK323" t="e">
        <f>IF(OR(OR($A323="",$D323=""),Q323=""),"",Q323-(INT($Y323/18)+IF(INDEX('Tournament Setup'!$AO:$AO,MATCH($A323,'Tournament Setup'!$A:$A,0))&lt;=MOD($Y323,18),1,0)))</f>
      </c>
      <c r="AL323" t="e">
        <f>IF(OR(OR($A323="",$D323=""),R323=""),"",R323-(INT($Y323/18)+IF(INDEX('Tournament Setup'!$AP:$AP,MATCH($A323,'Tournament Setup'!$A:$A,0))&lt;=MOD($Y323,18),1,0)))</f>
      </c>
      <c r="AM323" t="e">
        <f>IF(OR(OR($A323="",$D323=""),S323=""),"",S323-(INT($Y323/18)+IF(INDEX('Tournament Setup'!$AQ:$AQ,MATCH($A323,'Tournament Setup'!$A:$A,0))&lt;=MOD($Y323,18),1,0)))</f>
      </c>
      <c r="AN323" t="e">
        <f>IF(OR(OR($A323="",$D323=""),T323=""),"",T323-(INT($Y323/18)+IF(INDEX('Tournament Setup'!$AR:$AR,MATCH($A323,'Tournament Setup'!$A:$A,0))&lt;=MOD($Y323,18),1,0)))</f>
      </c>
      <c r="AO323" t="e">
        <f>IF(OR(OR($A323="",$D323=""),U323=""),"",U323-(INT($Y323/18)+IF(INDEX('Tournament Setup'!$AS:$AS,MATCH($A323,'Tournament Setup'!$A:$A,0))&lt;=MOD($Y323,18),1,0)))</f>
      </c>
      <c r="AP323" t="e">
        <f>IF(OR(OR($A323="",$D323=""),V323=""),"",V323-(INT($Y323/18)+IF(INDEX('Tournament Setup'!$AT:$AT,MATCH($A323,'Tournament Setup'!$A:$A,0))&lt;=MOD($Y323,18),1,0)))</f>
      </c>
      <c r="AQ323" t="e">
        <f>IF(OR(OR($A323="",$D323=""),W323=""),"",W323-(INT($Y323/18)+IF(INDEX('Tournament Setup'!$AU:$AU,MATCH($A323,'Tournament Setup'!$A:$A,0))&lt;=MOD($Y323,18),1,0)))</f>
      </c>
    </row>
    <row r="324">
      <c r="X324" t="e">
        <f>IF(OR($A324="",$D324=""),"",SUM(F324:W324))</f>
      </c>
      <c r="Y324" t="e">
        <f>IF(OR($A324="",$D324=""),"",IF(INDEX('Tournament Setup'!$F:$F,MATCH($A324,'Tournament Setup'!$A:$A,0))="Net",ROUND(($E324-_xlfn.MINIFS($E$2:$E$401,$A$2:$A$401,$A324,$B$2:$B$401,$B324))*INDEX('Tournament Setup'!$G:$G,MATCH($A324,'Tournament Setup'!$A:$A,0))/100,0),0))</f>
      </c>
      <c r="Z324" t="e">
        <f>IF(OR(OR($A324="",$D324=""),F324=""),"",F324-(INT($Y324/18)+IF(INDEX('Tournament Setup'!$AD:$AD,MATCH($A324,'Tournament Setup'!$A:$A,0))&lt;=MOD($Y324,18),1,0)))</f>
      </c>
      <c r="AA324" t="e">
        <f>IF(OR(OR($A324="",$D324=""),G324=""),"",G324-(INT($Y324/18)+IF(INDEX('Tournament Setup'!$AE:$AE,MATCH($A324,'Tournament Setup'!$A:$A,0))&lt;=MOD($Y324,18),1,0)))</f>
      </c>
      <c r="AB324" t="e">
        <f>IF(OR(OR($A324="",$D324=""),H324=""),"",H324-(INT($Y324/18)+IF(INDEX('Tournament Setup'!$AF:$AF,MATCH($A324,'Tournament Setup'!$A:$A,0))&lt;=MOD($Y324,18),1,0)))</f>
      </c>
      <c r="AC324" t="e">
        <f>IF(OR(OR($A324="",$D324=""),I324=""),"",I324-(INT($Y324/18)+IF(INDEX('Tournament Setup'!$AG:$AG,MATCH($A324,'Tournament Setup'!$A:$A,0))&lt;=MOD($Y324,18),1,0)))</f>
      </c>
      <c r="AD324" t="e">
        <f>IF(OR(OR($A324="",$D324=""),J324=""),"",J324-(INT($Y324/18)+IF(INDEX('Tournament Setup'!$AH:$AH,MATCH($A324,'Tournament Setup'!$A:$A,0))&lt;=MOD($Y324,18),1,0)))</f>
      </c>
      <c r="AE324" t="e">
        <f>IF(OR(OR($A324="",$D324=""),K324=""),"",K324-(INT($Y324/18)+IF(INDEX('Tournament Setup'!$AI:$AI,MATCH($A324,'Tournament Setup'!$A:$A,0))&lt;=MOD($Y324,18),1,0)))</f>
      </c>
      <c r="AF324" t="e">
        <f>IF(OR(OR($A324="",$D324=""),L324=""),"",L324-(INT($Y324/18)+IF(INDEX('Tournament Setup'!$AJ:$AJ,MATCH($A324,'Tournament Setup'!$A:$A,0))&lt;=MOD($Y324,18),1,0)))</f>
      </c>
      <c r="AG324" t="e">
        <f>IF(OR(OR($A324="",$D324=""),M324=""),"",M324-(INT($Y324/18)+IF(INDEX('Tournament Setup'!$AK:$AK,MATCH($A324,'Tournament Setup'!$A:$A,0))&lt;=MOD($Y324,18),1,0)))</f>
      </c>
      <c r="AH324" t="e">
        <f>IF(OR(OR($A324="",$D324=""),N324=""),"",N324-(INT($Y324/18)+IF(INDEX('Tournament Setup'!$AL:$AL,MATCH($A324,'Tournament Setup'!$A:$A,0))&lt;=MOD($Y324,18),1,0)))</f>
      </c>
      <c r="AI324" t="e">
        <f>IF(OR(OR($A324="",$D324=""),O324=""),"",O324-(INT($Y324/18)+IF(INDEX('Tournament Setup'!$AM:$AM,MATCH($A324,'Tournament Setup'!$A:$A,0))&lt;=MOD($Y324,18),1,0)))</f>
      </c>
      <c r="AJ324" t="e">
        <f>IF(OR(OR($A324="",$D324=""),P324=""),"",P324-(INT($Y324/18)+IF(INDEX('Tournament Setup'!$AN:$AN,MATCH($A324,'Tournament Setup'!$A:$A,0))&lt;=MOD($Y324,18),1,0)))</f>
      </c>
      <c r="AK324" t="e">
        <f>IF(OR(OR($A324="",$D324=""),Q324=""),"",Q324-(INT($Y324/18)+IF(INDEX('Tournament Setup'!$AO:$AO,MATCH($A324,'Tournament Setup'!$A:$A,0))&lt;=MOD($Y324,18),1,0)))</f>
      </c>
      <c r="AL324" t="e">
        <f>IF(OR(OR($A324="",$D324=""),R324=""),"",R324-(INT($Y324/18)+IF(INDEX('Tournament Setup'!$AP:$AP,MATCH($A324,'Tournament Setup'!$A:$A,0))&lt;=MOD($Y324,18),1,0)))</f>
      </c>
      <c r="AM324" t="e">
        <f>IF(OR(OR($A324="",$D324=""),S324=""),"",S324-(INT($Y324/18)+IF(INDEX('Tournament Setup'!$AQ:$AQ,MATCH($A324,'Tournament Setup'!$A:$A,0))&lt;=MOD($Y324,18),1,0)))</f>
      </c>
      <c r="AN324" t="e">
        <f>IF(OR(OR($A324="",$D324=""),T324=""),"",T324-(INT($Y324/18)+IF(INDEX('Tournament Setup'!$AR:$AR,MATCH($A324,'Tournament Setup'!$A:$A,0))&lt;=MOD($Y324,18),1,0)))</f>
      </c>
      <c r="AO324" t="e">
        <f>IF(OR(OR($A324="",$D324=""),U324=""),"",U324-(INT($Y324/18)+IF(INDEX('Tournament Setup'!$AS:$AS,MATCH($A324,'Tournament Setup'!$A:$A,0))&lt;=MOD($Y324,18),1,0)))</f>
      </c>
      <c r="AP324" t="e">
        <f>IF(OR(OR($A324="",$D324=""),V324=""),"",V324-(INT($Y324/18)+IF(INDEX('Tournament Setup'!$AT:$AT,MATCH($A324,'Tournament Setup'!$A:$A,0))&lt;=MOD($Y324,18),1,0)))</f>
      </c>
      <c r="AQ324" t="e">
        <f>IF(OR(OR($A324="",$D324=""),W324=""),"",W324-(INT($Y324/18)+IF(INDEX('Tournament Setup'!$AU:$AU,MATCH($A324,'Tournament Setup'!$A:$A,0))&lt;=MOD($Y324,18),1,0)))</f>
      </c>
    </row>
    <row r="325">
      <c r="X325" t="e">
        <f>IF(OR($A325="",$D325=""),"",SUM(F325:W325))</f>
      </c>
      <c r="Y325" t="e">
        <f>IF(OR($A325="",$D325=""),"",IF(INDEX('Tournament Setup'!$F:$F,MATCH($A325,'Tournament Setup'!$A:$A,0))="Net",ROUND(($E325-_xlfn.MINIFS($E$2:$E$401,$A$2:$A$401,$A325,$B$2:$B$401,$B325))*INDEX('Tournament Setup'!$G:$G,MATCH($A325,'Tournament Setup'!$A:$A,0))/100,0),0))</f>
      </c>
      <c r="Z325" t="e">
        <f>IF(OR(OR($A325="",$D325=""),F325=""),"",F325-(INT($Y325/18)+IF(INDEX('Tournament Setup'!$AD:$AD,MATCH($A325,'Tournament Setup'!$A:$A,0))&lt;=MOD($Y325,18),1,0)))</f>
      </c>
      <c r="AA325" t="e">
        <f>IF(OR(OR($A325="",$D325=""),G325=""),"",G325-(INT($Y325/18)+IF(INDEX('Tournament Setup'!$AE:$AE,MATCH($A325,'Tournament Setup'!$A:$A,0))&lt;=MOD($Y325,18),1,0)))</f>
      </c>
      <c r="AB325" t="e">
        <f>IF(OR(OR($A325="",$D325=""),H325=""),"",H325-(INT($Y325/18)+IF(INDEX('Tournament Setup'!$AF:$AF,MATCH($A325,'Tournament Setup'!$A:$A,0))&lt;=MOD($Y325,18),1,0)))</f>
      </c>
      <c r="AC325" t="e">
        <f>IF(OR(OR($A325="",$D325=""),I325=""),"",I325-(INT($Y325/18)+IF(INDEX('Tournament Setup'!$AG:$AG,MATCH($A325,'Tournament Setup'!$A:$A,0))&lt;=MOD($Y325,18),1,0)))</f>
      </c>
      <c r="AD325" t="e">
        <f>IF(OR(OR($A325="",$D325=""),J325=""),"",J325-(INT($Y325/18)+IF(INDEX('Tournament Setup'!$AH:$AH,MATCH($A325,'Tournament Setup'!$A:$A,0))&lt;=MOD($Y325,18),1,0)))</f>
      </c>
      <c r="AE325" t="e">
        <f>IF(OR(OR($A325="",$D325=""),K325=""),"",K325-(INT($Y325/18)+IF(INDEX('Tournament Setup'!$AI:$AI,MATCH($A325,'Tournament Setup'!$A:$A,0))&lt;=MOD($Y325,18),1,0)))</f>
      </c>
      <c r="AF325" t="e">
        <f>IF(OR(OR($A325="",$D325=""),L325=""),"",L325-(INT($Y325/18)+IF(INDEX('Tournament Setup'!$AJ:$AJ,MATCH($A325,'Tournament Setup'!$A:$A,0))&lt;=MOD($Y325,18),1,0)))</f>
      </c>
      <c r="AG325" t="e">
        <f>IF(OR(OR($A325="",$D325=""),M325=""),"",M325-(INT($Y325/18)+IF(INDEX('Tournament Setup'!$AK:$AK,MATCH($A325,'Tournament Setup'!$A:$A,0))&lt;=MOD($Y325,18),1,0)))</f>
      </c>
      <c r="AH325" t="e">
        <f>IF(OR(OR($A325="",$D325=""),N325=""),"",N325-(INT($Y325/18)+IF(INDEX('Tournament Setup'!$AL:$AL,MATCH($A325,'Tournament Setup'!$A:$A,0))&lt;=MOD($Y325,18),1,0)))</f>
      </c>
      <c r="AI325" t="e">
        <f>IF(OR(OR($A325="",$D325=""),O325=""),"",O325-(INT($Y325/18)+IF(INDEX('Tournament Setup'!$AM:$AM,MATCH($A325,'Tournament Setup'!$A:$A,0))&lt;=MOD($Y325,18),1,0)))</f>
      </c>
      <c r="AJ325" t="e">
        <f>IF(OR(OR($A325="",$D325=""),P325=""),"",P325-(INT($Y325/18)+IF(INDEX('Tournament Setup'!$AN:$AN,MATCH($A325,'Tournament Setup'!$A:$A,0))&lt;=MOD($Y325,18),1,0)))</f>
      </c>
      <c r="AK325" t="e">
        <f>IF(OR(OR($A325="",$D325=""),Q325=""),"",Q325-(INT($Y325/18)+IF(INDEX('Tournament Setup'!$AO:$AO,MATCH($A325,'Tournament Setup'!$A:$A,0))&lt;=MOD($Y325,18),1,0)))</f>
      </c>
      <c r="AL325" t="e">
        <f>IF(OR(OR($A325="",$D325=""),R325=""),"",R325-(INT($Y325/18)+IF(INDEX('Tournament Setup'!$AP:$AP,MATCH($A325,'Tournament Setup'!$A:$A,0))&lt;=MOD($Y325,18),1,0)))</f>
      </c>
      <c r="AM325" t="e">
        <f>IF(OR(OR($A325="",$D325=""),S325=""),"",S325-(INT($Y325/18)+IF(INDEX('Tournament Setup'!$AQ:$AQ,MATCH($A325,'Tournament Setup'!$A:$A,0))&lt;=MOD($Y325,18),1,0)))</f>
      </c>
      <c r="AN325" t="e">
        <f>IF(OR(OR($A325="",$D325=""),T325=""),"",T325-(INT($Y325/18)+IF(INDEX('Tournament Setup'!$AR:$AR,MATCH($A325,'Tournament Setup'!$A:$A,0))&lt;=MOD($Y325,18),1,0)))</f>
      </c>
      <c r="AO325" t="e">
        <f>IF(OR(OR($A325="",$D325=""),U325=""),"",U325-(INT($Y325/18)+IF(INDEX('Tournament Setup'!$AS:$AS,MATCH($A325,'Tournament Setup'!$A:$A,0))&lt;=MOD($Y325,18),1,0)))</f>
      </c>
      <c r="AP325" t="e">
        <f>IF(OR(OR($A325="",$D325=""),V325=""),"",V325-(INT($Y325/18)+IF(INDEX('Tournament Setup'!$AT:$AT,MATCH($A325,'Tournament Setup'!$A:$A,0))&lt;=MOD($Y325,18),1,0)))</f>
      </c>
      <c r="AQ325" t="e">
        <f>IF(OR(OR($A325="",$D325=""),W325=""),"",W325-(INT($Y325/18)+IF(INDEX('Tournament Setup'!$AU:$AU,MATCH($A325,'Tournament Setup'!$A:$A,0))&lt;=MOD($Y325,18),1,0)))</f>
      </c>
    </row>
    <row r="326">
      <c r="X326" t="e">
        <f>IF(OR($A326="",$D326=""),"",SUM(F326:W326))</f>
      </c>
      <c r="Y326" t="e">
        <f>IF(OR($A326="",$D326=""),"",IF(INDEX('Tournament Setup'!$F:$F,MATCH($A326,'Tournament Setup'!$A:$A,0))="Net",ROUND(($E326-_xlfn.MINIFS($E$2:$E$401,$A$2:$A$401,$A326,$B$2:$B$401,$B326))*INDEX('Tournament Setup'!$G:$G,MATCH($A326,'Tournament Setup'!$A:$A,0))/100,0),0))</f>
      </c>
      <c r="Z326" t="e">
        <f>IF(OR(OR($A326="",$D326=""),F326=""),"",F326-(INT($Y326/18)+IF(INDEX('Tournament Setup'!$AD:$AD,MATCH($A326,'Tournament Setup'!$A:$A,0))&lt;=MOD($Y326,18),1,0)))</f>
      </c>
      <c r="AA326" t="e">
        <f>IF(OR(OR($A326="",$D326=""),G326=""),"",G326-(INT($Y326/18)+IF(INDEX('Tournament Setup'!$AE:$AE,MATCH($A326,'Tournament Setup'!$A:$A,0))&lt;=MOD($Y326,18),1,0)))</f>
      </c>
      <c r="AB326" t="e">
        <f>IF(OR(OR($A326="",$D326=""),H326=""),"",H326-(INT($Y326/18)+IF(INDEX('Tournament Setup'!$AF:$AF,MATCH($A326,'Tournament Setup'!$A:$A,0))&lt;=MOD($Y326,18),1,0)))</f>
      </c>
      <c r="AC326" t="e">
        <f>IF(OR(OR($A326="",$D326=""),I326=""),"",I326-(INT($Y326/18)+IF(INDEX('Tournament Setup'!$AG:$AG,MATCH($A326,'Tournament Setup'!$A:$A,0))&lt;=MOD($Y326,18),1,0)))</f>
      </c>
      <c r="AD326" t="e">
        <f>IF(OR(OR($A326="",$D326=""),J326=""),"",J326-(INT($Y326/18)+IF(INDEX('Tournament Setup'!$AH:$AH,MATCH($A326,'Tournament Setup'!$A:$A,0))&lt;=MOD($Y326,18),1,0)))</f>
      </c>
      <c r="AE326" t="e">
        <f>IF(OR(OR($A326="",$D326=""),K326=""),"",K326-(INT($Y326/18)+IF(INDEX('Tournament Setup'!$AI:$AI,MATCH($A326,'Tournament Setup'!$A:$A,0))&lt;=MOD($Y326,18),1,0)))</f>
      </c>
      <c r="AF326" t="e">
        <f>IF(OR(OR($A326="",$D326=""),L326=""),"",L326-(INT($Y326/18)+IF(INDEX('Tournament Setup'!$AJ:$AJ,MATCH($A326,'Tournament Setup'!$A:$A,0))&lt;=MOD($Y326,18),1,0)))</f>
      </c>
      <c r="AG326" t="e">
        <f>IF(OR(OR($A326="",$D326=""),M326=""),"",M326-(INT($Y326/18)+IF(INDEX('Tournament Setup'!$AK:$AK,MATCH($A326,'Tournament Setup'!$A:$A,0))&lt;=MOD($Y326,18),1,0)))</f>
      </c>
      <c r="AH326" t="e">
        <f>IF(OR(OR($A326="",$D326=""),N326=""),"",N326-(INT($Y326/18)+IF(INDEX('Tournament Setup'!$AL:$AL,MATCH($A326,'Tournament Setup'!$A:$A,0))&lt;=MOD($Y326,18),1,0)))</f>
      </c>
      <c r="AI326" t="e">
        <f>IF(OR(OR($A326="",$D326=""),O326=""),"",O326-(INT($Y326/18)+IF(INDEX('Tournament Setup'!$AM:$AM,MATCH($A326,'Tournament Setup'!$A:$A,0))&lt;=MOD($Y326,18),1,0)))</f>
      </c>
      <c r="AJ326" t="e">
        <f>IF(OR(OR($A326="",$D326=""),P326=""),"",P326-(INT($Y326/18)+IF(INDEX('Tournament Setup'!$AN:$AN,MATCH($A326,'Tournament Setup'!$A:$A,0))&lt;=MOD($Y326,18),1,0)))</f>
      </c>
      <c r="AK326" t="e">
        <f>IF(OR(OR($A326="",$D326=""),Q326=""),"",Q326-(INT($Y326/18)+IF(INDEX('Tournament Setup'!$AO:$AO,MATCH($A326,'Tournament Setup'!$A:$A,0))&lt;=MOD($Y326,18),1,0)))</f>
      </c>
      <c r="AL326" t="e">
        <f>IF(OR(OR($A326="",$D326=""),R326=""),"",R326-(INT($Y326/18)+IF(INDEX('Tournament Setup'!$AP:$AP,MATCH($A326,'Tournament Setup'!$A:$A,0))&lt;=MOD($Y326,18),1,0)))</f>
      </c>
      <c r="AM326" t="e">
        <f>IF(OR(OR($A326="",$D326=""),S326=""),"",S326-(INT($Y326/18)+IF(INDEX('Tournament Setup'!$AQ:$AQ,MATCH($A326,'Tournament Setup'!$A:$A,0))&lt;=MOD($Y326,18),1,0)))</f>
      </c>
      <c r="AN326" t="e">
        <f>IF(OR(OR($A326="",$D326=""),T326=""),"",T326-(INT($Y326/18)+IF(INDEX('Tournament Setup'!$AR:$AR,MATCH($A326,'Tournament Setup'!$A:$A,0))&lt;=MOD($Y326,18),1,0)))</f>
      </c>
      <c r="AO326" t="e">
        <f>IF(OR(OR($A326="",$D326=""),U326=""),"",U326-(INT($Y326/18)+IF(INDEX('Tournament Setup'!$AS:$AS,MATCH($A326,'Tournament Setup'!$A:$A,0))&lt;=MOD($Y326,18),1,0)))</f>
      </c>
      <c r="AP326" t="e">
        <f>IF(OR(OR($A326="",$D326=""),V326=""),"",V326-(INT($Y326/18)+IF(INDEX('Tournament Setup'!$AT:$AT,MATCH($A326,'Tournament Setup'!$A:$A,0))&lt;=MOD($Y326,18),1,0)))</f>
      </c>
      <c r="AQ326" t="e">
        <f>IF(OR(OR($A326="",$D326=""),W326=""),"",W326-(INT($Y326/18)+IF(INDEX('Tournament Setup'!$AU:$AU,MATCH($A326,'Tournament Setup'!$A:$A,0))&lt;=MOD($Y326,18),1,0)))</f>
      </c>
    </row>
    <row r="327">
      <c r="X327" t="e">
        <f>IF(OR($A327="",$D327=""),"",SUM(F327:W327))</f>
      </c>
      <c r="Y327" t="e">
        <f>IF(OR($A327="",$D327=""),"",IF(INDEX('Tournament Setup'!$F:$F,MATCH($A327,'Tournament Setup'!$A:$A,0))="Net",ROUND(($E327-_xlfn.MINIFS($E$2:$E$401,$A$2:$A$401,$A327,$B$2:$B$401,$B327))*INDEX('Tournament Setup'!$G:$G,MATCH($A327,'Tournament Setup'!$A:$A,0))/100,0),0))</f>
      </c>
      <c r="Z327" t="e">
        <f>IF(OR(OR($A327="",$D327=""),F327=""),"",F327-(INT($Y327/18)+IF(INDEX('Tournament Setup'!$AD:$AD,MATCH($A327,'Tournament Setup'!$A:$A,0))&lt;=MOD($Y327,18),1,0)))</f>
      </c>
      <c r="AA327" t="e">
        <f>IF(OR(OR($A327="",$D327=""),G327=""),"",G327-(INT($Y327/18)+IF(INDEX('Tournament Setup'!$AE:$AE,MATCH($A327,'Tournament Setup'!$A:$A,0))&lt;=MOD($Y327,18),1,0)))</f>
      </c>
      <c r="AB327" t="e">
        <f>IF(OR(OR($A327="",$D327=""),H327=""),"",H327-(INT($Y327/18)+IF(INDEX('Tournament Setup'!$AF:$AF,MATCH($A327,'Tournament Setup'!$A:$A,0))&lt;=MOD($Y327,18),1,0)))</f>
      </c>
      <c r="AC327" t="e">
        <f>IF(OR(OR($A327="",$D327=""),I327=""),"",I327-(INT($Y327/18)+IF(INDEX('Tournament Setup'!$AG:$AG,MATCH($A327,'Tournament Setup'!$A:$A,0))&lt;=MOD($Y327,18),1,0)))</f>
      </c>
      <c r="AD327" t="e">
        <f>IF(OR(OR($A327="",$D327=""),J327=""),"",J327-(INT($Y327/18)+IF(INDEX('Tournament Setup'!$AH:$AH,MATCH($A327,'Tournament Setup'!$A:$A,0))&lt;=MOD($Y327,18),1,0)))</f>
      </c>
      <c r="AE327" t="e">
        <f>IF(OR(OR($A327="",$D327=""),K327=""),"",K327-(INT($Y327/18)+IF(INDEX('Tournament Setup'!$AI:$AI,MATCH($A327,'Tournament Setup'!$A:$A,0))&lt;=MOD($Y327,18),1,0)))</f>
      </c>
      <c r="AF327" t="e">
        <f>IF(OR(OR($A327="",$D327=""),L327=""),"",L327-(INT($Y327/18)+IF(INDEX('Tournament Setup'!$AJ:$AJ,MATCH($A327,'Tournament Setup'!$A:$A,0))&lt;=MOD($Y327,18),1,0)))</f>
      </c>
      <c r="AG327" t="e">
        <f>IF(OR(OR($A327="",$D327=""),M327=""),"",M327-(INT($Y327/18)+IF(INDEX('Tournament Setup'!$AK:$AK,MATCH($A327,'Tournament Setup'!$A:$A,0))&lt;=MOD($Y327,18),1,0)))</f>
      </c>
      <c r="AH327" t="e">
        <f>IF(OR(OR($A327="",$D327=""),N327=""),"",N327-(INT($Y327/18)+IF(INDEX('Tournament Setup'!$AL:$AL,MATCH($A327,'Tournament Setup'!$A:$A,0))&lt;=MOD($Y327,18),1,0)))</f>
      </c>
      <c r="AI327" t="e">
        <f>IF(OR(OR($A327="",$D327=""),O327=""),"",O327-(INT($Y327/18)+IF(INDEX('Tournament Setup'!$AM:$AM,MATCH($A327,'Tournament Setup'!$A:$A,0))&lt;=MOD($Y327,18),1,0)))</f>
      </c>
      <c r="AJ327" t="e">
        <f>IF(OR(OR($A327="",$D327=""),P327=""),"",P327-(INT($Y327/18)+IF(INDEX('Tournament Setup'!$AN:$AN,MATCH($A327,'Tournament Setup'!$A:$A,0))&lt;=MOD($Y327,18),1,0)))</f>
      </c>
      <c r="AK327" t="e">
        <f>IF(OR(OR($A327="",$D327=""),Q327=""),"",Q327-(INT($Y327/18)+IF(INDEX('Tournament Setup'!$AO:$AO,MATCH($A327,'Tournament Setup'!$A:$A,0))&lt;=MOD($Y327,18),1,0)))</f>
      </c>
      <c r="AL327" t="e">
        <f>IF(OR(OR($A327="",$D327=""),R327=""),"",R327-(INT($Y327/18)+IF(INDEX('Tournament Setup'!$AP:$AP,MATCH($A327,'Tournament Setup'!$A:$A,0))&lt;=MOD($Y327,18),1,0)))</f>
      </c>
      <c r="AM327" t="e">
        <f>IF(OR(OR($A327="",$D327=""),S327=""),"",S327-(INT($Y327/18)+IF(INDEX('Tournament Setup'!$AQ:$AQ,MATCH($A327,'Tournament Setup'!$A:$A,0))&lt;=MOD($Y327,18),1,0)))</f>
      </c>
      <c r="AN327" t="e">
        <f>IF(OR(OR($A327="",$D327=""),T327=""),"",T327-(INT($Y327/18)+IF(INDEX('Tournament Setup'!$AR:$AR,MATCH($A327,'Tournament Setup'!$A:$A,0))&lt;=MOD($Y327,18),1,0)))</f>
      </c>
      <c r="AO327" t="e">
        <f>IF(OR(OR($A327="",$D327=""),U327=""),"",U327-(INT($Y327/18)+IF(INDEX('Tournament Setup'!$AS:$AS,MATCH($A327,'Tournament Setup'!$A:$A,0))&lt;=MOD($Y327,18),1,0)))</f>
      </c>
      <c r="AP327" t="e">
        <f>IF(OR(OR($A327="",$D327=""),V327=""),"",V327-(INT($Y327/18)+IF(INDEX('Tournament Setup'!$AT:$AT,MATCH($A327,'Tournament Setup'!$A:$A,0))&lt;=MOD($Y327,18),1,0)))</f>
      </c>
      <c r="AQ327" t="e">
        <f>IF(OR(OR($A327="",$D327=""),W327=""),"",W327-(INT($Y327/18)+IF(INDEX('Tournament Setup'!$AU:$AU,MATCH($A327,'Tournament Setup'!$A:$A,0))&lt;=MOD($Y327,18),1,0)))</f>
      </c>
    </row>
    <row r="328">
      <c r="X328" t="e">
        <f>IF(OR($A328="",$D328=""),"",SUM(F328:W328))</f>
      </c>
      <c r="Y328" t="e">
        <f>IF(OR($A328="",$D328=""),"",IF(INDEX('Tournament Setup'!$F:$F,MATCH($A328,'Tournament Setup'!$A:$A,0))="Net",ROUND(($E328-_xlfn.MINIFS($E$2:$E$401,$A$2:$A$401,$A328,$B$2:$B$401,$B328))*INDEX('Tournament Setup'!$G:$G,MATCH($A328,'Tournament Setup'!$A:$A,0))/100,0),0))</f>
      </c>
      <c r="Z328" t="e">
        <f>IF(OR(OR($A328="",$D328=""),F328=""),"",F328-(INT($Y328/18)+IF(INDEX('Tournament Setup'!$AD:$AD,MATCH($A328,'Tournament Setup'!$A:$A,0))&lt;=MOD($Y328,18),1,0)))</f>
      </c>
      <c r="AA328" t="e">
        <f>IF(OR(OR($A328="",$D328=""),G328=""),"",G328-(INT($Y328/18)+IF(INDEX('Tournament Setup'!$AE:$AE,MATCH($A328,'Tournament Setup'!$A:$A,0))&lt;=MOD($Y328,18),1,0)))</f>
      </c>
      <c r="AB328" t="e">
        <f>IF(OR(OR($A328="",$D328=""),H328=""),"",H328-(INT($Y328/18)+IF(INDEX('Tournament Setup'!$AF:$AF,MATCH($A328,'Tournament Setup'!$A:$A,0))&lt;=MOD($Y328,18),1,0)))</f>
      </c>
      <c r="AC328" t="e">
        <f>IF(OR(OR($A328="",$D328=""),I328=""),"",I328-(INT($Y328/18)+IF(INDEX('Tournament Setup'!$AG:$AG,MATCH($A328,'Tournament Setup'!$A:$A,0))&lt;=MOD($Y328,18),1,0)))</f>
      </c>
      <c r="AD328" t="e">
        <f>IF(OR(OR($A328="",$D328=""),J328=""),"",J328-(INT($Y328/18)+IF(INDEX('Tournament Setup'!$AH:$AH,MATCH($A328,'Tournament Setup'!$A:$A,0))&lt;=MOD($Y328,18),1,0)))</f>
      </c>
      <c r="AE328" t="e">
        <f>IF(OR(OR($A328="",$D328=""),K328=""),"",K328-(INT($Y328/18)+IF(INDEX('Tournament Setup'!$AI:$AI,MATCH($A328,'Tournament Setup'!$A:$A,0))&lt;=MOD($Y328,18),1,0)))</f>
      </c>
      <c r="AF328" t="e">
        <f>IF(OR(OR($A328="",$D328=""),L328=""),"",L328-(INT($Y328/18)+IF(INDEX('Tournament Setup'!$AJ:$AJ,MATCH($A328,'Tournament Setup'!$A:$A,0))&lt;=MOD($Y328,18),1,0)))</f>
      </c>
      <c r="AG328" t="e">
        <f>IF(OR(OR($A328="",$D328=""),M328=""),"",M328-(INT($Y328/18)+IF(INDEX('Tournament Setup'!$AK:$AK,MATCH($A328,'Tournament Setup'!$A:$A,0))&lt;=MOD($Y328,18),1,0)))</f>
      </c>
      <c r="AH328" t="e">
        <f>IF(OR(OR($A328="",$D328=""),N328=""),"",N328-(INT($Y328/18)+IF(INDEX('Tournament Setup'!$AL:$AL,MATCH($A328,'Tournament Setup'!$A:$A,0))&lt;=MOD($Y328,18),1,0)))</f>
      </c>
      <c r="AI328" t="e">
        <f>IF(OR(OR($A328="",$D328=""),O328=""),"",O328-(INT($Y328/18)+IF(INDEX('Tournament Setup'!$AM:$AM,MATCH($A328,'Tournament Setup'!$A:$A,0))&lt;=MOD($Y328,18),1,0)))</f>
      </c>
      <c r="AJ328" t="e">
        <f>IF(OR(OR($A328="",$D328=""),P328=""),"",P328-(INT($Y328/18)+IF(INDEX('Tournament Setup'!$AN:$AN,MATCH($A328,'Tournament Setup'!$A:$A,0))&lt;=MOD($Y328,18),1,0)))</f>
      </c>
      <c r="AK328" t="e">
        <f>IF(OR(OR($A328="",$D328=""),Q328=""),"",Q328-(INT($Y328/18)+IF(INDEX('Tournament Setup'!$AO:$AO,MATCH($A328,'Tournament Setup'!$A:$A,0))&lt;=MOD($Y328,18),1,0)))</f>
      </c>
      <c r="AL328" t="e">
        <f>IF(OR(OR($A328="",$D328=""),R328=""),"",R328-(INT($Y328/18)+IF(INDEX('Tournament Setup'!$AP:$AP,MATCH($A328,'Tournament Setup'!$A:$A,0))&lt;=MOD($Y328,18),1,0)))</f>
      </c>
      <c r="AM328" t="e">
        <f>IF(OR(OR($A328="",$D328=""),S328=""),"",S328-(INT($Y328/18)+IF(INDEX('Tournament Setup'!$AQ:$AQ,MATCH($A328,'Tournament Setup'!$A:$A,0))&lt;=MOD($Y328,18),1,0)))</f>
      </c>
      <c r="AN328" t="e">
        <f>IF(OR(OR($A328="",$D328=""),T328=""),"",T328-(INT($Y328/18)+IF(INDEX('Tournament Setup'!$AR:$AR,MATCH($A328,'Tournament Setup'!$A:$A,0))&lt;=MOD($Y328,18),1,0)))</f>
      </c>
      <c r="AO328" t="e">
        <f>IF(OR(OR($A328="",$D328=""),U328=""),"",U328-(INT($Y328/18)+IF(INDEX('Tournament Setup'!$AS:$AS,MATCH($A328,'Tournament Setup'!$A:$A,0))&lt;=MOD($Y328,18),1,0)))</f>
      </c>
      <c r="AP328" t="e">
        <f>IF(OR(OR($A328="",$D328=""),V328=""),"",V328-(INT($Y328/18)+IF(INDEX('Tournament Setup'!$AT:$AT,MATCH($A328,'Tournament Setup'!$A:$A,0))&lt;=MOD($Y328,18),1,0)))</f>
      </c>
      <c r="AQ328" t="e">
        <f>IF(OR(OR($A328="",$D328=""),W328=""),"",W328-(INT($Y328/18)+IF(INDEX('Tournament Setup'!$AU:$AU,MATCH($A328,'Tournament Setup'!$A:$A,0))&lt;=MOD($Y328,18),1,0)))</f>
      </c>
    </row>
    <row r="329">
      <c r="X329" t="e">
        <f>IF(OR($A329="",$D329=""),"",SUM(F329:W329))</f>
      </c>
      <c r="Y329" t="e">
        <f>IF(OR($A329="",$D329=""),"",IF(INDEX('Tournament Setup'!$F:$F,MATCH($A329,'Tournament Setup'!$A:$A,0))="Net",ROUND(($E329-_xlfn.MINIFS($E$2:$E$401,$A$2:$A$401,$A329,$B$2:$B$401,$B329))*INDEX('Tournament Setup'!$G:$G,MATCH($A329,'Tournament Setup'!$A:$A,0))/100,0),0))</f>
      </c>
      <c r="Z329" t="e">
        <f>IF(OR(OR($A329="",$D329=""),F329=""),"",F329-(INT($Y329/18)+IF(INDEX('Tournament Setup'!$AD:$AD,MATCH($A329,'Tournament Setup'!$A:$A,0))&lt;=MOD($Y329,18),1,0)))</f>
      </c>
      <c r="AA329" t="e">
        <f>IF(OR(OR($A329="",$D329=""),G329=""),"",G329-(INT($Y329/18)+IF(INDEX('Tournament Setup'!$AE:$AE,MATCH($A329,'Tournament Setup'!$A:$A,0))&lt;=MOD($Y329,18),1,0)))</f>
      </c>
      <c r="AB329" t="e">
        <f>IF(OR(OR($A329="",$D329=""),H329=""),"",H329-(INT($Y329/18)+IF(INDEX('Tournament Setup'!$AF:$AF,MATCH($A329,'Tournament Setup'!$A:$A,0))&lt;=MOD($Y329,18),1,0)))</f>
      </c>
      <c r="AC329" t="e">
        <f>IF(OR(OR($A329="",$D329=""),I329=""),"",I329-(INT($Y329/18)+IF(INDEX('Tournament Setup'!$AG:$AG,MATCH($A329,'Tournament Setup'!$A:$A,0))&lt;=MOD($Y329,18),1,0)))</f>
      </c>
      <c r="AD329" t="e">
        <f>IF(OR(OR($A329="",$D329=""),J329=""),"",J329-(INT($Y329/18)+IF(INDEX('Tournament Setup'!$AH:$AH,MATCH($A329,'Tournament Setup'!$A:$A,0))&lt;=MOD($Y329,18),1,0)))</f>
      </c>
      <c r="AE329" t="e">
        <f>IF(OR(OR($A329="",$D329=""),K329=""),"",K329-(INT($Y329/18)+IF(INDEX('Tournament Setup'!$AI:$AI,MATCH($A329,'Tournament Setup'!$A:$A,0))&lt;=MOD($Y329,18),1,0)))</f>
      </c>
      <c r="AF329" t="e">
        <f>IF(OR(OR($A329="",$D329=""),L329=""),"",L329-(INT($Y329/18)+IF(INDEX('Tournament Setup'!$AJ:$AJ,MATCH($A329,'Tournament Setup'!$A:$A,0))&lt;=MOD($Y329,18),1,0)))</f>
      </c>
      <c r="AG329" t="e">
        <f>IF(OR(OR($A329="",$D329=""),M329=""),"",M329-(INT($Y329/18)+IF(INDEX('Tournament Setup'!$AK:$AK,MATCH($A329,'Tournament Setup'!$A:$A,0))&lt;=MOD($Y329,18),1,0)))</f>
      </c>
      <c r="AH329" t="e">
        <f>IF(OR(OR($A329="",$D329=""),N329=""),"",N329-(INT($Y329/18)+IF(INDEX('Tournament Setup'!$AL:$AL,MATCH($A329,'Tournament Setup'!$A:$A,0))&lt;=MOD($Y329,18),1,0)))</f>
      </c>
      <c r="AI329" t="e">
        <f>IF(OR(OR($A329="",$D329=""),O329=""),"",O329-(INT($Y329/18)+IF(INDEX('Tournament Setup'!$AM:$AM,MATCH($A329,'Tournament Setup'!$A:$A,0))&lt;=MOD($Y329,18),1,0)))</f>
      </c>
      <c r="AJ329" t="e">
        <f>IF(OR(OR($A329="",$D329=""),P329=""),"",P329-(INT($Y329/18)+IF(INDEX('Tournament Setup'!$AN:$AN,MATCH($A329,'Tournament Setup'!$A:$A,0))&lt;=MOD($Y329,18),1,0)))</f>
      </c>
      <c r="AK329" t="e">
        <f>IF(OR(OR($A329="",$D329=""),Q329=""),"",Q329-(INT($Y329/18)+IF(INDEX('Tournament Setup'!$AO:$AO,MATCH($A329,'Tournament Setup'!$A:$A,0))&lt;=MOD($Y329,18),1,0)))</f>
      </c>
      <c r="AL329" t="e">
        <f>IF(OR(OR($A329="",$D329=""),R329=""),"",R329-(INT($Y329/18)+IF(INDEX('Tournament Setup'!$AP:$AP,MATCH($A329,'Tournament Setup'!$A:$A,0))&lt;=MOD($Y329,18),1,0)))</f>
      </c>
      <c r="AM329" t="e">
        <f>IF(OR(OR($A329="",$D329=""),S329=""),"",S329-(INT($Y329/18)+IF(INDEX('Tournament Setup'!$AQ:$AQ,MATCH($A329,'Tournament Setup'!$A:$A,0))&lt;=MOD($Y329,18),1,0)))</f>
      </c>
      <c r="AN329" t="e">
        <f>IF(OR(OR($A329="",$D329=""),T329=""),"",T329-(INT($Y329/18)+IF(INDEX('Tournament Setup'!$AR:$AR,MATCH($A329,'Tournament Setup'!$A:$A,0))&lt;=MOD($Y329,18),1,0)))</f>
      </c>
      <c r="AO329" t="e">
        <f>IF(OR(OR($A329="",$D329=""),U329=""),"",U329-(INT($Y329/18)+IF(INDEX('Tournament Setup'!$AS:$AS,MATCH($A329,'Tournament Setup'!$A:$A,0))&lt;=MOD($Y329,18),1,0)))</f>
      </c>
      <c r="AP329" t="e">
        <f>IF(OR(OR($A329="",$D329=""),V329=""),"",V329-(INT($Y329/18)+IF(INDEX('Tournament Setup'!$AT:$AT,MATCH($A329,'Tournament Setup'!$A:$A,0))&lt;=MOD($Y329,18),1,0)))</f>
      </c>
      <c r="AQ329" t="e">
        <f>IF(OR(OR($A329="",$D329=""),W329=""),"",W329-(INT($Y329/18)+IF(INDEX('Tournament Setup'!$AU:$AU,MATCH($A329,'Tournament Setup'!$A:$A,0))&lt;=MOD($Y329,18),1,0)))</f>
      </c>
    </row>
    <row r="330">
      <c r="X330" t="e">
        <f>IF(OR($A330="",$D330=""),"",SUM(F330:W330))</f>
      </c>
      <c r="Y330" t="e">
        <f>IF(OR($A330="",$D330=""),"",IF(INDEX('Tournament Setup'!$F:$F,MATCH($A330,'Tournament Setup'!$A:$A,0))="Net",ROUND(($E330-_xlfn.MINIFS($E$2:$E$401,$A$2:$A$401,$A330,$B$2:$B$401,$B330))*INDEX('Tournament Setup'!$G:$G,MATCH($A330,'Tournament Setup'!$A:$A,0))/100,0),0))</f>
      </c>
      <c r="Z330" t="e">
        <f>IF(OR(OR($A330="",$D330=""),F330=""),"",F330-(INT($Y330/18)+IF(INDEX('Tournament Setup'!$AD:$AD,MATCH($A330,'Tournament Setup'!$A:$A,0))&lt;=MOD($Y330,18),1,0)))</f>
      </c>
      <c r="AA330" t="e">
        <f>IF(OR(OR($A330="",$D330=""),G330=""),"",G330-(INT($Y330/18)+IF(INDEX('Tournament Setup'!$AE:$AE,MATCH($A330,'Tournament Setup'!$A:$A,0))&lt;=MOD($Y330,18),1,0)))</f>
      </c>
      <c r="AB330" t="e">
        <f>IF(OR(OR($A330="",$D330=""),H330=""),"",H330-(INT($Y330/18)+IF(INDEX('Tournament Setup'!$AF:$AF,MATCH($A330,'Tournament Setup'!$A:$A,0))&lt;=MOD($Y330,18),1,0)))</f>
      </c>
      <c r="AC330" t="e">
        <f>IF(OR(OR($A330="",$D330=""),I330=""),"",I330-(INT($Y330/18)+IF(INDEX('Tournament Setup'!$AG:$AG,MATCH($A330,'Tournament Setup'!$A:$A,0))&lt;=MOD($Y330,18),1,0)))</f>
      </c>
      <c r="AD330" t="e">
        <f>IF(OR(OR($A330="",$D330=""),J330=""),"",J330-(INT($Y330/18)+IF(INDEX('Tournament Setup'!$AH:$AH,MATCH($A330,'Tournament Setup'!$A:$A,0))&lt;=MOD($Y330,18),1,0)))</f>
      </c>
      <c r="AE330" t="e">
        <f>IF(OR(OR($A330="",$D330=""),K330=""),"",K330-(INT($Y330/18)+IF(INDEX('Tournament Setup'!$AI:$AI,MATCH($A330,'Tournament Setup'!$A:$A,0))&lt;=MOD($Y330,18),1,0)))</f>
      </c>
      <c r="AF330" t="e">
        <f>IF(OR(OR($A330="",$D330=""),L330=""),"",L330-(INT($Y330/18)+IF(INDEX('Tournament Setup'!$AJ:$AJ,MATCH($A330,'Tournament Setup'!$A:$A,0))&lt;=MOD($Y330,18),1,0)))</f>
      </c>
      <c r="AG330" t="e">
        <f>IF(OR(OR($A330="",$D330=""),M330=""),"",M330-(INT($Y330/18)+IF(INDEX('Tournament Setup'!$AK:$AK,MATCH($A330,'Tournament Setup'!$A:$A,0))&lt;=MOD($Y330,18),1,0)))</f>
      </c>
      <c r="AH330" t="e">
        <f>IF(OR(OR($A330="",$D330=""),N330=""),"",N330-(INT($Y330/18)+IF(INDEX('Tournament Setup'!$AL:$AL,MATCH($A330,'Tournament Setup'!$A:$A,0))&lt;=MOD($Y330,18),1,0)))</f>
      </c>
      <c r="AI330" t="e">
        <f>IF(OR(OR($A330="",$D330=""),O330=""),"",O330-(INT($Y330/18)+IF(INDEX('Tournament Setup'!$AM:$AM,MATCH($A330,'Tournament Setup'!$A:$A,0))&lt;=MOD($Y330,18),1,0)))</f>
      </c>
      <c r="AJ330" t="e">
        <f>IF(OR(OR($A330="",$D330=""),P330=""),"",P330-(INT($Y330/18)+IF(INDEX('Tournament Setup'!$AN:$AN,MATCH($A330,'Tournament Setup'!$A:$A,0))&lt;=MOD($Y330,18),1,0)))</f>
      </c>
      <c r="AK330" t="e">
        <f>IF(OR(OR($A330="",$D330=""),Q330=""),"",Q330-(INT($Y330/18)+IF(INDEX('Tournament Setup'!$AO:$AO,MATCH($A330,'Tournament Setup'!$A:$A,0))&lt;=MOD($Y330,18),1,0)))</f>
      </c>
      <c r="AL330" t="e">
        <f>IF(OR(OR($A330="",$D330=""),R330=""),"",R330-(INT($Y330/18)+IF(INDEX('Tournament Setup'!$AP:$AP,MATCH($A330,'Tournament Setup'!$A:$A,0))&lt;=MOD($Y330,18),1,0)))</f>
      </c>
      <c r="AM330" t="e">
        <f>IF(OR(OR($A330="",$D330=""),S330=""),"",S330-(INT($Y330/18)+IF(INDEX('Tournament Setup'!$AQ:$AQ,MATCH($A330,'Tournament Setup'!$A:$A,0))&lt;=MOD($Y330,18),1,0)))</f>
      </c>
      <c r="AN330" t="e">
        <f>IF(OR(OR($A330="",$D330=""),T330=""),"",T330-(INT($Y330/18)+IF(INDEX('Tournament Setup'!$AR:$AR,MATCH($A330,'Tournament Setup'!$A:$A,0))&lt;=MOD($Y330,18),1,0)))</f>
      </c>
      <c r="AO330" t="e">
        <f>IF(OR(OR($A330="",$D330=""),U330=""),"",U330-(INT($Y330/18)+IF(INDEX('Tournament Setup'!$AS:$AS,MATCH($A330,'Tournament Setup'!$A:$A,0))&lt;=MOD($Y330,18),1,0)))</f>
      </c>
      <c r="AP330" t="e">
        <f>IF(OR(OR($A330="",$D330=""),V330=""),"",V330-(INT($Y330/18)+IF(INDEX('Tournament Setup'!$AT:$AT,MATCH($A330,'Tournament Setup'!$A:$A,0))&lt;=MOD($Y330,18),1,0)))</f>
      </c>
      <c r="AQ330" t="e">
        <f>IF(OR(OR($A330="",$D330=""),W330=""),"",W330-(INT($Y330/18)+IF(INDEX('Tournament Setup'!$AU:$AU,MATCH($A330,'Tournament Setup'!$A:$A,0))&lt;=MOD($Y330,18),1,0)))</f>
      </c>
    </row>
    <row r="331">
      <c r="X331" t="e">
        <f>IF(OR($A331="",$D331=""),"",SUM(F331:W331))</f>
      </c>
      <c r="Y331" t="e">
        <f>IF(OR($A331="",$D331=""),"",IF(INDEX('Tournament Setup'!$F:$F,MATCH($A331,'Tournament Setup'!$A:$A,0))="Net",ROUND(($E331-_xlfn.MINIFS($E$2:$E$401,$A$2:$A$401,$A331,$B$2:$B$401,$B331))*INDEX('Tournament Setup'!$G:$G,MATCH($A331,'Tournament Setup'!$A:$A,0))/100,0),0))</f>
      </c>
      <c r="Z331" t="e">
        <f>IF(OR(OR($A331="",$D331=""),F331=""),"",F331-(INT($Y331/18)+IF(INDEX('Tournament Setup'!$AD:$AD,MATCH($A331,'Tournament Setup'!$A:$A,0))&lt;=MOD($Y331,18),1,0)))</f>
      </c>
      <c r="AA331" t="e">
        <f>IF(OR(OR($A331="",$D331=""),G331=""),"",G331-(INT($Y331/18)+IF(INDEX('Tournament Setup'!$AE:$AE,MATCH($A331,'Tournament Setup'!$A:$A,0))&lt;=MOD($Y331,18),1,0)))</f>
      </c>
      <c r="AB331" t="e">
        <f>IF(OR(OR($A331="",$D331=""),H331=""),"",H331-(INT($Y331/18)+IF(INDEX('Tournament Setup'!$AF:$AF,MATCH($A331,'Tournament Setup'!$A:$A,0))&lt;=MOD($Y331,18),1,0)))</f>
      </c>
      <c r="AC331" t="e">
        <f>IF(OR(OR($A331="",$D331=""),I331=""),"",I331-(INT($Y331/18)+IF(INDEX('Tournament Setup'!$AG:$AG,MATCH($A331,'Tournament Setup'!$A:$A,0))&lt;=MOD($Y331,18),1,0)))</f>
      </c>
      <c r="AD331" t="e">
        <f>IF(OR(OR($A331="",$D331=""),J331=""),"",J331-(INT($Y331/18)+IF(INDEX('Tournament Setup'!$AH:$AH,MATCH($A331,'Tournament Setup'!$A:$A,0))&lt;=MOD($Y331,18),1,0)))</f>
      </c>
      <c r="AE331" t="e">
        <f>IF(OR(OR($A331="",$D331=""),K331=""),"",K331-(INT($Y331/18)+IF(INDEX('Tournament Setup'!$AI:$AI,MATCH($A331,'Tournament Setup'!$A:$A,0))&lt;=MOD($Y331,18),1,0)))</f>
      </c>
      <c r="AF331" t="e">
        <f>IF(OR(OR($A331="",$D331=""),L331=""),"",L331-(INT($Y331/18)+IF(INDEX('Tournament Setup'!$AJ:$AJ,MATCH($A331,'Tournament Setup'!$A:$A,0))&lt;=MOD($Y331,18),1,0)))</f>
      </c>
      <c r="AG331" t="e">
        <f>IF(OR(OR($A331="",$D331=""),M331=""),"",M331-(INT($Y331/18)+IF(INDEX('Tournament Setup'!$AK:$AK,MATCH($A331,'Tournament Setup'!$A:$A,0))&lt;=MOD($Y331,18),1,0)))</f>
      </c>
      <c r="AH331" t="e">
        <f>IF(OR(OR($A331="",$D331=""),N331=""),"",N331-(INT($Y331/18)+IF(INDEX('Tournament Setup'!$AL:$AL,MATCH($A331,'Tournament Setup'!$A:$A,0))&lt;=MOD($Y331,18),1,0)))</f>
      </c>
      <c r="AI331" t="e">
        <f>IF(OR(OR($A331="",$D331=""),O331=""),"",O331-(INT($Y331/18)+IF(INDEX('Tournament Setup'!$AM:$AM,MATCH($A331,'Tournament Setup'!$A:$A,0))&lt;=MOD($Y331,18),1,0)))</f>
      </c>
      <c r="AJ331" t="e">
        <f>IF(OR(OR($A331="",$D331=""),P331=""),"",P331-(INT($Y331/18)+IF(INDEX('Tournament Setup'!$AN:$AN,MATCH($A331,'Tournament Setup'!$A:$A,0))&lt;=MOD($Y331,18),1,0)))</f>
      </c>
      <c r="AK331" t="e">
        <f>IF(OR(OR($A331="",$D331=""),Q331=""),"",Q331-(INT($Y331/18)+IF(INDEX('Tournament Setup'!$AO:$AO,MATCH($A331,'Tournament Setup'!$A:$A,0))&lt;=MOD($Y331,18),1,0)))</f>
      </c>
      <c r="AL331" t="e">
        <f>IF(OR(OR($A331="",$D331=""),R331=""),"",R331-(INT($Y331/18)+IF(INDEX('Tournament Setup'!$AP:$AP,MATCH($A331,'Tournament Setup'!$A:$A,0))&lt;=MOD($Y331,18),1,0)))</f>
      </c>
      <c r="AM331" t="e">
        <f>IF(OR(OR($A331="",$D331=""),S331=""),"",S331-(INT($Y331/18)+IF(INDEX('Tournament Setup'!$AQ:$AQ,MATCH($A331,'Tournament Setup'!$A:$A,0))&lt;=MOD($Y331,18),1,0)))</f>
      </c>
      <c r="AN331" t="e">
        <f>IF(OR(OR($A331="",$D331=""),T331=""),"",T331-(INT($Y331/18)+IF(INDEX('Tournament Setup'!$AR:$AR,MATCH($A331,'Tournament Setup'!$A:$A,0))&lt;=MOD($Y331,18),1,0)))</f>
      </c>
      <c r="AO331" t="e">
        <f>IF(OR(OR($A331="",$D331=""),U331=""),"",U331-(INT($Y331/18)+IF(INDEX('Tournament Setup'!$AS:$AS,MATCH($A331,'Tournament Setup'!$A:$A,0))&lt;=MOD($Y331,18),1,0)))</f>
      </c>
      <c r="AP331" t="e">
        <f>IF(OR(OR($A331="",$D331=""),V331=""),"",V331-(INT($Y331/18)+IF(INDEX('Tournament Setup'!$AT:$AT,MATCH($A331,'Tournament Setup'!$A:$A,0))&lt;=MOD($Y331,18),1,0)))</f>
      </c>
      <c r="AQ331" t="e">
        <f>IF(OR(OR($A331="",$D331=""),W331=""),"",W331-(INT($Y331/18)+IF(INDEX('Tournament Setup'!$AU:$AU,MATCH($A331,'Tournament Setup'!$A:$A,0))&lt;=MOD($Y331,18),1,0)))</f>
      </c>
    </row>
    <row r="332">
      <c r="X332" t="e">
        <f>IF(OR($A332="",$D332=""),"",SUM(F332:W332))</f>
      </c>
      <c r="Y332" t="e">
        <f>IF(OR($A332="",$D332=""),"",IF(INDEX('Tournament Setup'!$F:$F,MATCH($A332,'Tournament Setup'!$A:$A,0))="Net",ROUND(($E332-_xlfn.MINIFS($E$2:$E$401,$A$2:$A$401,$A332,$B$2:$B$401,$B332))*INDEX('Tournament Setup'!$G:$G,MATCH($A332,'Tournament Setup'!$A:$A,0))/100,0),0))</f>
      </c>
      <c r="Z332" t="e">
        <f>IF(OR(OR($A332="",$D332=""),F332=""),"",F332-(INT($Y332/18)+IF(INDEX('Tournament Setup'!$AD:$AD,MATCH($A332,'Tournament Setup'!$A:$A,0))&lt;=MOD($Y332,18),1,0)))</f>
      </c>
      <c r="AA332" t="e">
        <f>IF(OR(OR($A332="",$D332=""),G332=""),"",G332-(INT($Y332/18)+IF(INDEX('Tournament Setup'!$AE:$AE,MATCH($A332,'Tournament Setup'!$A:$A,0))&lt;=MOD($Y332,18),1,0)))</f>
      </c>
      <c r="AB332" t="e">
        <f>IF(OR(OR($A332="",$D332=""),H332=""),"",H332-(INT($Y332/18)+IF(INDEX('Tournament Setup'!$AF:$AF,MATCH($A332,'Tournament Setup'!$A:$A,0))&lt;=MOD($Y332,18),1,0)))</f>
      </c>
      <c r="AC332" t="e">
        <f>IF(OR(OR($A332="",$D332=""),I332=""),"",I332-(INT($Y332/18)+IF(INDEX('Tournament Setup'!$AG:$AG,MATCH($A332,'Tournament Setup'!$A:$A,0))&lt;=MOD($Y332,18),1,0)))</f>
      </c>
      <c r="AD332" t="e">
        <f>IF(OR(OR($A332="",$D332=""),J332=""),"",J332-(INT($Y332/18)+IF(INDEX('Tournament Setup'!$AH:$AH,MATCH($A332,'Tournament Setup'!$A:$A,0))&lt;=MOD($Y332,18),1,0)))</f>
      </c>
      <c r="AE332" t="e">
        <f>IF(OR(OR($A332="",$D332=""),K332=""),"",K332-(INT($Y332/18)+IF(INDEX('Tournament Setup'!$AI:$AI,MATCH($A332,'Tournament Setup'!$A:$A,0))&lt;=MOD($Y332,18),1,0)))</f>
      </c>
      <c r="AF332" t="e">
        <f>IF(OR(OR($A332="",$D332=""),L332=""),"",L332-(INT($Y332/18)+IF(INDEX('Tournament Setup'!$AJ:$AJ,MATCH($A332,'Tournament Setup'!$A:$A,0))&lt;=MOD($Y332,18),1,0)))</f>
      </c>
      <c r="AG332" t="e">
        <f>IF(OR(OR($A332="",$D332=""),M332=""),"",M332-(INT($Y332/18)+IF(INDEX('Tournament Setup'!$AK:$AK,MATCH($A332,'Tournament Setup'!$A:$A,0))&lt;=MOD($Y332,18),1,0)))</f>
      </c>
      <c r="AH332" t="e">
        <f>IF(OR(OR($A332="",$D332=""),N332=""),"",N332-(INT($Y332/18)+IF(INDEX('Tournament Setup'!$AL:$AL,MATCH($A332,'Tournament Setup'!$A:$A,0))&lt;=MOD($Y332,18),1,0)))</f>
      </c>
      <c r="AI332" t="e">
        <f>IF(OR(OR($A332="",$D332=""),O332=""),"",O332-(INT($Y332/18)+IF(INDEX('Tournament Setup'!$AM:$AM,MATCH($A332,'Tournament Setup'!$A:$A,0))&lt;=MOD($Y332,18),1,0)))</f>
      </c>
      <c r="AJ332" t="e">
        <f>IF(OR(OR($A332="",$D332=""),P332=""),"",P332-(INT($Y332/18)+IF(INDEX('Tournament Setup'!$AN:$AN,MATCH($A332,'Tournament Setup'!$A:$A,0))&lt;=MOD($Y332,18),1,0)))</f>
      </c>
      <c r="AK332" t="e">
        <f>IF(OR(OR($A332="",$D332=""),Q332=""),"",Q332-(INT($Y332/18)+IF(INDEX('Tournament Setup'!$AO:$AO,MATCH($A332,'Tournament Setup'!$A:$A,0))&lt;=MOD($Y332,18),1,0)))</f>
      </c>
      <c r="AL332" t="e">
        <f>IF(OR(OR($A332="",$D332=""),R332=""),"",R332-(INT($Y332/18)+IF(INDEX('Tournament Setup'!$AP:$AP,MATCH($A332,'Tournament Setup'!$A:$A,0))&lt;=MOD($Y332,18),1,0)))</f>
      </c>
      <c r="AM332" t="e">
        <f>IF(OR(OR($A332="",$D332=""),S332=""),"",S332-(INT($Y332/18)+IF(INDEX('Tournament Setup'!$AQ:$AQ,MATCH($A332,'Tournament Setup'!$A:$A,0))&lt;=MOD($Y332,18),1,0)))</f>
      </c>
      <c r="AN332" t="e">
        <f>IF(OR(OR($A332="",$D332=""),T332=""),"",T332-(INT($Y332/18)+IF(INDEX('Tournament Setup'!$AR:$AR,MATCH($A332,'Tournament Setup'!$A:$A,0))&lt;=MOD($Y332,18),1,0)))</f>
      </c>
      <c r="AO332" t="e">
        <f>IF(OR(OR($A332="",$D332=""),U332=""),"",U332-(INT($Y332/18)+IF(INDEX('Tournament Setup'!$AS:$AS,MATCH($A332,'Tournament Setup'!$A:$A,0))&lt;=MOD($Y332,18),1,0)))</f>
      </c>
      <c r="AP332" t="e">
        <f>IF(OR(OR($A332="",$D332=""),V332=""),"",V332-(INT($Y332/18)+IF(INDEX('Tournament Setup'!$AT:$AT,MATCH($A332,'Tournament Setup'!$A:$A,0))&lt;=MOD($Y332,18),1,0)))</f>
      </c>
      <c r="AQ332" t="e">
        <f>IF(OR(OR($A332="",$D332=""),W332=""),"",W332-(INT($Y332/18)+IF(INDEX('Tournament Setup'!$AU:$AU,MATCH($A332,'Tournament Setup'!$A:$A,0))&lt;=MOD($Y332,18),1,0)))</f>
      </c>
    </row>
    <row r="333">
      <c r="X333" t="e">
        <f>IF(OR($A333="",$D333=""),"",SUM(F333:W333))</f>
      </c>
      <c r="Y333" t="e">
        <f>IF(OR($A333="",$D333=""),"",IF(INDEX('Tournament Setup'!$F:$F,MATCH($A333,'Tournament Setup'!$A:$A,0))="Net",ROUND(($E333-_xlfn.MINIFS($E$2:$E$401,$A$2:$A$401,$A333,$B$2:$B$401,$B333))*INDEX('Tournament Setup'!$G:$G,MATCH($A333,'Tournament Setup'!$A:$A,0))/100,0),0))</f>
      </c>
      <c r="Z333" t="e">
        <f>IF(OR(OR($A333="",$D333=""),F333=""),"",F333-(INT($Y333/18)+IF(INDEX('Tournament Setup'!$AD:$AD,MATCH($A333,'Tournament Setup'!$A:$A,0))&lt;=MOD($Y333,18),1,0)))</f>
      </c>
      <c r="AA333" t="e">
        <f>IF(OR(OR($A333="",$D333=""),G333=""),"",G333-(INT($Y333/18)+IF(INDEX('Tournament Setup'!$AE:$AE,MATCH($A333,'Tournament Setup'!$A:$A,0))&lt;=MOD($Y333,18),1,0)))</f>
      </c>
      <c r="AB333" t="e">
        <f>IF(OR(OR($A333="",$D333=""),H333=""),"",H333-(INT($Y333/18)+IF(INDEX('Tournament Setup'!$AF:$AF,MATCH($A333,'Tournament Setup'!$A:$A,0))&lt;=MOD($Y333,18),1,0)))</f>
      </c>
      <c r="AC333" t="e">
        <f>IF(OR(OR($A333="",$D333=""),I333=""),"",I333-(INT($Y333/18)+IF(INDEX('Tournament Setup'!$AG:$AG,MATCH($A333,'Tournament Setup'!$A:$A,0))&lt;=MOD($Y333,18),1,0)))</f>
      </c>
      <c r="AD333" t="e">
        <f>IF(OR(OR($A333="",$D333=""),J333=""),"",J333-(INT($Y333/18)+IF(INDEX('Tournament Setup'!$AH:$AH,MATCH($A333,'Tournament Setup'!$A:$A,0))&lt;=MOD($Y333,18),1,0)))</f>
      </c>
      <c r="AE333" t="e">
        <f>IF(OR(OR($A333="",$D333=""),K333=""),"",K333-(INT($Y333/18)+IF(INDEX('Tournament Setup'!$AI:$AI,MATCH($A333,'Tournament Setup'!$A:$A,0))&lt;=MOD($Y333,18),1,0)))</f>
      </c>
      <c r="AF333" t="e">
        <f>IF(OR(OR($A333="",$D333=""),L333=""),"",L333-(INT($Y333/18)+IF(INDEX('Tournament Setup'!$AJ:$AJ,MATCH($A333,'Tournament Setup'!$A:$A,0))&lt;=MOD($Y333,18),1,0)))</f>
      </c>
      <c r="AG333" t="e">
        <f>IF(OR(OR($A333="",$D333=""),M333=""),"",M333-(INT($Y333/18)+IF(INDEX('Tournament Setup'!$AK:$AK,MATCH($A333,'Tournament Setup'!$A:$A,0))&lt;=MOD($Y333,18),1,0)))</f>
      </c>
      <c r="AH333" t="e">
        <f>IF(OR(OR($A333="",$D333=""),N333=""),"",N333-(INT($Y333/18)+IF(INDEX('Tournament Setup'!$AL:$AL,MATCH($A333,'Tournament Setup'!$A:$A,0))&lt;=MOD($Y333,18),1,0)))</f>
      </c>
      <c r="AI333" t="e">
        <f>IF(OR(OR($A333="",$D333=""),O333=""),"",O333-(INT($Y333/18)+IF(INDEX('Tournament Setup'!$AM:$AM,MATCH($A333,'Tournament Setup'!$A:$A,0))&lt;=MOD($Y333,18),1,0)))</f>
      </c>
      <c r="AJ333" t="e">
        <f>IF(OR(OR($A333="",$D333=""),P333=""),"",P333-(INT($Y333/18)+IF(INDEX('Tournament Setup'!$AN:$AN,MATCH($A333,'Tournament Setup'!$A:$A,0))&lt;=MOD($Y333,18),1,0)))</f>
      </c>
      <c r="AK333" t="e">
        <f>IF(OR(OR($A333="",$D333=""),Q333=""),"",Q333-(INT($Y333/18)+IF(INDEX('Tournament Setup'!$AO:$AO,MATCH($A333,'Tournament Setup'!$A:$A,0))&lt;=MOD($Y333,18),1,0)))</f>
      </c>
      <c r="AL333" t="e">
        <f>IF(OR(OR($A333="",$D333=""),R333=""),"",R333-(INT($Y333/18)+IF(INDEX('Tournament Setup'!$AP:$AP,MATCH($A333,'Tournament Setup'!$A:$A,0))&lt;=MOD($Y333,18),1,0)))</f>
      </c>
      <c r="AM333" t="e">
        <f>IF(OR(OR($A333="",$D333=""),S333=""),"",S333-(INT($Y333/18)+IF(INDEX('Tournament Setup'!$AQ:$AQ,MATCH($A333,'Tournament Setup'!$A:$A,0))&lt;=MOD($Y333,18),1,0)))</f>
      </c>
      <c r="AN333" t="e">
        <f>IF(OR(OR($A333="",$D333=""),T333=""),"",T333-(INT($Y333/18)+IF(INDEX('Tournament Setup'!$AR:$AR,MATCH($A333,'Tournament Setup'!$A:$A,0))&lt;=MOD($Y333,18),1,0)))</f>
      </c>
      <c r="AO333" t="e">
        <f>IF(OR(OR($A333="",$D333=""),U333=""),"",U333-(INT($Y333/18)+IF(INDEX('Tournament Setup'!$AS:$AS,MATCH($A333,'Tournament Setup'!$A:$A,0))&lt;=MOD($Y333,18),1,0)))</f>
      </c>
      <c r="AP333" t="e">
        <f>IF(OR(OR($A333="",$D333=""),V333=""),"",V333-(INT($Y333/18)+IF(INDEX('Tournament Setup'!$AT:$AT,MATCH($A333,'Tournament Setup'!$A:$A,0))&lt;=MOD($Y333,18),1,0)))</f>
      </c>
      <c r="AQ333" t="e">
        <f>IF(OR(OR($A333="",$D333=""),W333=""),"",W333-(INT($Y333/18)+IF(INDEX('Tournament Setup'!$AU:$AU,MATCH($A333,'Tournament Setup'!$A:$A,0))&lt;=MOD($Y333,18),1,0)))</f>
      </c>
    </row>
    <row r="334">
      <c r="X334" t="e">
        <f>IF(OR($A334="",$D334=""),"",SUM(F334:W334))</f>
      </c>
      <c r="Y334" t="e">
        <f>IF(OR($A334="",$D334=""),"",IF(INDEX('Tournament Setup'!$F:$F,MATCH($A334,'Tournament Setup'!$A:$A,0))="Net",ROUND(($E334-_xlfn.MINIFS($E$2:$E$401,$A$2:$A$401,$A334,$B$2:$B$401,$B334))*INDEX('Tournament Setup'!$G:$G,MATCH($A334,'Tournament Setup'!$A:$A,0))/100,0),0))</f>
      </c>
      <c r="Z334" t="e">
        <f>IF(OR(OR($A334="",$D334=""),F334=""),"",F334-(INT($Y334/18)+IF(INDEX('Tournament Setup'!$AD:$AD,MATCH($A334,'Tournament Setup'!$A:$A,0))&lt;=MOD($Y334,18),1,0)))</f>
      </c>
      <c r="AA334" t="e">
        <f>IF(OR(OR($A334="",$D334=""),G334=""),"",G334-(INT($Y334/18)+IF(INDEX('Tournament Setup'!$AE:$AE,MATCH($A334,'Tournament Setup'!$A:$A,0))&lt;=MOD($Y334,18),1,0)))</f>
      </c>
      <c r="AB334" t="e">
        <f>IF(OR(OR($A334="",$D334=""),H334=""),"",H334-(INT($Y334/18)+IF(INDEX('Tournament Setup'!$AF:$AF,MATCH($A334,'Tournament Setup'!$A:$A,0))&lt;=MOD($Y334,18),1,0)))</f>
      </c>
      <c r="AC334" t="e">
        <f>IF(OR(OR($A334="",$D334=""),I334=""),"",I334-(INT($Y334/18)+IF(INDEX('Tournament Setup'!$AG:$AG,MATCH($A334,'Tournament Setup'!$A:$A,0))&lt;=MOD($Y334,18),1,0)))</f>
      </c>
      <c r="AD334" t="e">
        <f>IF(OR(OR($A334="",$D334=""),J334=""),"",J334-(INT($Y334/18)+IF(INDEX('Tournament Setup'!$AH:$AH,MATCH($A334,'Tournament Setup'!$A:$A,0))&lt;=MOD($Y334,18),1,0)))</f>
      </c>
      <c r="AE334" t="e">
        <f>IF(OR(OR($A334="",$D334=""),K334=""),"",K334-(INT($Y334/18)+IF(INDEX('Tournament Setup'!$AI:$AI,MATCH($A334,'Tournament Setup'!$A:$A,0))&lt;=MOD($Y334,18),1,0)))</f>
      </c>
      <c r="AF334" t="e">
        <f>IF(OR(OR($A334="",$D334=""),L334=""),"",L334-(INT($Y334/18)+IF(INDEX('Tournament Setup'!$AJ:$AJ,MATCH($A334,'Tournament Setup'!$A:$A,0))&lt;=MOD($Y334,18),1,0)))</f>
      </c>
      <c r="AG334" t="e">
        <f>IF(OR(OR($A334="",$D334=""),M334=""),"",M334-(INT($Y334/18)+IF(INDEX('Tournament Setup'!$AK:$AK,MATCH($A334,'Tournament Setup'!$A:$A,0))&lt;=MOD($Y334,18),1,0)))</f>
      </c>
      <c r="AH334" t="e">
        <f>IF(OR(OR($A334="",$D334=""),N334=""),"",N334-(INT($Y334/18)+IF(INDEX('Tournament Setup'!$AL:$AL,MATCH($A334,'Tournament Setup'!$A:$A,0))&lt;=MOD($Y334,18),1,0)))</f>
      </c>
      <c r="AI334" t="e">
        <f>IF(OR(OR($A334="",$D334=""),O334=""),"",O334-(INT($Y334/18)+IF(INDEX('Tournament Setup'!$AM:$AM,MATCH($A334,'Tournament Setup'!$A:$A,0))&lt;=MOD($Y334,18),1,0)))</f>
      </c>
      <c r="AJ334" t="e">
        <f>IF(OR(OR($A334="",$D334=""),P334=""),"",P334-(INT($Y334/18)+IF(INDEX('Tournament Setup'!$AN:$AN,MATCH($A334,'Tournament Setup'!$A:$A,0))&lt;=MOD($Y334,18),1,0)))</f>
      </c>
      <c r="AK334" t="e">
        <f>IF(OR(OR($A334="",$D334=""),Q334=""),"",Q334-(INT($Y334/18)+IF(INDEX('Tournament Setup'!$AO:$AO,MATCH($A334,'Tournament Setup'!$A:$A,0))&lt;=MOD($Y334,18),1,0)))</f>
      </c>
      <c r="AL334" t="e">
        <f>IF(OR(OR($A334="",$D334=""),R334=""),"",R334-(INT($Y334/18)+IF(INDEX('Tournament Setup'!$AP:$AP,MATCH($A334,'Tournament Setup'!$A:$A,0))&lt;=MOD($Y334,18),1,0)))</f>
      </c>
      <c r="AM334" t="e">
        <f>IF(OR(OR($A334="",$D334=""),S334=""),"",S334-(INT($Y334/18)+IF(INDEX('Tournament Setup'!$AQ:$AQ,MATCH($A334,'Tournament Setup'!$A:$A,0))&lt;=MOD($Y334,18),1,0)))</f>
      </c>
      <c r="AN334" t="e">
        <f>IF(OR(OR($A334="",$D334=""),T334=""),"",T334-(INT($Y334/18)+IF(INDEX('Tournament Setup'!$AR:$AR,MATCH($A334,'Tournament Setup'!$A:$A,0))&lt;=MOD($Y334,18),1,0)))</f>
      </c>
      <c r="AO334" t="e">
        <f>IF(OR(OR($A334="",$D334=""),U334=""),"",U334-(INT($Y334/18)+IF(INDEX('Tournament Setup'!$AS:$AS,MATCH($A334,'Tournament Setup'!$A:$A,0))&lt;=MOD($Y334,18),1,0)))</f>
      </c>
      <c r="AP334" t="e">
        <f>IF(OR(OR($A334="",$D334=""),V334=""),"",V334-(INT($Y334/18)+IF(INDEX('Tournament Setup'!$AT:$AT,MATCH($A334,'Tournament Setup'!$A:$A,0))&lt;=MOD($Y334,18),1,0)))</f>
      </c>
      <c r="AQ334" t="e">
        <f>IF(OR(OR($A334="",$D334=""),W334=""),"",W334-(INT($Y334/18)+IF(INDEX('Tournament Setup'!$AU:$AU,MATCH($A334,'Tournament Setup'!$A:$A,0))&lt;=MOD($Y334,18),1,0)))</f>
      </c>
    </row>
    <row r="335">
      <c r="X335" t="e">
        <f>IF(OR($A335="",$D335=""),"",SUM(F335:W335))</f>
      </c>
      <c r="Y335" t="e">
        <f>IF(OR($A335="",$D335=""),"",IF(INDEX('Tournament Setup'!$F:$F,MATCH($A335,'Tournament Setup'!$A:$A,0))="Net",ROUND(($E335-_xlfn.MINIFS($E$2:$E$401,$A$2:$A$401,$A335,$B$2:$B$401,$B335))*INDEX('Tournament Setup'!$G:$G,MATCH($A335,'Tournament Setup'!$A:$A,0))/100,0),0))</f>
      </c>
      <c r="Z335" t="e">
        <f>IF(OR(OR($A335="",$D335=""),F335=""),"",F335-(INT($Y335/18)+IF(INDEX('Tournament Setup'!$AD:$AD,MATCH($A335,'Tournament Setup'!$A:$A,0))&lt;=MOD($Y335,18),1,0)))</f>
      </c>
      <c r="AA335" t="e">
        <f>IF(OR(OR($A335="",$D335=""),G335=""),"",G335-(INT($Y335/18)+IF(INDEX('Tournament Setup'!$AE:$AE,MATCH($A335,'Tournament Setup'!$A:$A,0))&lt;=MOD($Y335,18),1,0)))</f>
      </c>
      <c r="AB335" t="e">
        <f>IF(OR(OR($A335="",$D335=""),H335=""),"",H335-(INT($Y335/18)+IF(INDEX('Tournament Setup'!$AF:$AF,MATCH($A335,'Tournament Setup'!$A:$A,0))&lt;=MOD($Y335,18),1,0)))</f>
      </c>
      <c r="AC335" t="e">
        <f>IF(OR(OR($A335="",$D335=""),I335=""),"",I335-(INT($Y335/18)+IF(INDEX('Tournament Setup'!$AG:$AG,MATCH($A335,'Tournament Setup'!$A:$A,0))&lt;=MOD($Y335,18),1,0)))</f>
      </c>
      <c r="AD335" t="e">
        <f>IF(OR(OR($A335="",$D335=""),J335=""),"",J335-(INT($Y335/18)+IF(INDEX('Tournament Setup'!$AH:$AH,MATCH($A335,'Tournament Setup'!$A:$A,0))&lt;=MOD($Y335,18),1,0)))</f>
      </c>
      <c r="AE335" t="e">
        <f>IF(OR(OR($A335="",$D335=""),K335=""),"",K335-(INT($Y335/18)+IF(INDEX('Tournament Setup'!$AI:$AI,MATCH($A335,'Tournament Setup'!$A:$A,0))&lt;=MOD($Y335,18),1,0)))</f>
      </c>
      <c r="AF335" t="e">
        <f>IF(OR(OR($A335="",$D335=""),L335=""),"",L335-(INT($Y335/18)+IF(INDEX('Tournament Setup'!$AJ:$AJ,MATCH($A335,'Tournament Setup'!$A:$A,0))&lt;=MOD($Y335,18),1,0)))</f>
      </c>
      <c r="AG335" t="e">
        <f>IF(OR(OR($A335="",$D335=""),M335=""),"",M335-(INT($Y335/18)+IF(INDEX('Tournament Setup'!$AK:$AK,MATCH($A335,'Tournament Setup'!$A:$A,0))&lt;=MOD($Y335,18),1,0)))</f>
      </c>
      <c r="AH335" t="e">
        <f>IF(OR(OR($A335="",$D335=""),N335=""),"",N335-(INT($Y335/18)+IF(INDEX('Tournament Setup'!$AL:$AL,MATCH($A335,'Tournament Setup'!$A:$A,0))&lt;=MOD($Y335,18),1,0)))</f>
      </c>
      <c r="AI335" t="e">
        <f>IF(OR(OR($A335="",$D335=""),O335=""),"",O335-(INT($Y335/18)+IF(INDEX('Tournament Setup'!$AM:$AM,MATCH($A335,'Tournament Setup'!$A:$A,0))&lt;=MOD($Y335,18),1,0)))</f>
      </c>
      <c r="AJ335" t="e">
        <f>IF(OR(OR($A335="",$D335=""),P335=""),"",P335-(INT($Y335/18)+IF(INDEX('Tournament Setup'!$AN:$AN,MATCH($A335,'Tournament Setup'!$A:$A,0))&lt;=MOD($Y335,18),1,0)))</f>
      </c>
      <c r="AK335" t="e">
        <f>IF(OR(OR($A335="",$D335=""),Q335=""),"",Q335-(INT($Y335/18)+IF(INDEX('Tournament Setup'!$AO:$AO,MATCH($A335,'Tournament Setup'!$A:$A,0))&lt;=MOD($Y335,18),1,0)))</f>
      </c>
      <c r="AL335" t="e">
        <f>IF(OR(OR($A335="",$D335=""),R335=""),"",R335-(INT($Y335/18)+IF(INDEX('Tournament Setup'!$AP:$AP,MATCH($A335,'Tournament Setup'!$A:$A,0))&lt;=MOD($Y335,18),1,0)))</f>
      </c>
      <c r="AM335" t="e">
        <f>IF(OR(OR($A335="",$D335=""),S335=""),"",S335-(INT($Y335/18)+IF(INDEX('Tournament Setup'!$AQ:$AQ,MATCH($A335,'Tournament Setup'!$A:$A,0))&lt;=MOD($Y335,18),1,0)))</f>
      </c>
      <c r="AN335" t="e">
        <f>IF(OR(OR($A335="",$D335=""),T335=""),"",T335-(INT($Y335/18)+IF(INDEX('Tournament Setup'!$AR:$AR,MATCH($A335,'Tournament Setup'!$A:$A,0))&lt;=MOD($Y335,18),1,0)))</f>
      </c>
      <c r="AO335" t="e">
        <f>IF(OR(OR($A335="",$D335=""),U335=""),"",U335-(INT($Y335/18)+IF(INDEX('Tournament Setup'!$AS:$AS,MATCH($A335,'Tournament Setup'!$A:$A,0))&lt;=MOD($Y335,18),1,0)))</f>
      </c>
      <c r="AP335" t="e">
        <f>IF(OR(OR($A335="",$D335=""),V335=""),"",V335-(INT($Y335/18)+IF(INDEX('Tournament Setup'!$AT:$AT,MATCH($A335,'Tournament Setup'!$A:$A,0))&lt;=MOD($Y335,18),1,0)))</f>
      </c>
      <c r="AQ335" t="e">
        <f>IF(OR(OR($A335="",$D335=""),W335=""),"",W335-(INT($Y335/18)+IF(INDEX('Tournament Setup'!$AU:$AU,MATCH($A335,'Tournament Setup'!$A:$A,0))&lt;=MOD($Y335,18),1,0)))</f>
      </c>
    </row>
    <row r="336">
      <c r="X336" t="e">
        <f>IF(OR($A336="",$D336=""),"",SUM(F336:W336))</f>
      </c>
      <c r="Y336" t="e">
        <f>IF(OR($A336="",$D336=""),"",IF(INDEX('Tournament Setup'!$F:$F,MATCH($A336,'Tournament Setup'!$A:$A,0))="Net",ROUND(($E336-_xlfn.MINIFS($E$2:$E$401,$A$2:$A$401,$A336,$B$2:$B$401,$B336))*INDEX('Tournament Setup'!$G:$G,MATCH($A336,'Tournament Setup'!$A:$A,0))/100,0),0))</f>
      </c>
      <c r="Z336" t="e">
        <f>IF(OR(OR($A336="",$D336=""),F336=""),"",F336-(INT($Y336/18)+IF(INDEX('Tournament Setup'!$AD:$AD,MATCH($A336,'Tournament Setup'!$A:$A,0))&lt;=MOD($Y336,18),1,0)))</f>
      </c>
      <c r="AA336" t="e">
        <f>IF(OR(OR($A336="",$D336=""),G336=""),"",G336-(INT($Y336/18)+IF(INDEX('Tournament Setup'!$AE:$AE,MATCH($A336,'Tournament Setup'!$A:$A,0))&lt;=MOD($Y336,18),1,0)))</f>
      </c>
      <c r="AB336" t="e">
        <f>IF(OR(OR($A336="",$D336=""),H336=""),"",H336-(INT($Y336/18)+IF(INDEX('Tournament Setup'!$AF:$AF,MATCH($A336,'Tournament Setup'!$A:$A,0))&lt;=MOD($Y336,18),1,0)))</f>
      </c>
      <c r="AC336" t="e">
        <f>IF(OR(OR($A336="",$D336=""),I336=""),"",I336-(INT($Y336/18)+IF(INDEX('Tournament Setup'!$AG:$AG,MATCH($A336,'Tournament Setup'!$A:$A,0))&lt;=MOD($Y336,18),1,0)))</f>
      </c>
      <c r="AD336" t="e">
        <f>IF(OR(OR($A336="",$D336=""),J336=""),"",J336-(INT($Y336/18)+IF(INDEX('Tournament Setup'!$AH:$AH,MATCH($A336,'Tournament Setup'!$A:$A,0))&lt;=MOD($Y336,18),1,0)))</f>
      </c>
      <c r="AE336" t="e">
        <f>IF(OR(OR($A336="",$D336=""),K336=""),"",K336-(INT($Y336/18)+IF(INDEX('Tournament Setup'!$AI:$AI,MATCH($A336,'Tournament Setup'!$A:$A,0))&lt;=MOD($Y336,18),1,0)))</f>
      </c>
      <c r="AF336" t="e">
        <f>IF(OR(OR($A336="",$D336=""),L336=""),"",L336-(INT($Y336/18)+IF(INDEX('Tournament Setup'!$AJ:$AJ,MATCH($A336,'Tournament Setup'!$A:$A,0))&lt;=MOD($Y336,18),1,0)))</f>
      </c>
      <c r="AG336" t="e">
        <f>IF(OR(OR($A336="",$D336=""),M336=""),"",M336-(INT($Y336/18)+IF(INDEX('Tournament Setup'!$AK:$AK,MATCH($A336,'Tournament Setup'!$A:$A,0))&lt;=MOD($Y336,18),1,0)))</f>
      </c>
      <c r="AH336" t="e">
        <f>IF(OR(OR($A336="",$D336=""),N336=""),"",N336-(INT($Y336/18)+IF(INDEX('Tournament Setup'!$AL:$AL,MATCH($A336,'Tournament Setup'!$A:$A,0))&lt;=MOD($Y336,18),1,0)))</f>
      </c>
      <c r="AI336" t="e">
        <f>IF(OR(OR($A336="",$D336=""),O336=""),"",O336-(INT($Y336/18)+IF(INDEX('Tournament Setup'!$AM:$AM,MATCH($A336,'Tournament Setup'!$A:$A,0))&lt;=MOD($Y336,18),1,0)))</f>
      </c>
      <c r="AJ336" t="e">
        <f>IF(OR(OR($A336="",$D336=""),P336=""),"",P336-(INT($Y336/18)+IF(INDEX('Tournament Setup'!$AN:$AN,MATCH($A336,'Tournament Setup'!$A:$A,0))&lt;=MOD($Y336,18),1,0)))</f>
      </c>
      <c r="AK336" t="e">
        <f>IF(OR(OR($A336="",$D336=""),Q336=""),"",Q336-(INT($Y336/18)+IF(INDEX('Tournament Setup'!$AO:$AO,MATCH($A336,'Tournament Setup'!$A:$A,0))&lt;=MOD($Y336,18),1,0)))</f>
      </c>
      <c r="AL336" t="e">
        <f>IF(OR(OR($A336="",$D336=""),R336=""),"",R336-(INT($Y336/18)+IF(INDEX('Tournament Setup'!$AP:$AP,MATCH($A336,'Tournament Setup'!$A:$A,0))&lt;=MOD($Y336,18),1,0)))</f>
      </c>
      <c r="AM336" t="e">
        <f>IF(OR(OR($A336="",$D336=""),S336=""),"",S336-(INT($Y336/18)+IF(INDEX('Tournament Setup'!$AQ:$AQ,MATCH($A336,'Tournament Setup'!$A:$A,0))&lt;=MOD($Y336,18),1,0)))</f>
      </c>
      <c r="AN336" t="e">
        <f>IF(OR(OR($A336="",$D336=""),T336=""),"",T336-(INT($Y336/18)+IF(INDEX('Tournament Setup'!$AR:$AR,MATCH($A336,'Tournament Setup'!$A:$A,0))&lt;=MOD($Y336,18),1,0)))</f>
      </c>
      <c r="AO336" t="e">
        <f>IF(OR(OR($A336="",$D336=""),U336=""),"",U336-(INT($Y336/18)+IF(INDEX('Tournament Setup'!$AS:$AS,MATCH($A336,'Tournament Setup'!$A:$A,0))&lt;=MOD($Y336,18),1,0)))</f>
      </c>
      <c r="AP336" t="e">
        <f>IF(OR(OR($A336="",$D336=""),V336=""),"",V336-(INT($Y336/18)+IF(INDEX('Tournament Setup'!$AT:$AT,MATCH($A336,'Tournament Setup'!$A:$A,0))&lt;=MOD($Y336,18),1,0)))</f>
      </c>
      <c r="AQ336" t="e">
        <f>IF(OR(OR($A336="",$D336=""),W336=""),"",W336-(INT($Y336/18)+IF(INDEX('Tournament Setup'!$AU:$AU,MATCH($A336,'Tournament Setup'!$A:$A,0))&lt;=MOD($Y336,18),1,0)))</f>
      </c>
    </row>
    <row r="337">
      <c r="X337" t="e">
        <f>IF(OR($A337="",$D337=""),"",SUM(F337:W337))</f>
      </c>
      <c r="Y337" t="e">
        <f>IF(OR($A337="",$D337=""),"",IF(INDEX('Tournament Setup'!$F:$F,MATCH($A337,'Tournament Setup'!$A:$A,0))="Net",ROUND(($E337-_xlfn.MINIFS($E$2:$E$401,$A$2:$A$401,$A337,$B$2:$B$401,$B337))*INDEX('Tournament Setup'!$G:$G,MATCH($A337,'Tournament Setup'!$A:$A,0))/100,0),0))</f>
      </c>
      <c r="Z337" t="e">
        <f>IF(OR(OR($A337="",$D337=""),F337=""),"",F337-(INT($Y337/18)+IF(INDEX('Tournament Setup'!$AD:$AD,MATCH($A337,'Tournament Setup'!$A:$A,0))&lt;=MOD($Y337,18),1,0)))</f>
      </c>
      <c r="AA337" t="e">
        <f>IF(OR(OR($A337="",$D337=""),G337=""),"",G337-(INT($Y337/18)+IF(INDEX('Tournament Setup'!$AE:$AE,MATCH($A337,'Tournament Setup'!$A:$A,0))&lt;=MOD($Y337,18),1,0)))</f>
      </c>
      <c r="AB337" t="e">
        <f>IF(OR(OR($A337="",$D337=""),H337=""),"",H337-(INT($Y337/18)+IF(INDEX('Tournament Setup'!$AF:$AF,MATCH($A337,'Tournament Setup'!$A:$A,0))&lt;=MOD($Y337,18),1,0)))</f>
      </c>
      <c r="AC337" t="e">
        <f>IF(OR(OR($A337="",$D337=""),I337=""),"",I337-(INT($Y337/18)+IF(INDEX('Tournament Setup'!$AG:$AG,MATCH($A337,'Tournament Setup'!$A:$A,0))&lt;=MOD($Y337,18),1,0)))</f>
      </c>
      <c r="AD337" t="e">
        <f>IF(OR(OR($A337="",$D337=""),J337=""),"",J337-(INT($Y337/18)+IF(INDEX('Tournament Setup'!$AH:$AH,MATCH($A337,'Tournament Setup'!$A:$A,0))&lt;=MOD($Y337,18),1,0)))</f>
      </c>
      <c r="AE337" t="e">
        <f>IF(OR(OR($A337="",$D337=""),K337=""),"",K337-(INT($Y337/18)+IF(INDEX('Tournament Setup'!$AI:$AI,MATCH($A337,'Tournament Setup'!$A:$A,0))&lt;=MOD($Y337,18),1,0)))</f>
      </c>
      <c r="AF337" t="e">
        <f>IF(OR(OR($A337="",$D337=""),L337=""),"",L337-(INT($Y337/18)+IF(INDEX('Tournament Setup'!$AJ:$AJ,MATCH($A337,'Tournament Setup'!$A:$A,0))&lt;=MOD($Y337,18),1,0)))</f>
      </c>
      <c r="AG337" t="e">
        <f>IF(OR(OR($A337="",$D337=""),M337=""),"",M337-(INT($Y337/18)+IF(INDEX('Tournament Setup'!$AK:$AK,MATCH($A337,'Tournament Setup'!$A:$A,0))&lt;=MOD($Y337,18),1,0)))</f>
      </c>
      <c r="AH337" t="e">
        <f>IF(OR(OR($A337="",$D337=""),N337=""),"",N337-(INT($Y337/18)+IF(INDEX('Tournament Setup'!$AL:$AL,MATCH($A337,'Tournament Setup'!$A:$A,0))&lt;=MOD($Y337,18),1,0)))</f>
      </c>
      <c r="AI337" t="e">
        <f>IF(OR(OR($A337="",$D337=""),O337=""),"",O337-(INT($Y337/18)+IF(INDEX('Tournament Setup'!$AM:$AM,MATCH($A337,'Tournament Setup'!$A:$A,0))&lt;=MOD($Y337,18),1,0)))</f>
      </c>
      <c r="AJ337" t="e">
        <f>IF(OR(OR($A337="",$D337=""),P337=""),"",P337-(INT($Y337/18)+IF(INDEX('Tournament Setup'!$AN:$AN,MATCH($A337,'Tournament Setup'!$A:$A,0))&lt;=MOD($Y337,18),1,0)))</f>
      </c>
      <c r="AK337" t="e">
        <f>IF(OR(OR($A337="",$D337=""),Q337=""),"",Q337-(INT($Y337/18)+IF(INDEX('Tournament Setup'!$AO:$AO,MATCH($A337,'Tournament Setup'!$A:$A,0))&lt;=MOD($Y337,18),1,0)))</f>
      </c>
      <c r="AL337" t="e">
        <f>IF(OR(OR($A337="",$D337=""),R337=""),"",R337-(INT($Y337/18)+IF(INDEX('Tournament Setup'!$AP:$AP,MATCH($A337,'Tournament Setup'!$A:$A,0))&lt;=MOD($Y337,18),1,0)))</f>
      </c>
      <c r="AM337" t="e">
        <f>IF(OR(OR($A337="",$D337=""),S337=""),"",S337-(INT($Y337/18)+IF(INDEX('Tournament Setup'!$AQ:$AQ,MATCH($A337,'Tournament Setup'!$A:$A,0))&lt;=MOD($Y337,18),1,0)))</f>
      </c>
      <c r="AN337" t="e">
        <f>IF(OR(OR($A337="",$D337=""),T337=""),"",T337-(INT($Y337/18)+IF(INDEX('Tournament Setup'!$AR:$AR,MATCH($A337,'Tournament Setup'!$A:$A,0))&lt;=MOD($Y337,18),1,0)))</f>
      </c>
      <c r="AO337" t="e">
        <f>IF(OR(OR($A337="",$D337=""),U337=""),"",U337-(INT($Y337/18)+IF(INDEX('Tournament Setup'!$AS:$AS,MATCH($A337,'Tournament Setup'!$A:$A,0))&lt;=MOD($Y337,18),1,0)))</f>
      </c>
      <c r="AP337" t="e">
        <f>IF(OR(OR($A337="",$D337=""),V337=""),"",V337-(INT($Y337/18)+IF(INDEX('Tournament Setup'!$AT:$AT,MATCH($A337,'Tournament Setup'!$A:$A,0))&lt;=MOD($Y337,18),1,0)))</f>
      </c>
      <c r="AQ337" t="e">
        <f>IF(OR(OR($A337="",$D337=""),W337=""),"",W337-(INT($Y337/18)+IF(INDEX('Tournament Setup'!$AU:$AU,MATCH($A337,'Tournament Setup'!$A:$A,0))&lt;=MOD($Y337,18),1,0)))</f>
      </c>
    </row>
    <row r="338">
      <c r="X338" t="e">
        <f>IF(OR($A338="",$D338=""),"",SUM(F338:W338))</f>
      </c>
      <c r="Y338" t="e">
        <f>IF(OR($A338="",$D338=""),"",IF(INDEX('Tournament Setup'!$F:$F,MATCH($A338,'Tournament Setup'!$A:$A,0))="Net",ROUND(($E338-_xlfn.MINIFS($E$2:$E$401,$A$2:$A$401,$A338,$B$2:$B$401,$B338))*INDEX('Tournament Setup'!$G:$G,MATCH($A338,'Tournament Setup'!$A:$A,0))/100,0),0))</f>
      </c>
      <c r="Z338" t="e">
        <f>IF(OR(OR($A338="",$D338=""),F338=""),"",F338-(INT($Y338/18)+IF(INDEX('Tournament Setup'!$AD:$AD,MATCH($A338,'Tournament Setup'!$A:$A,0))&lt;=MOD($Y338,18),1,0)))</f>
      </c>
      <c r="AA338" t="e">
        <f>IF(OR(OR($A338="",$D338=""),G338=""),"",G338-(INT($Y338/18)+IF(INDEX('Tournament Setup'!$AE:$AE,MATCH($A338,'Tournament Setup'!$A:$A,0))&lt;=MOD($Y338,18),1,0)))</f>
      </c>
      <c r="AB338" t="e">
        <f>IF(OR(OR($A338="",$D338=""),H338=""),"",H338-(INT($Y338/18)+IF(INDEX('Tournament Setup'!$AF:$AF,MATCH($A338,'Tournament Setup'!$A:$A,0))&lt;=MOD($Y338,18),1,0)))</f>
      </c>
      <c r="AC338" t="e">
        <f>IF(OR(OR($A338="",$D338=""),I338=""),"",I338-(INT($Y338/18)+IF(INDEX('Tournament Setup'!$AG:$AG,MATCH($A338,'Tournament Setup'!$A:$A,0))&lt;=MOD($Y338,18),1,0)))</f>
      </c>
      <c r="AD338" t="e">
        <f>IF(OR(OR($A338="",$D338=""),J338=""),"",J338-(INT($Y338/18)+IF(INDEX('Tournament Setup'!$AH:$AH,MATCH($A338,'Tournament Setup'!$A:$A,0))&lt;=MOD($Y338,18),1,0)))</f>
      </c>
      <c r="AE338" t="e">
        <f>IF(OR(OR($A338="",$D338=""),K338=""),"",K338-(INT($Y338/18)+IF(INDEX('Tournament Setup'!$AI:$AI,MATCH($A338,'Tournament Setup'!$A:$A,0))&lt;=MOD($Y338,18),1,0)))</f>
      </c>
      <c r="AF338" t="e">
        <f>IF(OR(OR($A338="",$D338=""),L338=""),"",L338-(INT($Y338/18)+IF(INDEX('Tournament Setup'!$AJ:$AJ,MATCH($A338,'Tournament Setup'!$A:$A,0))&lt;=MOD($Y338,18),1,0)))</f>
      </c>
      <c r="AG338" t="e">
        <f>IF(OR(OR($A338="",$D338=""),M338=""),"",M338-(INT($Y338/18)+IF(INDEX('Tournament Setup'!$AK:$AK,MATCH($A338,'Tournament Setup'!$A:$A,0))&lt;=MOD($Y338,18),1,0)))</f>
      </c>
      <c r="AH338" t="e">
        <f>IF(OR(OR($A338="",$D338=""),N338=""),"",N338-(INT($Y338/18)+IF(INDEX('Tournament Setup'!$AL:$AL,MATCH($A338,'Tournament Setup'!$A:$A,0))&lt;=MOD($Y338,18),1,0)))</f>
      </c>
      <c r="AI338" t="e">
        <f>IF(OR(OR($A338="",$D338=""),O338=""),"",O338-(INT($Y338/18)+IF(INDEX('Tournament Setup'!$AM:$AM,MATCH($A338,'Tournament Setup'!$A:$A,0))&lt;=MOD($Y338,18),1,0)))</f>
      </c>
      <c r="AJ338" t="e">
        <f>IF(OR(OR($A338="",$D338=""),P338=""),"",P338-(INT($Y338/18)+IF(INDEX('Tournament Setup'!$AN:$AN,MATCH($A338,'Tournament Setup'!$A:$A,0))&lt;=MOD($Y338,18),1,0)))</f>
      </c>
      <c r="AK338" t="e">
        <f>IF(OR(OR($A338="",$D338=""),Q338=""),"",Q338-(INT($Y338/18)+IF(INDEX('Tournament Setup'!$AO:$AO,MATCH($A338,'Tournament Setup'!$A:$A,0))&lt;=MOD($Y338,18),1,0)))</f>
      </c>
      <c r="AL338" t="e">
        <f>IF(OR(OR($A338="",$D338=""),R338=""),"",R338-(INT($Y338/18)+IF(INDEX('Tournament Setup'!$AP:$AP,MATCH($A338,'Tournament Setup'!$A:$A,0))&lt;=MOD($Y338,18),1,0)))</f>
      </c>
      <c r="AM338" t="e">
        <f>IF(OR(OR($A338="",$D338=""),S338=""),"",S338-(INT($Y338/18)+IF(INDEX('Tournament Setup'!$AQ:$AQ,MATCH($A338,'Tournament Setup'!$A:$A,0))&lt;=MOD($Y338,18),1,0)))</f>
      </c>
      <c r="AN338" t="e">
        <f>IF(OR(OR($A338="",$D338=""),T338=""),"",T338-(INT($Y338/18)+IF(INDEX('Tournament Setup'!$AR:$AR,MATCH($A338,'Tournament Setup'!$A:$A,0))&lt;=MOD($Y338,18),1,0)))</f>
      </c>
      <c r="AO338" t="e">
        <f>IF(OR(OR($A338="",$D338=""),U338=""),"",U338-(INT($Y338/18)+IF(INDEX('Tournament Setup'!$AS:$AS,MATCH($A338,'Tournament Setup'!$A:$A,0))&lt;=MOD($Y338,18),1,0)))</f>
      </c>
      <c r="AP338" t="e">
        <f>IF(OR(OR($A338="",$D338=""),V338=""),"",V338-(INT($Y338/18)+IF(INDEX('Tournament Setup'!$AT:$AT,MATCH($A338,'Tournament Setup'!$A:$A,0))&lt;=MOD($Y338,18),1,0)))</f>
      </c>
      <c r="AQ338" t="e">
        <f>IF(OR(OR($A338="",$D338=""),W338=""),"",W338-(INT($Y338/18)+IF(INDEX('Tournament Setup'!$AU:$AU,MATCH($A338,'Tournament Setup'!$A:$A,0))&lt;=MOD($Y338,18),1,0)))</f>
      </c>
    </row>
    <row r="339">
      <c r="X339" t="e">
        <f>IF(OR($A339="",$D339=""),"",SUM(F339:W339))</f>
      </c>
      <c r="Y339" t="e">
        <f>IF(OR($A339="",$D339=""),"",IF(INDEX('Tournament Setup'!$F:$F,MATCH($A339,'Tournament Setup'!$A:$A,0))="Net",ROUND(($E339-_xlfn.MINIFS($E$2:$E$401,$A$2:$A$401,$A339,$B$2:$B$401,$B339))*INDEX('Tournament Setup'!$G:$G,MATCH($A339,'Tournament Setup'!$A:$A,0))/100,0),0))</f>
      </c>
      <c r="Z339" t="e">
        <f>IF(OR(OR($A339="",$D339=""),F339=""),"",F339-(INT($Y339/18)+IF(INDEX('Tournament Setup'!$AD:$AD,MATCH($A339,'Tournament Setup'!$A:$A,0))&lt;=MOD($Y339,18),1,0)))</f>
      </c>
      <c r="AA339" t="e">
        <f>IF(OR(OR($A339="",$D339=""),G339=""),"",G339-(INT($Y339/18)+IF(INDEX('Tournament Setup'!$AE:$AE,MATCH($A339,'Tournament Setup'!$A:$A,0))&lt;=MOD($Y339,18),1,0)))</f>
      </c>
      <c r="AB339" t="e">
        <f>IF(OR(OR($A339="",$D339=""),H339=""),"",H339-(INT($Y339/18)+IF(INDEX('Tournament Setup'!$AF:$AF,MATCH($A339,'Tournament Setup'!$A:$A,0))&lt;=MOD($Y339,18),1,0)))</f>
      </c>
      <c r="AC339" t="e">
        <f>IF(OR(OR($A339="",$D339=""),I339=""),"",I339-(INT($Y339/18)+IF(INDEX('Tournament Setup'!$AG:$AG,MATCH($A339,'Tournament Setup'!$A:$A,0))&lt;=MOD($Y339,18),1,0)))</f>
      </c>
      <c r="AD339" t="e">
        <f>IF(OR(OR($A339="",$D339=""),J339=""),"",J339-(INT($Y339/18)+IF(INDEX('Tournament Setup'!$AH:$AH,MATCH($A339,'Tournament Setup'!$A:$A,0))&lt;=MOD($Y339,18),1,0)))</f>
      </c>
      <c r="AE339" t="e">
        <f>IF(OR(OR($A339="",$D339=""),K339=""),"",K339-(INT($Y339/18)+IF(INDEX('Tournament Setup'!$AI:$AI,MATCH($A339,'Tournament Setup'!$A:$A,0))&lt;=MOD($Y339,18),1,0)))</f>
      </c>
      <c r="AF339" t="e">
        <f>IF(OR(OR($A339="",$D339=""),L339=""),"",L339-(INT($Y339/18)+IF(INDEX('Tournament Setup'!$AJ:$AJ,MATCH($A339,'Tournament Setup'!$A:$A,0))&lt;=MOD($Y339,18),1,0)))</f>
      </c>
      <c r="AG339" t="e">
        <f>IF(OR(OR($A339="",$D339=""),M339=""),"",M339-(INT($Y339/18)+IF(INDEX('Tournament Setup'!$AK:$AK,MATCH($A339,'Tournament Setup'!$A:$A,0))&lt;=MOD($Y339,18),1,0)))</f>
      </c>
      <c r="AH339" t="e">
        <f>IF(OR(OR($A339="",$D339=""),N339=""),"",N339-(INT($Y339/18)+IF(INDEX('Tournament Setup'!$AL:$AL,MATCH($A339,'Tournament Setup'!$A:$A,0))&lt;=MOD($Y339,18),1,0)))</f>
      </c>
      <c r="AI339" t="e">
        <f>IF(OR(OR($A339="",$D339=""),O339=""),"",O339-(INT($Y339/18)+IF(INDEX('Tournament Setup'!$AM:$AM,MATCH($A339,'Tournament Setup'!$A:$A,0))&lt;=MOD($Y339,18),1,0)))</f>
      </c>
      <c r="AJ339" t="e">
        <f>IF(OR(OR($A339="",$D339=""),P339=""),"",P339-(INT($Y339/18)+IF(INDEX('Tournament Setup'!$AN:$AN,MATCH($A339,'Tournament Setup'!$A:$A,0))&lt;=MOD($Y339,18),1,0)))</f>
      </c>
      <c r="AK339" t="e">
        <f>IF(OR(OR($A339="",$D339=""),Q339=""),"",Q339-(INT($Y339/18)+IF(INDEX('Tournament Setup'!$AO:$AO,MATCH($A339,'Tournament Setup'!$A:$A,0))&lt;=MOD($Y339,18),1,0)))</f>
      </c>
      <c r="AL339" t="e">
        <f>IF(OR(OR($A339="",$D339=""),R339=""),"",R339-(INT($Y339/18)+IF(INDEX('Tournament Setup'!$AP:$AP,MATCH($A339,'Tournament Setup'!$A:$A,0))&lt;=MOD($Y339,18),1,0)))</f>
      </c>
      <c r="AM339" t="e">
        <f>IF(OR(OR($A339="",$D339=""),S339=""),"",S339-(INT($Y339/18)+IF(INDEX('Tournament Setup'!$AQ:$AQ,MATCH($A339,'Tournament Setup'!$A:$A,0))&lt;=MOD($Y339,18),1,0)))</f>
      </c>
      <c r="AN339" t="e">
        <f>IF(OR(OR($A339="",$D339=""),T339=""),"",T339-(INT($Y339/18)+IF(INDEX('Tournament Setup'!$AR:$AR,MATCH($A339,'Tournament Setup'!$A:$A,0))&lt;=MOD($Y339,18),1,0)))</f>
      </c>
      <c r="AO339" t="e">
        <f>IF(OR(OR($A339="",$D339=""),U339=""),"",U339-(INT($Y339/18)+IF(INDEX('Tournament Setup'!$AS:$AS,MATCH($A339,'Tournament Setup'!$A:$A,0))&lt;=MOD($Y339,18),1,0)))</f>
      </c>
      <c r="AP339" t="e">
        <f>IF(OR(OR($A339="",$D339=""),V339=""),"",V339-(INT($Y339/18)+IF(INDEX('Tournament Setup'!$AT:$AT,MATCH($A339,'Tournament Setup'!$A:$A,0))&lt;=MOD($Y339,18),1,0)))</f>
      </c>
      <c r="AQ339" t="e">
        <f>IF(OR(OR($A339="",$D339=""),W339=""),"",W339-(INT($Y339/18)+IF(INDEX('Tournament Setup'!$AU:$AU,MATCH($A339,'Tournament Setup'!$A:$A,0))&lt;=MOD($Y339,18),1,0)))</f>
      </c>
    </row>
    <row r="340">
      <c r="X340" t="e">
        <f>IF(OR($A340="",$D340=""),"",SUM(F340:W340))</f>
      </c>
      <c r="Y340" t="e">
        <f>IF(OR($A340="",$D340=""),"",IF(INDEX('Tournament Setup'!$F:$F,MATCH($A340,'Tournament Setup'!$A:$A,0))="Net",ROUND(($E340-_xlfn.MINIFS($E$2:$E$401,$A$2:$A$401,$A340,$B$2:$B$401,$B340))*INDEX('Tournament Setup'!$G:$G,MATCH($A340,'Tournament Setup'!$A:$A,0))/100,0),0))</f>
      </c>
      <c r="Z340" t="e">
        <f>IF(OR(OR($A340="",$D340=""),F340=""),"",F340-(INT($Y340/18)+IF(INDEX('Tournament Setup'!$AD:$AD,MATCH($A340,'Tournament Setup'!$A:$A,0))&lt;=MOD($Y340,18),1,0)))</f>
      </c>
      <c r="AA340" t="e">
        <f>IF(OR(OR($A340="",$D340=""),G340=""),"",G340-(INT($Y340/18)+IF(INDEX('Tournament Setup'!$AE:$AE,MATCH($A340,'Tournament Setup'!$A:$A,0))&lt;=MOD($Y340,18),1,0)))</f>
      </c>
      <c r="AB340" t="e">
        <f>IF(OR(OR($A340="",$D340=""),H340=""),"",H340-(INT($Y340/18)+IF(INDEX('Tournament Setup'!$AF:$AF,MATCH($A340,'Tournament Setup'!$A:$A,0))&lt;=MOD($Y340,18),1,0)))</f>
      </c>
      <c r="AC340" t="e">
        <f>IF(OR(OR($A340="",$D340=""),I340=""),"",I340-(INT($Y340/18)+IF(INDEX('Tournament Setup'!$AG:$AG,MATCH($A340,'Tournament Setup'!$A:$A,0))&lt;=MOD($Y340,18),1,0)))</f>
      </c>
      <c r="AD340" t="e">
        <f>IF(OR(OR($A340="",$D340=""),J340=""),"",J340-(INT($Y340/18)+IF(INDEX('Tournament Setup'!$AH:$AH,MATCH($A340,'Tournament Setup'!$A:$A,0))&lt;=MOD($Y340,18),1,0)))</f>
      </c>
      <c r="AE340" t="e">
        <f>IF(OR(OR($A340="",$D340=""),K340=""),"",K340-(INT($Y340/18)+IF(INDEX('Tournament Setup'!$AI:$AI,MATCH($A340,'Tournament Setup'!$A:$A,0))&lt;=MOD($Y340,18),1,0)))</f>
      </c>
      <c r="AF340" t="e">
        <f>IF(OR(OR($A340="",$D340=""),L340=""),"",L340-(INT($Y340/18)+IF(INDEX('Tournament Setup'!$AJ:$AJ,MATCH($A340,'Tournament Setup'!$A:$A,0))&lt;=MOD($Y340,18),1,0)))</f>
      </c>
      <c r="AG340" t="e">
        <f>IF(OR(OR($A340="",$D340=""),M340=""),"",M340-(INT($Y340/18)+IF(INDEX('Tournament Setup'!$AK:$AK,MATCH($A340,'Tournament Setup'!$A:$A,0))&lt;=MOD($Y340,18),1,0)))</f>
      </c>
      <c r="AH340" t="e">
        <f>IF(OR(OR($A340="",$D340=""),N340=""),"",N340-(INT($Y340/18)+IF(INDEX('Tournament Setup'!$AL:$AL,MATCH($A340,'Tournament Setup'!$A:$A,0))&lt;=MOD($Y340,18),1,0)))</f>
      </c>
      <c r="AI340" t="e">
        <f>IF(OR(OR($A340="",$D340=""),O340=""),"",O340-(INT($Y340/18)+IF(INDEX('Tournament Setup'!$AM:$AM,MATCH($A340,'Tournament Setup'!$A:$A,0))&lt;=MOD($Y340,18),1,0)))</f>
      </c>
      <c r="AJ340" t="e">
        <f>IF(OR(OR($A340="",$D340=""),P340=""),"",P340-(INT($Y340/18)+IF(INDEX('Tournament Setup'!$AN:$AN,MATCH($A340,'Tournament Setup'!$A:$A,0))&lt;=MOD($Y340,18),1,0)))</f>
      </c>
      <c r="AK340" t="e">
        <f>IF(OR(OR($A340="",$D340=""),Q340=""),"",Q340-(INT($Y340/18)+IF(INDEX('Tournament Setup'!$AO:$AO,MATCH($A340,'Tournament Setup'!$A:$A,0))&lt;=MOD($Y340,18),1,0)))</f>
      </c>
      <c r="AL340" t="e">
        <f>IF(OR(OR($A340="",$D340=""),R340=""),"",R340-(INT($Y340/18)+IF(INDEX('Tournament Setup'!$AP:$AP,MATCH($A340,'Tournament Setup'!$A:$A,0))&lt;=MOD($Y340,18),1,0)))</f>
      </c>
      <c r="AM340" t="e">
        <f>IF(OR(OR($A340="",$D340=""),S340=""),"",S340-(INT($Y340/18)+IF(INDEX('Tournament Setup'!$AQ:$AQ,MATCH($A340,'Tournament Setup'!$A:$A,0))&lt;=MOD($Y340,18),1,0)))</f>
      </c>
      <c r="AN340" t="e">
        <f>IF(OR(OR($A340="",$D340=""),T340=""),"",T340-(INT($Y340/18)+IF(INDEX('Tournament Setup'!$AR:$AR,MATCH($A340,'Tournament Setup'!$A:$A,0))&lt;=MOD($Y340,18),1,0)))</f>
      </c>
      <c r="AO340" t="e">
        <f>IF(OR(OR($A340="",$D340=""),U340=""),"",U340-(INT($Y340/18)+IF(INDEX('Tournament Setup'!$AS:$AS,MATCH($A340,'Tournament Setup'!$A:$A,0))&lt;=MOD($Y340,18),1,0)))</f>
      </c>
      <c r="AP340" t="e">
        <f>IF(OR(OR($A340="",$D340=""),V340=""),"",V340-(INT($Y340/18)+IF(INDEX('Tournament Setup'!$AT:$AT,MATCH($A340,'Tournament Setup'!$A:$A,0))&lt;=MOD($Y340,18),1,0)))</f>
      </c>
      <c r="AQ340" t="e">
        <f>IF(OR(OR($A340="",$D340=""),W340=""),"",W340-(INT($Y340/18)+IF(INDEX('Tournament Setup'!$AU:$AU,MATCH($A340,'Tournament Setup'!$A:$A,0))&lt;=MOD($Y340,18),1,0)))</f>
      </c>
    </row>
    <row r="341">
      <c r="X341" t="e">
        <f>IF(OR($A341="",$D341=""),"",SUM(F341:W341))</f>
      </c>
      <c r="Y341" t="e">
        <f>IF(OR($A341="",$D341=""),"",IF(INDEX('Tournament Setup'!$F:$F,MATCH($A341,'Tournament Setup'!$A:$A,0))="Net",ROUND(($E341-_xlfn.MINIFS($E$2:$E$401,$A$2:$A$401,$A341,$B$2:$B$401,$B341))*INDEX('Tournament Setup'!$G:$G,MATCH($A341,'Tournament Setup'!$A:$A,0))/100,0),0))</f>
      </c>
      <c r="Z341" t="e">
        <f>IF(OR(OR($A341="",$D341=""),F341=""),"",F341-(INT($Y341/18)+IF(INDEX('Tournament Setup'!$AD:$AD,MATCH($A341,'Tournament Setup'!$A:$A,0))&lt;=MOD($Y341,18),1,0)))</f>
      </c>
      <c r="AA341" t="e">
        <f>IF(OR(OR($A341="",$D341=""),G341=""),"",G341-(INT($Y341/18)+IF(INDEX('Tournament Setup'!$AE:$AE,MATCH($A341,'Tournament Setup'!$A:$A,0))&lt;=MOD($Y341,18),1,0)))</f>
      </c>
      <c r="AB341" t="e">
        <f>IF(OR(OR($A341="",$D341=""),H341=""),"",H341-(INT($Y341/18)+IF(INDEX('Tournament Setup'!$AF:$AF,MATCH($A341,'Tournament Setup'!$A:$A,0))&lt;=MOD($Y341,18),1,0)))</f>
      </c>
      <c r="AC341" t="e">
        <f>IF(OR(OR($A341="",$D341=""),I341=""),"",I341-(INT($Y341/18)+IF(INDEX('Tournament Setup'!$AG:$AG,MATCH($A341,'Tournament Setup'!$A:$A,0))&lt;=MOD($Y341,18),1,0)))</f>
      </c>
      <c r="AD341" t="e">
        <f>IF(OR(OR($A341="",$D341=""),J341=""),"",J341-(INT($Y341/18)+IF(INDEX('Tournament Setup'!$AH:$AH,MATCH($A341,'Tournament Setup'!$A:$A,0))&lt;=MOD($Y341,18),1,0)))</f>
      </c>
      <c r="AE341" t="e">
        <f>IF(OR(OR($A341="",$D341=""),K341=""),"",K341-(INT($Y341/18)+IF(INDEX('Tournament Setup'!$AI:$AI,MATCH($A341,'Tournament Setup'!$A:$A,0))&lt;=MOD($Y341,18),1,0)))</f>
      </c>
      <c r="AF341" t="e">
        <f>IF(OR(OR($A341="",$D341=""),L341=""),"",L341-(INT($Y341/18)+IF(INDEX('Tournament Setup'!$AJ:$AJ,MATCH($A341,'Tournament Setup'!$A:$A,0))&lt;=MOD($Y341,18),1,0)))</f>
      </c>
      <c r="AG341" t="e">
        <f>IF(OR(OR($A341="",$D341=""),M341=""),"",M341-(INT($Y341/18)+IF(INDEX('Tournament Setup'!$AK:$AK,MATCH($A341,'Tournament Setup'!$A:$A,0))&lt;=MOD($Y341,18),1,0)))</f>
      </c>
      <c r="AH341" t="e">
        <f>IF(OR(OR($A341="",$D341=""),N341=""),"",N341-(INT($Y341/18)+IF(INDEX('Tournament Setup'!$AL:$AL,MATCH($A341,'Tournament Setup'!$A:$A,0))&lt;=MOD($Y341,18),1,0)))</f>
      </c>
      <c r="AI341" t="e">
        <f>IF(OR(OR($A341="",$D341=""),O341=""),"",O341-(INT($Y341/18)+IF(INDEX('Tournament Setup'!$AM:$AM,MATCH($A341,'Tournament Setup'!$A:$A,0))&lt;=MOD($Y341,18),1,0)))</f>
      </c>
      <c r="AJ341" t="e">
        <f>IF(OR(OR($A341="",$D341=""),P341=""),"",P341-(INT($Y341/18)+IF(INDEX('Tournament Setup'!$AN:$AN,MATCH($A341,'Tournament Setup'!$A:$A,0))&lt;=MOD($Y341,18),1,0)))</f>
      </c>
      <c r="AK341" t="e">
        <f>IF(OR(OR($A341="",$D341=""),Q341=""),"",Q341-(INT($Y341/18)+IF(INDEX('Tournament Setup'!$AO:$AO,MATCH($A341,'Tournament Setup'!$A:$A,0))&lt;=MOD($Y341,18),1,0)))</f>
      </c>
      <c r="AL341" t="e">
        <f>IF(OR(OR($A341="",$D341=""),R341=""),"",R341-(INT($Y341/18)+IF(INDEX('Tournament Setup'!$AP:$AP,MATCH($A341,'Tournament Setup'!$A:$A,0))&lt;=MOD($Y341,18),1,0)))</f>
      </c>
      <c r="AM341" t="e">
        <f>IF(OR(OR($A341="",$D341=""),S341=""),"",S341-(INT($Y341/18)+IF(INDEX('Tournament Setup'!$AQ:$AQ,MATCH($A341,'Tournament Setup'!$A:$A,0))&lt;=MOD($Y341,18),1,0)))</f>
      </c>
      <c r="AN341" t="e">
        <f>IF(OR(OR($A341="",$D341=""),T341=""),"",T341-(INT($Y341/18)+IF(INDEX('Tournament Setup'!$AR:$AR,MATCH($A341,'Tournament Setup'!$A:$A,0))&lt;=MOD($Y341,18),1,0)))</f>
      </c>
      <c r="AO341" t="e">
        <f>IF(OR(OR($A341="",$D341=""),U341=""),"",U341-(INT($Y341/18)+IF(INDEX('Tournament Setup'!$AS:$AS,MATCH($A341,'Tournament Setup'!$A:$A,0))&lt;=MOD($Y341,18),1,0)))</f>
      </c>
      <c r="AP341" t="e">
        <f>IF(OR(OR($A341="",$D341=""),V341=""),"",V341-(INT($Y341/18)+IF(INDEX('Tournament Setup'!$AT:$AT,MATCH($A341,'Tournament Setup'!$A:$A,0))&lt;=MOD($Y341,18),1,0)))</f>
      </c>
      <c r="AQ341" t="e">
        <f>IF(OR(OR($A341="",$D341=""),W341=""),"",W341-(INT($Y341/18)+IF(INDEX('Tournament Setup'!$AU:$AU,MATCH($A341,'Tournament Setup'!$A:$A,0))&lt;=MOD($Y341,18),1,0)))</f>
      </c>
    </row>
    <row r="342">
      <c r="X342" t="e">
        <f>IF(OR($A342="",$D342=""),"",SUM(F342:W342))</f>
      </c>
      <c r="Y342" t="e">
        <f>IF(OR($A342="",$D342=""),"",IF(INDEX('Tournament Setup'!$F:$F,MATCH($A342,'Tournament Setup'!$A:$A,0))="Net",ROUND(($E342-_xlfn.MINIFS($E$2:$E$401,$A$2:$A$401,$A342,$B$2:$B$401,$B342))*INDEX('Tournament Setup'!$G:$G,MATCH($A342,'Tournament Setup'!$A:$A,0))/100,0),0))</f>
      </c>
      <c r="Z342" t="e">
        <f>IF(OR(OR($A342="",$D342=""),F342=""),"",F342-(INT($Y342/18)+IF(INDEX('Tournament Setup'!$AD:$AD,MATCH($A342,'Tournament Setup'!$A:$A,0))&lt;=MOD($Y342,18),1,0)))</f>
      </c>
      <c r="AA342" t="e">
        <f>IF(OR(OR($A342="",$D342=""),G342=""),"",G342-(INT($Y342/18)+IF(INDEX('Tournament Setup'!$AE:$AE,MATCH($A342,'Tournament Setup'!$A:$A,0))&lt;=MOD($Y342,18),1,0)))</f>
      </c>
      <c r="AB342" t="e">
        <f>IF(OR(OR($A342="",$D342=""),H342=""),"",H342-(INT($Y342/18)+IF(INDEX('Tournament Setup'!$AF:$AF,MATCH($A342,'Tournament Setup'!$A:$A,0))&lt;=MOD($Y342,18),1,0)))</f>
      </c>
      <c r="AC342" t="e">
        <f>IF(OR(OR($A342="",$D342=""),I342=""),"",I342-(INT($Y342/18)+IF(INDEX('Tournament Setup'!$AG:$AG,MATCH($A342,'Tournament Setup'!$A:$A,0))&lt;=MOD($Y342,18),1,0)))</f>
      </c>
      <c r="AD342" t="e">
        <f>IF(OR(OR($A342="",$D342=""),J342=""),"",J342-(INT($Y342/18)+IF(INDEX('Tournament Setup'!$AH:$AH,MATCH($A342,'Tournament Setup'!$A:$A,0))&lt;=MOD($Y342,18),1,0)))</f>
      </c>
      <c r="AE342" t="e">
        <f>IF(OR(OR($A342="",$D342=""),K342=""),"",K342-(INT($Y342/18)+IF(INDEX('Tournament Setup'!$AI:$AI,MATCH($A342,'Tournament Setup'!$A:$A,0))&lt;=MOD($Y342,18),1,0)))</f>
      </c>
      <c r="AF342" t="e">
        <f>IF(OR(OR($A342="",$D342=""),L342=""),"",L342-(INT($Y342/18)+IF(INDEX('Tournament Setup'!$AJ:$AJ,MATCH($A342,'Tournament Setup'!$A:$A,0))&lt;=MOD($Y342,18),1,0)))</f>
      </c>
      <c r="AG342" t="e">
        <f>IF(OR(OR($A342="",$D342=""),M342=""),"",M342-(INT($Y342/18)+IF(INDEX('Tournament Setup'!$AK:$AK,MATCH($A342,'Tournament Setup'!$A:$A,0))&lt;=MOD($Y342,18),1,0)))</f>
      </c>
      <c r="AH342" t="e">
        <f>IF(OR(OR($A342="",$D342=""),N342=""),"",N342-(INT($Y342/18)+IF(INDEX('Tournament Setup'!$AL:$AL,MATCH($A342,'Tournament Setup'!$A:$A,0))&lt;=MOD($Y342,18),1,0)))</f>
      </c>
      <c r="AI342" t="e">
        <f>IF(OR(OR($A342="",$D342=""),O342=""),"",O342-(INT($Y342/18)+IF(INDEX('Tournament Setup'!$AM:$AM,MATCH($A342,'Tournament Setup'!$A:$A,0))&lt;=MOD($Y342,18),1,0)))</f>
      </c>
      <c r="AJ342" t="e">
        <f>IF(OR(OR($A342="",$D342=""),P342=""),"",P342-(INT($Y342/18)+IF(INDEX('Tournament Setup'!$AN:$AN,MATCH($A342,'Tournament Setup'!$A:$A,0))&lt;=MOD($Y342,18),1,0)))</f>
      </c>
      <c r="AK342" t="e">
        <f>IF(OR(OR($A342="",$D342=""),Q342=""),"",Q342-(INT($Y342/18)+IF(INDEX('Tournament Setup'!$AO:$AO,MATCH($A342,'Tournament Setup'!$A:$A,0))&lt;=MOD($Y342,18),1,0)))</f>
      </c>
      <c r="AL342" t="e">
        <f>IF(OR(OR($A342="",$D342=""),R342=""),"",R342-(INT($Y342/18)+IF(INDEX('Tournament Setup'!$AP:$AP,MATCH($A342,'Tournament Setup'!$A:$A,0))&lt;=MOD($Y342,18),1,0)))</f>
      </c>
      <c r="AM342" t="e">
        <f>IF(OR(OR($A342="",$D342=""),S342=""),"",S342-(INT($Y342/18)+IF(INDEX('Tournament Setup'!$AQ:$AQ,MATCH($A342,'Tournament Setup'!$A:$A,0))&lt;=MOD($Y342,18),1,0)))</f>
      </c>
      <c r="AN342" t="e">
        <f>IF(OR(OR($A342="",$D342=""),T342=""),"",T342-(INT($Y342/18)+IF(INDEX('Tournament Setup'!$AR:$AR,MATCH($A342,'Tournament Setup'!$A:$A,0))&lt;=MOD($Y342,18),1,0)))</f>
      </c>
      <c r="AO342" t="e">
        <f>IF(OR(OR($A342="",$D342=""),U342=""),"",U342-(INT($Y342/18)+IF(INDEX('Tournament Setup'!$AS:$AS,MATCH($A342,'Tournament Setup'!$A:$A,0))&lt;=MOD($Y342,18),1,0)))</f>
      </c>
      <c r="AP342" t="e">
        <f>IF(OR(OR($A342="",$D342=""),V342=""),"",V342-(INT($Y342/18)+IF(INDEX('Tournament Setup'!$AT:$AT,MATCH($A342,'Tournament Setup'!$A:$A,0))&lt;=MOD($Y342,18),1,0)))</f>
      </c>
      <c r="AQ342" t="e">
        <f>IF(OR(OR($A342="",$D342=""),W342=""),"",W342-(INT($Y342/18)+IF(INDEX('Tournament Setup'!$AU:$AU,MATCH($A342,'Tournament Setup'!$A:$A,0))&lt;=MOD($Y342,18),1,0)))</f>
      </c>
    </row>
    <row r="343">
      <c r="X343" t="e">
        <f>IF(OR($A343="",$D343=""),"",SUM(F343:W343))</f>
      </c>
      <c r="Y343" t="e">
        <f>IF(OR($A343="",$D343=""),"",IF(INDEX('Tournament Setup'!$F:$F,MATCH($A343,'Tournament Setup'!$A:$A,0))="Net",ROUND(($E343-_xlfn.MINIFS($E$2:$E$401,$A$2:$A$401,$A343,$B$2:$B$401,$B343))*INDEX('Tournament Setup'!$G:$G,MATCH($A343,'Tournament Setup'!$A:$A,0))/100,0),0))</f>
      </c>
      <c r="Z343" t="e">
        <f>IF(OR(OR($A343="",$D343=""),F343=""),"",F343-(INT($Y343/18)+IF(INDEX('Tournament Setup'!$AD:$AD,MATCH($A343,'Tournament Setup'!$A:$A,0))&lt;=MOD($Y343,18),1,0)))</f>
      </c>
      <c r="AA343" t="e">
        <f>IF(OR(OR($A343="",$D343=""),G343=""),"",G343-(INT($Y343/18)+IF(INDEX('Tournament Setup'!$AE:$AE,MATCH($A343,'Tournament Setup'!$A:$A,0))&lt;=MOD($Y343,18),1,0)))</f>
      </c>
      <c r="AB343" t="e">
        <f>IF(OR(OR($A343="",$D343=""),H343=""),"",H343-(INT($Y343/18)+IF(INDEX('Tournament Setup'!$AF:$AF,MATCH($A343,'Tournament Setup'!$A:$A,0))&lt;=MOD($Y343,18),1,0)))</f>
      </c>
      <c r="AC343" t="e">
        <f>IF(OR(OR($A343="",$D343=""),I343=""),"",I343-(INT($Y343/18)+IF(INDEX('Tournament Setup'!$AG:$AG,MATCH($A343,'Tournament Setup'!$A:$A,0))&lt;=MOD($Y343,18),1,0)))</f>
      </c>
      <c r="AD343" t="e">
        <f>IF(OR(OR($A343="",$D343=""),J343=""),"",J343-(INT($Y343/18)+IF(INDEX('Tournament Setup'!$AH:$AH,MATCH($A343,'Tournament Setup'!$A:$A,0))&lt;=MOD($Y343,18),1,0)))</f>
      </c>
      <c r="AE343" t="e">
        <f>IF(OR(OR($A343="",$D343=""),K343=""),"",K343-(INT($Y343/18)+IF(INDEX('Tournament Setup'!$AI:$AI,MATCH($A343,'Tournament Setup'!$A:$A,0))&lt;=MOD($Y343,18),1,0)))</f>
      </c>
      <c r="AF343" t="e">
        <f>IF(OR(OR($A343="",$D343=""),L343=""),"",L343-(INT($Y343/18)+IF(INDEX('Tournament Setup'!$AJ:$AJ,MATCH($A343,'Tournament Setup'!$A:$A,0))&lt;=MOD($Y343,18),1,0)))</f>
      </c>
      <c r="AG343" t="e">
        <f>IF(OR(OR($A343="",$D343=""),M343=""),"",M343-(INT($Y343/18)+IF(INDEX('Tournament Setup'!$AK:$AK,MATCH($A343,'Tournament Setup'!$A:$A,0))&lt;=MOD($Y343,18),1,0)))</f>
      </c>
      <c r="AH343" t="e">
        <f>IF(OR(OR($A343="",$D343=""),N343=""),"",N343-(INT($Y343/18)+IF(INDEX('Tournament Setup'!$AL:$AL,MATCH($A343,'Tournament Setup'!$A:$A,0))&lt;=MOD($Y343,18),1,0)))</f>
      </c>
      <c r="AI343" t="e">
        <f>IF(OR(OR($A343="",$D343=""),O343=""),"",O343-(INT($Y343/18)+IF(INDEX('Tournament Setup'!$AM:$AM,MATCH($A343,'Tournament Setup'!$A:$A,0))&lt;=MOD($Y343,18),1,0)))</f>
      </c>
      <c r="AJ343" t="e">
        <f>IF(OR(OR($A343="",$D343=""),P343=""),"",P343-(INT($Y343/18)+IF(INDEX('Tournament Setup'!$AN:$AN,MATCH($A343,'Tournament Setup'!$A:$A,0))&lt;=MOD($Y343,18),1,0)))</f>
      </c>
      <c r="AK343" t="e">
        <f>IF(OR(OR($A343="",$D343=""),Q343=""),"",Q343-(INT($Y343/18)+IF(INDEX('Tournament Setup'!$AO:$AO,MATCH($A343,'Tournament Setup'!$A:$A,0))&lt;=MOD($Y343,18),1,0)))</f>
      </c>
      <c r="AL343" t="e">
        <f>IF(OR(OR($A343="",$D343=""),R343=""),"",R343-(INT($Y343/18)+IF(INDEX('Tournament Setup'!$AP:$AP,MATCH($A343,'Tournament Setup'!$A:$A,0))&lt;=MOD($Y343,18),1,0)))</f>
      </c>
      <c r="AM343" t="e">
        <f>IF(OR(OR($A343="",$D343=""),S343=""),"",S343-(INT($Y343/18)+IF(INDEX('Tournament Setup'!$AQ:$AQ,MATCH($A343,'Tournament Setup'!$A:$A,0))&lt;=MOD($Y343,18),1,0)))</f>
      </c>
      <c r="AN343" t="e">
        <f>IF(OR(OR($A343="",$D343=""),T343=""),"",T343-(INT($Y343/18)+IF(INDEX('Tournament Setup'!$AR:$AR,MATCH($A343,'Tournament Setup'!$A:$A,0))&lt;=MOD($Y343,18),1,0)))</f>
      </c>
      <c r="AO343" t="e">
        <f>IF(OR(OR($A343="",$D343=""),U343=""),"",U343-(INT($Y343/18)+IF(INDEX('Tournament Setup'!$AS:$AS,MATCH($A343,'Tournament Setup'!$A:$A,0))&lt;=MOD($Y343,18),1,0)))</f>
      </c>
      <c r="AP343" t="e">
        <f>IF(OR(OR($A343="",$D343=""),V343=""),"",V343-(INT($Y343/18)+IF(INDEX('Tournament Setup'!$AT:$AT,MATCH($A343,'Tournament Setup'!$A:$A,0))&lt;=MOD($Y343,18),1,0)))</f>
      </c>
      <c r="AQ343" t="e">
        <f>IF(OR(OR($A343="",$D343=""),W343=""),"",W343-(INT($Y343/18)+IF(INDEX('Tournament Setup'!$AU:$AU,MATCH($A343,'Tournament Setup'!$A:$A,0))&lt;=MOD($Y343,18),1,0)))</f>
      </c>
    </row>
    <row r="344">
      <c r="X344" t="e">
        <f>IF(OR($A344="",$D344=""),"",SUM(F344:W344))</f>
      </c>
      <c r="Y344" t="e">
        <f>IF(OR($A344="",$D344=""),"",IF(INDEX('Tournament Setup'!$F:$F,MATCH($A344,'Tournament Setup'!$A:$A,0))="Net",ROUND(($E344-_xlfn.MINIFS($E$2:$E$401,$A$2:$A$401,$A344,$B$2:$B$401,$B344))*INDEX('Tournament Setup'!$G:$G,MATCH($A344,'Tournament Setup'!$A:$A,0))/100,0),0))</f>
      </c>
      <c r="Z344" t="e">
        <f>IF(OR(OR($A344="",$D344=""),F344=""),"",F344-(INT($Y344/18)+IF(INDEX('Tournament Setup'!$AD:$AD,MATCH($A344,'Tournament Setup'!$A:$A,0))&lt;=MOD($Y344,18),1,0)))</f>
      </c>
      <c r="AA344" t="e">
        <f>IF(OR(OR($A344="",$D344=""),G344=""),"",G344-(INT($Y344/18)+IF(INDEX('Tournament Setup'!$AE:$AE,MATCH($A344,'Tournament Setup'!$A:$A,0))&lt;=MOD($Y344,18),1,0)))</f>
      </c>
      <c r="AB344" t="e">
        <f>IF(OR(OR($A344="",$D344=""),H344=""),"",H344-(INT($Y344/18)+IF(INDEX('Tournament Setup'!$AF:$AF,MATCH($A344,'Tournament Setup'!$A:$A,0))&lt;=MOD($Y344,18),1,0)))</f>
      </c>
      <c r="AC344" t="e">
        <f>IF(OR(OR($A344="",$D344=""),I344=""),"",I344-(INT($Y344/18)+IF(INDEX('Tournament Setup'!$AG:$AG,MATCH($A344,'Tournament Setup'!$A:$A,0))&lt;=MOD($Y344,18),1,0)))</f>
      </c>
      <c r="AD344" t="e">
        <f>IF(OR(OR($A344="",$D344=""),J344=""),"",J344-(INT($Y344/18)+IF(INDEX('Tournament Setup'!$AH:$AH,MATCH($A344,'Tournament Setup'!$A:$A,0))&lt;=MOD($Y344,18),1,0)))</f>
      </c>
      <c r="AE344" t="e">
        <f>IF(OR(OR($A344="",$D344=""),K344=""),"",K344-(INT($Y344/18)+IF(INDEX('Tournament Setup'!$AI:$AI,MATCH($A344,'Tournament Setup'!$A:$A,0))&lt;=MOD($Y344,18),1,0)))</f>
      </c>
      <c r="AF344" t="e">
        <f>IF(OR(OR($A344="",$D344=""),L344=""),"",L344-(INT($Y344/18)+IF(INDEX('Tournament Setup'!$AJ:$AJ,MATCH($A344,'Tournament Setup'!$A:$A,0))&lt;=MOD($Y344,18),1,0)))</f>
      </c>
      <c r="AG344" t="e">
        <f>IF(OR(OR($A344="",$D344=""),M344=""),"",M344-(INT($Y344/18)+IF(INDEX('Tournament Setup'!$AK:$AK,MATCH($A344,'Tournament Setup'!$A:$A,0))&lt;=MOD($Y344,18),1,0)))</f>
      </c>
      <c r="AH344" t="e">
        <f>IF(OR(OR($A344="",$D344=""),N344=""),"",N344-(INT($Y344/18)+IF(INDEX('Tournament Setup'!$AL:$AL,MATCH($A344,'Tournament Setup'!$A:$A,0))&lt;=MOD($Y344,18),1,0)))</f>
      </c>
      <c r="AI344" t="e">
        <f>IF(OR(OR($A344="",$D344=""),O344=""),"",O344-(INT($Y344/18)+IF(INDEX('Tournament Setup'!$AM:$AM,MATCH($A344,'Tournament Setup'!$A:$A,0))&lt;=MOD($Y344,18),1,0)))</f>
      </c>
      <c r="AJ344" t="e">
        <f>IF(OR(OR($A344="",$D344=""),P344=""),"",P344-(INT($Y344/18)+IF(INDEX('Tournament Setup'!$AN:$AN,MATCH($A344,'Tournament Setup'!$A:$A,0))&lt;=MOD($Y344,18),1,0)))</f>
      </c>
      <c r="AK344" t="e">
        <f>IF(OR(OR($A344="",$D344=""),Q344=""),"",Q344-(INT($Y344/18)+IF(INDEX('Tournament Setup'!$AO:$AO,MATCH($A344,'Tournament Setup'!$A:$A,0))&lt;=MOD($Y344,18),1,0)))</f>
      </c>
      <c r="AL344" t="e">
        <f>IF(OR(OR($A344="",$D344=""),R344=""),"",R344-(INT($Y344/18)+IF(INDEX('Tournament Setup'!$AP:$AP,MATCH($A344,'Tournament Setup'!$A:$A,0))&lt;=MOD($Y344,18),1,0)))</f>
      </c>
      <c r="AM344" t="e">
        <f>IF(OR(OR($A344="",$D344=""),S344=""),"",S344-(INT($Y344/18)+IF(INDEX('Tournament Setup'!$AQ:$AQ,MATCH($A344,'Tournament Setup'!$A:$A,0))&lt;=MOD($Y344,18),1,0)))</f>
      </c>
      <c r="AN344" t="e">
        <f>IF(OR(OR($A344="",$D344=""),T344=""),"",T344-(INT($Y344/18)+IF(INDEX('Tournament Setup'!$AR:$AR,MATCH($A344,'Tournament Setup'!$A:$A,0))&lt;=MOD($Y344,18),1,0)))</f>
      </c>
      <c r="AO344" t="e">
        <f>IF(OR(OR($A344="",$D344=""),U344=""),"",U344-(INT($Y344/18)+IF(INDEX('Tournament Setup'!$AS:$AS,MATCH($A344,'Tournament Setup'!$A:$A,0))&lt;=MOD($Y344,18),1,0)))</f>
      </c>
      <c r="AP344" t="e">
        <f>IF(OR(OR($A344="",$D344=""),V344=""),"",V344-(INT($Y344/18)+IF(INDEX('Tournament Setup'!$AT:$AT,MATCH($A344,'Tournament Setup'!$A:$A,0))&lt;=MOD($Y344,18),1,0)))</f>
      </c>
      <c r="AQ344" t="e">
        <f>IF(OR(OR($A344="",$D344=""),W344=""),"",W344-(INT($Y344/18)+IF(INDEX('Tournament Setup'!$AU:$AU,MATCH($A344,'Tournament Setup'!$A:$A,0))&lt;=MOD($Y344,18),1,0)))</f>
      </c>
    </row>
    <row r="345">
      <c r="X345" t="e">
        <f>IF(OR($A345="",$D345=""),"",SUM(F345:W345))</f>
      </c>
      <c r="Y345" t="e">
        <f>IF(OR($A345="",$D345=""),"",IF(INDEX('Tournament Setup'!$F:$F,MATCH($A345,'Tournament Setup'!$A:$A,0))="Net",ROUND(($E345-_xlfn.MINIFS($E$2:$E$401,$A$2:$A$401,$A345,$B$2:$B$401,$B345))*INDEX('Tournament Setup'!$G:$G,MATCH($A345,'Tournament Setup'!$A:$A,0))/100,0),0))</f>
      </c>
      <c r="Z345" t="e">
        <f>IF(OR(OR($A345="",$D345=""),F345=""),"",F345-(INT($Y345/18)+IF(INDEX('Tournament Setup'!$AD:$AD,MATCH($A345,'Tournament Setup'!$A:$A,0))&lt;=MOD($Y345,18),1,0)))</f>
      </c>
      <c r="AA345" t="e">
        <f>IF(OR(OR($A345="",$D345=""),G345=""),"",G345-(INT($Y345/18)+IF(INDEX('Tournament Setup'!$AE:$AE,MATCH($A345,'Tournament Setup'!$A:$A,0))&lt;=MOD($Y345,18),1,0)))</f>
      </c>
      <c r="AB345" t="e">
        <f>IF(OR(OR($A345="",$D345=""),H345=""),"",H345-(INT($Y345/18)+IF(INDEX('Tournament Setup'!$AF:$AF,MATCH($A345,'Tournament Setup'!$A:$A,0))&lt;=MOD($Y345,18),1,0)))</f>
      </c>
      <c r="AC345" t="e">
        <f>IF(OR(OR($A345="",$D345=""),I345=""),"",I345-(INT($Y345/18)+IF(INDEX('Tournament Setup'!$AG:$AG,MATCH($A345,'Tournament Setup'!$A:$A,0))&lt;=MOD($Y345,18),1,0)))</f>
      </c>
      <c r="AD345" t="e">
        <f>IF(OR(OR($A345="",$D345=""),J345=""),"",J345-(INT($Y345/18)+IF(INDEX('Tournament Setup'!$AH:$AH,MATCH($A345,'Tournament Setup'!$A:$A,0))&lt;=MOD($Y345,18),1,0)))</f>
      </c>
      <c r="AE345" t="e">
        <f>IF(OR(OR($A345="",$D345=""),K345=""),"",K345-(INT($Y345/18)+IF(INDEX('Tournament Setup'!$AI:$AI,MATCH($A345,'Tournament Setup'!$A:$A,0))&lt;=MOD($Y345,18),1,0)))</f>
      </c>
      <c r="AF345" t="e">
        <f>IF(OR(OR($A345="",$D345=""),L345=""),"",L345-(INT($Y345/18)+IF(INDEX('Tournament Setup'!$AJ:$AJ,MATCH($A345,'Tournament Setup'!$A:$A,0))&lt;=MOD($Y345,18),1,0)))</f>
      </c>
      <c r="AG345" t="e">
        <f>IF(OR(OR($A345="",$D345=""),M345=""),"",M345-(INT($Y345/18)+IF(INDEX('Tournament Setup'!$AK:$AK,MATCH($A345,'Tournament Setup'!$A:$A,0))&lt;=MOD($Y345,18),1,0)))</f>
      </c>
      <c r="AH345" t="e">
        <f>IF(OR(OR($A345="",$D345=""),N345=""),"",N345-(INT($Y345/18)+IF(INDEX('Tournament Setup'!$AL:$AL,MATCH($A345,'Tournament Setup'!$A:$A,0))&lt;=MOD($Y345,18),1,0)))</f>
      </c>
      <c r="AI345" t="e">
        <f>IF(OR(OR($A345="",$D345=""),O345=""),"",O345-(INT($Y345/18)+IF(INDEX('Tournament Setup'!$AM:$AM,MATCH($A345,'Tournament Setup'!$A:$A,0))&lt;=MOD($Y345,18),1,0)))</f>
      </c>
      <c r="AJ345" t="e">
        <f>IF(OR(OR($A345="",$D345=""),P345=""),"",P345-(INT($Y345/18)+IF(INDEX('Tournament Setup'!$AN:$AN,MATCH($A345,'Tournament Setup'!$A:$A,0))&lt;=MOD($Y345,18),1,0)))</f>
      </c>
      <c r="AK345" t="e">
        <f>IF(OR(OR($A345="",$D345=""),Q345=""),"",Q345-(INT($Y345/18)+IF(INDEX('Tournament Setup'!$AO:$AO,MATCH($A345,'Tournament Setup'!$A:$A,0))&lt;=MOD($Y345,18),1,0)))</f>
      </c>
      <c r="AL345" t="e">
        <f>IF(OR(OR($A345="",$D345=""),R345=""),"",R345-(INT($Y345/18)+IF(INDEX('Tournament Setup'!$AP:$AP,MATCH($A345,'Tournament Setup'!$A:$A,0))&lt;=MOD($Y345,18),1,0)))</f>
      </c>
      <c r="AM345" t="e">
        <f>IF(OR(OR($A345="",$D345=""),S345=""),"",S345-(INT($Y345/18)+IF(INDEX('Tournament Setup'!$AQ:$AQ,MATCH($A345,'Tournament Setup'!$A:$A,0))&lt;=MOD($Y345,18),1,0)))</f>
      </c>
      <c r="AN345" t="e">
        <f>IF(OR(OR($A345="",$D345=""),T345=""),"",T345-(INT($Y345/18)+IF(INDEX('Tournament Setup'!$AR:$AR,MATCH($A345,'Tournament Setup'!$A:$A,0))&lt;=MOD($Y345,18),1,0)))</f>
      </c>
      <c r="AO345" t="e">
        <f>IF(OR(OR($A345="",$D345=""),U345=""),"",U345-(INT($Y345/18)+IF(INDEX('Tournament Setup'!$AS:$AS,MATCH($A345,'Tournament Setup'!$A:$A,0))&lt;=MOD($Y345,18),1,0)))</f>
      </c>
      <c r="AP345" t="e">
        <f>IF(OR(OR($A345="",$D345=""),V345=""),"",V345-(INT($Y345/18)+IF(INDEX('Tournament Setup'!$AT:$AT,MATCH($A345,'Tournament Setup'!$A:$A,0))&lt;=MOD($Y345,18),1,0)))</f>
      </c>
      <c r="AQ345" t="e">
        <f>IF(OR(OR($A345="",$D345=""),W345=""),"",W345-(INT($Y345/18)+IF(INDEX('Tournament Setup'!$AU:$AU,MATCH($A345,'Tournament Setup'!$A:$A,0))&lt;=MOD($Y345,18),1,0)))</f>
      </c>
    </row>
    <row r="346">
      <c r="X346" t="e">
        <f>IF(OR($A346="",$D346=""),"",SUM(F346:W346))</f>
      </c>
      <c r="Y346" t="e">
        <f>IF(OR($A346="",$D346=""),"",IF(INDEX('Tournament Setup'!$F:$F,MATCH($A346,'Tournament Setup'!$A:$A,0))="Net",ROUND(($E346-_xlfn.MINIFS($E$2:$E$401,$A$2:$A$401,$A346,$B$2:$B$401,$B346))*INDEX('Tournament Setup'!$G:$G,MATCH($A346,'Tournament Setup'!$A:$A,0))/100,0),0))</f>
      </c>
      <c r="Z346" t="e">
        <f>IF(OR(OR($A346="",$D346=""),F346=""),"",F346-(INT($Y346/18)+IF(INDEX('Tournament Setup'!$AD:$AD,MATCH($A346,'Tournament Setup'!$A:$A,0))&lt;=MOD($Y346,18),1,0)))</f>
      </c>
      <c r="AA346" t="e">
        <f>IF(OR(OR($A346="",$D346=""),G346=""),"",G346-(INT($Y346/18)+IF(INDEX('Tournament Setup'!$AE:$AE,MATCH($A346,'Tournament Setup'!$A:$A,0))&lt;=MOD($Y346,18),1,0)))</f>
      </c>
      <c r="AB346" t="e">
        <f>IF(OR(OR($A346="",$D346=""),H346=""),"",H346-(INT($Y346/18)+IF(INDEX('Tournament Setup'!$AF:$AF,MATCH($A346,'Tournament Setup'!$A:$A,0))&lt;=MOD($Y346,18),1,0)))</f>
      </c>
      <c r="AC346" t="e">
        <f>IF(OR(OR($A346="",$D346=""),I346=""),"",I346-(INT($Y346/18)+IF(INDEX('Tournament Setup'!$AG:$AG,MATCH($A346,'Tournament Setup'!$A:$A,0))&lt;=MOD($Y346,18),1,0)))</f>
      </c>
      <c r="AD346" t="e">
        <f>IF(OR(OR($A346="",$D346=""),J346=""),"",J346-(INT($Y346/18)+IF(INDEX('Tournament Setup'!$AH:$AH,MATCH($A346,'Tournament Setup'!$A:$A,0))&lt;=MOD($Y346,18),1,0)))</f>
      </c>
      <c r="AE346" t="e">
        <f>IF(OR(OR($A346="",$D346=""),K346=""),"",K346-(INT($Y346/18)+IF(INDEX('Tournament Setup'!$AI:$AI,MATCH($A346,'Tournament Setup'!$A:$A,0))&lt;=MOD($Y346,18),1,0)))</f>
      </c>
      <c r="AF346" t="e">
        <f>IF(OR(OR($A346="",$D346=""),L346=""),"",L346-(INT($Y346/18)+IF(INDEX('Tournament Setup'!$AJ:$AJ,MATCH($A346,'Tournament Setup'!$A:$A,0))&lt;=MOD($Y346,18),1,0)))</f>
      </c>
      <c r="AG346" t="e">
        <f>IF(OR(OR($A346="",$D346=""),M346=""),"",M346-(INT($Y346/18)+IF(INDEX('Tournament Setup'!$AK:$AK,MATCH($A346,'Tournament Setup'!$A:$A,0))&lt;=MOD($Y346,18),1,0)))</f>
      </c>
      <c r="AH346" t="e">
        <f>IF(OR(OR($A346="",$D346=""),N346=""),"",N346-(INT($Y346/18)+IF(INDEX('Tournament Setup'!$AL:$AL,MATCH($A346,'Tournament Setup'!$A:$A,0))&lt;=MOD($Y346,18),1,0)))</f>
      </c>
      <c r="AI346" t="e">
        <f>IF(OR(OR($A346="",$D346=""),O346=""),"",O346-(INT($Y346/18)+IF(INDEX('Tournament Setup'!$AM:$AM,MATCH($A346,'Tournament Setup'!$A:$A,0))&lt;=MOD($Y346,18),1,0)))</f>
      </c>
      <c r="AJ346" t="e">
        <f>IF(OR(OR($A346="",$D346=""),P346=""),"",P346-(INT($Y346/18)+IF(INDEX('Tournament Setup'!$AN:$AN,MATCH($A346,'Tournament Setup'!$A:$A,0))&lt;=MOD($Y346,18),1,0)))</f>
      </c>
      <c r="AK346" t="e">
        <f>IF(OR(OR($A346="",$D346=""),Q346=""),"",Q346-(INT($Y346/18)+IF(INDEX('Tournament Setup'!$AO:$AO,MATCH($A346,'Tournament Setup'!$A:$A,0))&lt;=MOD($Y346,18),1,0)))</f>
      </c>
      <c r="AL346" t="e">
        <f>IF(OR(OR($A346="",$D346=""),R346=""),"",R346-(INT($Y346/18)+IF(INDEX('Tournament Setup'!$AP:$AP,MATCH($A346,'Tournament Setup'!$A:$A,0))&lt;=MOD($Y346,18),1,0)))</f>
      </c>
      <c r="AM346" t="e">
        <f>IF(OR(OR($A346="",$D346=""),S346=""),"",S346-(INT($Y346/18)+IF(INDEX('Tournament Setup'!$AQ:$AQ,MATCH($A346,'Tournament Setup'!$A:$A,0))&lt;=MOD($Y346,18),1,0)))</f>
      </c>
      <c r="AN346" t="e">
        <f>IF(OR(OR($A346="",$D346=""),T346=""),"",T346-(INT($Y346/18)+IF(INDEX('Tournament Setup'!$AR:$AR,MATCH($A346,'Tournament Setup'!$A:$A,0))&lt;=MOD($Y346,18),1,0)))</f>
      </c>
      <c r="AO346" t="e">
        <f>IF(OR(OR($A346="",$D346=""),U346=""),"",U346-(INT($Y346/18)+IF(INDEX('Tournament Setup'!$AS:$AS,MATCH($A346,'Tournament Setup'!$A:$A,0))&lt;=MOD($Y346,18),1,0)))</f>
      </c>
      <c r="AP346" t="e">
        <f>IF(OR(OR($A346="",$D346=""),V346=""),"",V346-(INT($Y346/18)+IF(INDEX('Tournament Setup'!$AT:$AT,MATCH($A346,'Tournament Setup'!$A:$A,0))&lt;=MOD($Y346,18),1,0)))</f>
      </c>
      <c r="AQ346" t="e">
        <f>IF(OR(OR($A346="",$D346=""),W346=""),"",W346-(INT($Y346/18)+IF(INDEX('Tournament Setup'!$AU:$AU,MATCH($A346,'Tournament Setup'!$A:$A,0))&lt;=MOD($Y346,18),1,0)))</f>
      </c>
    </row>
    <row r="347">
      <c r="X347" t="e">
        <f>IF(OR($A347="",$D347=""),"",SUM(F347:W347))</f>
      </c>
      <c r="Y347" t="e">
        <f>IF(OR($A347="",$D347=""),"",IF(INDEX('Tournament Setup'!$F:$F,MATCH($A347,'Tournament Setup'!$A:$A,0))="Net",ROUND(($E347-_xlfn.MINIFS($E$2:$E$401,$A$2:$A$401,$A347,$B$2:$B$401,$B347))*INDEX('Tournament Setup'!$G:$G,MATCH($A347,'Tournament Setup'!$A:$A,0))/100,0),0))</f>
      </c>
      <c r="Z347" t="e">
        <f>IF(OR(OR($A347="",$D347=""),F347=""),"",F347-(INT($Y347/18)+IF(INDEX('Tournament Setup'!$AD:$AD,MATCH($A347,'Tournament Setup'!$A:$A,0))&lt;=MOD($Y347,18),1,0)))</f>
      </c>
      <c r="AA347" t="e">
        <f>IF(OR(OR($A347="",$D347=""),G347=""),"",G347-(INT($Y347/18)+IF(INDEX('Tournament Setup'!$AE:$AE,MATCH($A347,'Tournament Setup'!$A:$A,0))&lt;=MOD($Y347,18),1,0)))</f>
      </c>
      <c r="AB347" t="e">
        <f>IF(OR(OR($A347="",$D347=""),H347=""),"",H347-(INT($Y347/18)+IF(INDEX('Tournament Setup'!$AF:$AF,MATCH($A347,'Tournament Setup'!$A:$A,0))&lt;=MOD($Y347,18),1,0)))</f>
      </c>
      <c r="AC347" t="e">
        <f>IF(OR(OR($A347="",$D347=""),I347=""),"",I347-(INT($Y347/18)+IF(INDEX('Tournament Setup'!$AG:$AG,MATCH($A347,'Tournament Setup'!$A:$A,0))&lt;=MOD($Y347,18),1,0)))</f>
      </c>
      <c r="AD347" t="e">
        <f>IF(OR(OR($A347="",$D347=""),J347=""),"",J347-(INT($Y347/18)+IF(INDEX('Tournament Setup'!$AH:$AH,MATCH($A347,'Tournament Setup'!$A:$A,0))&lt;=MOD($Y347,18),1,0)))</f>
      </c>
      <c r="AE347" t="e">
        <f>IF(OR(OR($A347="",$D347=""),K347=""),"",K347-(INT($Y347/18)+IF(INDEX('Tournament Setup'!$AI:$AI,MATCH($A347,'Tournament Setup'!$A:$A,0))&lt;=MOD($Y347,18),1,0)))</f>
      </c>
      <c r="AF347" t="e">
        <f>IF(OR(OR($A347="",$D347=""),L347=""),"",L347-(INT($Y347/18)+IF(INDEX('Tournament Setup'!$AJ:$AJ,MATCH($A347,'Tournament Setup'!$A:$A,0))&lt;=MOD($Y347,18),1,0)))</f>
      </c>
      <c r="AG347" t="e">
        <f>IF(OR(OR($A347="",$D347=""),M347=""),"",M347-(INT($Y347/18)+IF(INDEX('Tournament Setup'!$AK:$AK,MATCH($A347,'Tournament Setup'!$A:$A,0))&lt;=MOD($Y347,18),1,0)))</f>
      </c>
      <c r="AH347" t="e">
        <f>IF(OR(OR($A347="",$D347=""),N347=""),"",N347-(INT($Y347/18)+IF(INDEX('Tournament Setup'!$AL:$AL,MATCH($A347,'Tournament Setup'!$A:$A,0))&lt;=MOD($Y347,18),1,0)))</f>
      </c>
      <c r="AI347" t="e">
        <f>IF(OR(OR($A347="",$D347=""),O347=""),"",O347-(INT($Y347/18)+IF(INDEX('Tournament Setup'!$AM:$AM,MATCH($A347,'Tournament Setup'!$A:$A,0))&lt;=MOD($Y347,18),1,0)))</f>
      </c>
      <c r="AJ347" t="e">
        <f>IF(OR(OR($A347="",$D347=""),P347=""),"",P347-(INT($Y347/18)+IF(INDEX('Tournament Setup'!$AN:$AN,MATCH($A347,'Tournament Setup'!$A:$A,0))&lt;=MOD($Y347,18),1,0)))</f>
      </c>
      <c r="AK347" t="e">
        <f>IF(OR(OR($A347="",$D347=""),Q347=""),"",Q347-(INT($Y347/18)+IF(INDEX('Tournament Setup'!$AO:$AO,MATCH($A347,'Tournament Setup'!$A:$A,0))&lt;=MOD($Y347,18),1,0)))</f>
      </c>
      <c r="AL347" t="e">
        <f>IF(OR(OR($A347="",$D347=""),R347=""),"",R347-(INT($Y347/18)+IF(INDEX('Tournament Setup'!$AP:$AP,MATCH($A347,'Tournament Setup'!$A:$A,0))&lt;=MOD($Y347,18),1,0)))</f>
      </c>
      <c r="AM347" t="e">
        <f>IF(OR(OR($A347="",$D347=""),S347=""),"",S347-(INT($Y347/18)+IF(INDEX('Tournament Setup'!$AQ:$AQ,MATCH($A347,'Tournament Setup'!$A:$A,0))&lt;=MOD($Y347,18),1,0)))</f>
      </c>
      <c r="AN347" t="e">
        <f>IF(OR(OR($A347="",$D347=""),T347=""),"",T347-(INT($Y347/18)+IF(INDEX('Tournament Setup'!$AR:$AR,MATCH($A347,'Tournament Setup'!$A:$A,0))&lt;=MOD($Y347,18),1,0)))</f>
      </c>
      <c r="AO347" t="e">
        <f>IF(OR(OR($A347="",$D347=""),U347=""),"",U347-(INT($Y347/18)+IF(INDEX('Tournament Setup'!$AS:$AS,MATCH($A347,'Tournament Setup'!$A:$A,0))&lt;=MOD($Y347,18),1,0)))</f>
      </c>
      <c r="AP347" t="e">
        <f>IF(OR(OR($A347="",$D347=""),V347=""),"",V347-(INT($Y347/18)+IF(INDEX('Tournament Setup'!$AT:$AT,MATCH($A347,'Tournament Setup'!$A:$A,0))&lt;=MOD($Y347,18),1,0)))</f>
      </c>
      <c r="AQ347" t="e">
        <f>IF(OR(OR($A347="",$D347=""),W347=""),"",W347-(INT($Y347/18)+IF(INDEX('Tournament Setup'!$AU:$AU,MATCH($A347,'Tournament Setup'!$A:$A,0))&lt;=MOD($Y347,18),1,0)))</f>
      </c>
    </row>
    <row r="348">
      <c r="X348" t="e">
        <f>IF(OR($A348="",$D348=""),"",SUM(F348:W348))</f>
      </c>
      <c r="Y348" t="e">
        <f>IF(OR($A348="",$D348=""),"",IF(INDEX('Tournament Setup'!$F:$F,MATCH($A348,'Tournament Setup'!$A:$A,0))="Net",ROUND(($E348-_xlfn.MINIFS($E$2:$E$401,$A$2:$A$401,$A348,$B$2:$B$401,$B348))*INDEX('Tournament Setup'!$G:$G,MATCH($A348,'Tournament Setup'!$A:$A,0))/100,0),0))</f>
      </c>
      <c r="Z348" t="e">
        <f>IF(OR(OR($A348="",$D348=""),F348=""),"",F348-(INT($Y348/18)+IF(INDEX('Tournament Setup'!$AD:$AD,MATCH($A348,'Tournament Setup'!$A:$A,0))&lt;=MOD($Y348,18),1,0)))</f>
      </c>
      <c r="AA348" t="e">
        <f>IF(OR(OR($A348="",$D348=""),G348=""),"",G348-(INT($Y348/18)+IF(INDEX('Tournament Setup'!$AE:$AE,MATCH($A348,'Tournament Setup'!$A:$A,0))&lt;=MOD($Y348,18),1,0)))</f>
      </c>
      <c r="AB348" t="e">
        <f>IF(OR(OR($A348="",$D348=""),H348=""),"",H348-(INT($Y348/18)+IF(INDEX('Tournament Setup'!$AF:$AF,MATCH($A348,'Tournament Setup'!$A:$A,0))&lt;=MOD($Y348,18),1,0)))</f>
      </c>
      <c r="AC348" t="e">
        <f>IF(OR(OR($A348="",$D348=""),I348=""),"",I348-(INT($Y348/18)+IF(INDEX('Tournament Setup'!$AG:$AG,MATCH($A348,'Tournament Setup'!$A:$A,0))&lt;=MOD($Y348,18),1,0)))</f>
      </c>
      <c r="AD348" t="e">
        <f>IF(OR(OR($A348="",$D348=""),J348=""),"",J348-(INT($Y348/18)+IF(INDEX('Tournament Setup'!$AH:$AH,MATCH($A348,'Tournament Setup'!$A:$A,0))&lt;=MOD($Y348,18),1,0)))</f>
      </c>
      <c r="AE348" t="e">
        <f>IF(OR(OR($A348="",$D348=""),K348=""),"",K348-(INT($Y348/18)+IF(INDEX('Tournament Setup'!$AI:$AI,MATCH($A348,'Tournament Setup'!$A:$A,0))&lt;=MOD($Y348,18),1,0)))</f>
      </c>
      <c r="AF348" t="e">
        <f>IF(OR(OR($A348="",$D348=""),L348=""),"",L348-(INT($Y348/18)+IF(INDEX('Tournament Setup'!$AJ:$AJ,MATCH($A348,'Tournament Setup'!$A:$A,0))&lt;=MOD($Y348,18),1,0)))</f>
      </c>
      <c r="AG348" t="e">
        <f>IF(OR(OR($A348="",$D348=""),M348=""),"",M348-(INT($Y348/18)+IF(INDEX('Tournament Setup'!$AK:$AK,MATCH($A348,'Tournament Setup'!$A:$A,0))&lt;=MOD($Y348,18),1,0)))</f>
      </c>
      <c r="AH348" t="e">
        <f>IF(OR(OR($A348="",$D348=""),N348=""),"",N348-(INT($Y348/18)+IF(INDEX('Tournament Setup'!$AL:$AL,MATCH($A348,'Tournament Setup'!$A:$A,0))&lt;=MOD($Y348,18),1,0)))</f>
      </c>
      <c r="AI348" t="e">
        <f>IF(OR(OR($A348="",$D348=""),O348=""),"",O348-(INT($Y348/18)+IF(INDEX('Tournament Setup'!$AM:$AM,MATCH($A348,'Tournament Setup'!$A:$A,0))&lt;=MOD($Y348,18),1,0)))</f>
      </c>
      <c r="AJ348" t="e">
        <f>IF(OR(OR($A348="",$D348=""),P348=""),"",P348-(INT($Y348/18)+IF(INDEX('Tournament Setup'!$AN:$AN,MATCH($A348,'Tournament Setup'!$A:$A,0))&lt;=MOD($Y348,18),1,0)))</f>
      </c>
      <c r="AK348" t="e">
        <f>IF(OR(OR($A348="",$D348=""),Q348=""),"",Q348-(INT($Y348/18)+IF(INDEX('Tournament Setup'!$AO:$AO,MATCH($A348,'Tournament Setup'!$A:$A,0))&lt;=MOD($Y348,18),1,0)))</f>
      </c>
      <c r="AL348" t="e">
        <f>IF(OR(OR($A348="",$D348=""),R348=""),"",R348-(INT($Y348/18)+IF(INDEX('Tournament Setup'!$AP:$AP,MATCH($A348,'Tournament Setup'!$A:$A,0))&lt;=MOD($Y348,18),1,0)))</f>
      </c>
      <c r="AM348" t="e">
        <f>IF(OR(OR($A348="",$D348=""),S348=""),"",S348-(INT($Y348/18)+IF(INDEX('Tournament Setup'!$AQ:$AQ,MATCH($A348,'Tournament Setup'!$A:$A,0))&lt;=MOD($Y348,18),1,0)))</f>
      </c>
      <c r="AN348" t="e">
        <f>IF(OR(OR($A348="",$D348=""),T348=""),"",T348-(INT($Y348/18)+IF(INDEX('Tournament Setup'!$AR:$AR,MATCH($A348,'Tournament Setup'!$A:$A,0))&lt;=MOD($Y348,18),1,0)))</f>
      </c>
      <c r="AO348" t="e">
        <f>IF(OR(OR($A348="",$D348=""),U348=""),"",U348-(INT($Y348/18)+IF(INDEX('Tournament Setup'!$AS:$AS,MATCH($A348,'Tournament Setup'!$A:$A,0))&lt;=MOD($Y348,18),1,0)))</f>
      </c>
      <c r="AP348" t="e">
        <f>IF(OR(OR($A348="",$D348=""),V348=""),"",V348-(INT($Y348/18)+IF(INDEX('Tournament Setup'!$AT:$AT,MATCH($A348,'Tournament Setup'!$A:$A,0))&lt;=MOD($Y348,18),1,0)))</f>
      </c>
      <c r="AQ348" t="e">
        <f>IF(OR(OR($A348="",$D348=""),W348=""),"",W348-(INT($Y348/18)+IF(INDEX('Tournament Setup'!$AU:$AU,MATCH($A348,'Tournament Setup'!$A:$A,0))&lt;=MOD($Y348,18),1,0)))</f>
      </c>
    </row>
    <row r="349">
      <c r="X349" t="e">
        <f>IF(OR($A349="",$D349=""),"",SUM(F349:W349))</f>
      </c>
      <c r="Y349" t="e">
        <f>IF(OR($A349="",$D349=""),"",IF(INDEX('Tournament Setup'!$F:$F,MATCH($A349,'Tournament Setup'!$A:$A,0))="Net",ROUND(($E349-_xlfn.MINIFS($E$2:$E$401,$A$2:$A$401,$A349,$B$2:$B$401,$B349))*INDEX('Tournament Setup'!$G:$G,MATCH($A349,'Tournament Setup'!$A:$A,0))/100,0),0))</f>
      </c>
      <c r="Z349" t="e">
        <f>IF(OR(OR($A349="",$D349=""),F349=""),"",F349-(INT($Y349/18)+IF(INDEX('Tournament Setup'!$AD:$AD,MATCH($A349,'Tournament Setup'!$A:$A,0))&lt;=MOD($Y349,18),1,0)))</f>
      </c>
      <c r="AA349" t="e">
        <f>IF(OR(OR($A349="",$D349=""),G349=""),"",G349-(INT($Y349/18)+IF(INDEX('Tournament Setup'!$AE:$AE,MATCH($A349,'Tournament Setup'!$A:$A,0))&lt;=MOD($Y349,18),1,0)))</f>
      </c>
      <c r="AB349" t="e">
        <f>IF(OR(OR($A349="",$D349=""),H349=""),"",H349-(INT($Y349/18)+IF(INDEX('Tournament Setup'!$AF:$AF,MATCH($A349,'Tournament Setup'!$A:$A,0))&lt;=MOD($Y349,18),1,0)))</f>
      </c>
      <c r="AC349" t="e">
        <f>IF(OR(OR($A349="",$D349=""),I349=""),"",I349-(INT($Y349/18)+IF(INDEX('Tournament Setup'!$AG:$AG,MATCH($A349,'Tournament Setup'!$A:$A,0))&lt;=MOD($Y349,18),1,0)))</f>
      </c>
      <c r="AD349" t="e">
        <f>IF(OR(OR($A349="",$D349=""),J349=""),"",J349-(INT($Y349/18)+IF(INDEX('Tournament Setup'!$AH:$AH,MATCH($A349,'Tournament Setup'!$A:$A,0))&lt;=MOD($Y349,18),1,0)))</f>
      </c>
      <c r="AE349" t="e">
        <f>IF(OR(OR($A349="",$D349=""),K349=""),"",K349-(INT($Y349/18)+IF(INDEX('Tournament Setup'!$AI:$AI,MATCH($A349,'Tournament Setup'!$A:$A,0))&lt;=MOD($Y349,18),1,0)))</f>
      </c>
      <c r="AF349" t="e">
        <f>IF(OR(OR($A349="",$D349=""),L349=""),"",L349-(INT($Y349/18)+IF(INDEX('Tournament Setup'!$AJ:$AJ,MATCH($A349,'Tournament Setup'!$A:$A,0))&lt;=MOD($Y349,18),1,0)))</f>
      </c>
      <c r="AG349" t="e">
        <f>IF(OR(OR($A349="",$D349=""),M349=""),"",M349-(INT($Y349/18)+IF(INDEX('Tournament Setup'!$AK:$AK,MATCH($A349,'Tournament Setup'!$A:$A,0))&lt;=MOD($Y349,18),1,0)))</f>
      </c>
      <c r="AH349" t="e">
        <f>IF(OR(OR($A349="",$D349=""),N349=""),"",N349-(INT($Y349/18)+IF(INDEX('Tournament Setup'!$AL:$AL,MATCH($A349,'Tournament Setup'!$A:$A,0))&lt;=MOD($Y349,18),1,0)))</f>
      </c>
      <c r="AI349" t="e">
        <f>IF(OR(OR($A349="",$D349=""),O349=""),"",O349-(INT($Y349/18)+IF(INDEX('Tournament Setup'!$AM:$AM,MATCH($A349,'Tournament Setup'!$A:$A,0))&lt;=MOD($Y349,18),1,0)))</f>
      </c>
      <c r="AJ349" t="e">
        <f>IF(OR(OR($A349="",$D349=""),P349=""),"",P349-(INT($Y349/18)+IF(INDEX('Tournament Setup'!$AN:$AN,MATCH($A349,'Tournament Setup'!$A:$A,0))&lt;=MOD($Y349,18),1,0)))</f>
      </c>
      <c r="AK349" t="e">
        <f>IF(OR(OR($A349="",$D349=""),Q349=""),"",Q349-(INT($Y349/18)+IF(INDEX('Tournament Setup'!$AO:$AO,MATCH($A349,'Tournament Setup'!$A:$A,0))&lt;=MOD($Y349,18),1,0)))</f>
      </c>
      <c r="AL349" t="e">
        <f>IF(OR(OR($A349="",$D349=""),R349=""),"",R349-(INT($Y349/18)+IF(INDEX('Tournament Setup'!$AP:$AP,MATCH($A349,'Tournament Setup'!$A:$A,0))&lt;=MOD($Y349,18),1,0)))</f>
      </c>
      <c r="AM349" t="e">
        <f>IF(OR(OR($A349="",$D349=""),S349=""),"",S349-(INT($Y349/18)+IF(INDEX('Tournament Setup'!$AQ:$AQ,MATCH($A349,'Tournament Setup'!$A:$A,0))&lt;=MOD($Y349,18),1,0)))</f>
      </c>
      <c r="AN349" t="e">
        <f>IF(OR(OR($A349="",$D349=""),T349=""),"",T349-(INT($Y349/18)+IF(INDEX('Tournament Setup'!$AR:$AR,MATCH($A349,'Tournament Setup'!$A:$A,0))&lt;=MOD($Y349,18),1,0)))</f>
      </c>
      <c r="AO349" t="e">
        <f>IF(OR(OR($A349="",$D349=""),U349=""),"",U349-(INT($Y349/18)+IF(INDEX('Tournament Setup'!$AS:$AS,MATCH($A349,'Tournament Setup'!$A:$A,0))&lt;=MOD($Y349,18),1,0)))</f>
      </c>
      <c r="AP349" t="e">
        <f>IF(OR(OR($A349="",$D349=""),V349=""),"",V349-(INT($Y349/18)+IF(INDEX('Tournament Setup'!$AT:$AT,MATCH($A349,'Tournament Setup'!$A:$A,0))&lt;=MOD($Y349,18),1,0)))</f>
      </c>
      <c r="AQ349" t="e">
        <f>IF(OR(OR($A349="",$D349=""),W349=""),"",W349-(INT($Y349/18)+IF(INDEX('Tournament Setup'!$AU:$AU,MATCH($A349,'Tournament Setup'!$A:$A,0))&lt;=MOD($Y349,18),1,0)))</f>
      </c>
    </row>
    <row r="350">
      <c r="X350" t="e">
        <f>IF(OR($A350="",$D350=""),"",SUM(F350:W350))</f>
      </c>
      <c r="Y350" t="e">
        <f>IF(OR($A350="",$D350=""),"",IF(INDEX('Tournament Setup'!$F:$F,MATCH($A350,'Tournament Setup'!$A:$A,0))="Net",ROUND(($E350-_xlfn.MINIFS($E$2:$E$401,$A$2:$A$401,$A350,$B$2:$B$401,$B350))*INDEX('Tournament Setup'!$G:$G,MATCH($A350,'Tournament Setup'!$A:$A,0))/100,0),0))</f>
      </c>
      <c r="Z350" t="e">
        <f>IF(OR(OR($A350="",$D350=""),F350=""),"",F350-(INT($Y350/18)+IF(INDEX('Tournament Setup'!$AD:$AD,MATCH($A350,'Tournament Setup'!$A:$A,0))&lt;=MOD($Y350,18),1,0)))</f>
      </c>
      <c r="AA350" t="e">
        <f>IF(OR(OR($A350="",$D350=""),G350=""),"",G350-(INT($Y350/18)+IF(INDEX('Tournament Setup'!$AE:$AE,MATCH($A350,'Tournament Setup'!$A:$A,0))&lt;=MOD($Y350,18),1,0)))</f>
      </c>
      <c r="AB350" t="e">
        <f>IF(OR(OR($A350="",$D350=""),H350=""),"",H350-(INT($Y350/18)+IF(INDEX('Tournament Setup'!$AF:$AF,MATCH($A350,'Tournament Setup'!$A:$A,0))&lt;=MOD($Y350,18),1,0)))</f>
      </c>
      <c r="AC350" t="e">
        <f>IF(OR(OR($A350="",$D350=""),I350=""),"",I350-(INT($Y350/18)+IF(INDEX('Tournament Setup'!$AG:$AG,MATCH($A350,'Tournament Setup'!$A:$A,0))&lt;=MOD($Y350,18),1,0)))</f>
      </c>
      <c r="AD350" t="e">
        <f>IF(OR(OR($A350="",$D350=""),J350=""),"",J350-(INT($Y350/18)+IF(INDEX('Tournament Setup'!$AH:$AH,MATCH($A350,'Tournament Setup'!$A:$A,0))&lt;=MOD($Y350,18),1,0)))</f>
      </c>
      <c r="AE350" t="e">
        <f>IF(OR(OR($A350="",$D350=""),K350=""),"",K350-(INT($Y350/18)+IF(INDEX('Tournament Setup'!$AI:$AI,MATCH($A350,'Tournament Setup'!$A:$A,0))&lt;=MOD($Y350,18),1,0)))</f>
      </c>
      <c r="AF350" t="e">
        <f>IF(OR(OR($A350="",$D350=""),L350=""),"",L350-(INT($Y350/18)+IF(INDEX('Tournament Setup'!$AJ:$AJ,MATCH($A350,'Tournament Setup'!$A:$A,0))&lt;=MOD($Y350,18),1,0)))</f>
      </c>
      <c r="AG350" t="e">
        <f>IF(OR(OR($A350="",$D350=""),M350=""),"",M350-(INT($Y350/18)+IF(INDEX('Tournament Setup'!$AK:$AK,MATCH($A350,'Tournament Setup'!$A:$A,0))&lt;=MOD($Y350,18),1,0)))</f>
      </c>
      <c r="AH350" t="e">
        <f>IF(OR(OR($A350="",$D350=""),N350=""),"",N350-(INT($Y350/18)+IF(INDEX('Tournament Setup'!$AL:$AL,MATCH($A350,'Tournament Setup'!$A:$A,0))&lt;=MOD($Y350,18),1,0)))</f>
      </c>
      <c r="AI350" t="e">
        <f>IF(OR(OR($A350="",$D350=""),O350=""),"",O350-(INT($Y350/18)+IF(INDEX('Tournament Setup'!$AM:$AM,MATCH($A350,'Tournament Setup'!$A:$A,0))&lt;=MOD($Y350,18),1,0)))</f>
      </c>
      <c r="AJ350" t="e">
        <f>IF(OR(OR($A350="",$D350=""),P350=""),"",P350-(INT($Y350/18)+IF(INDEX('Tournament Setup'!$AN:$AN,MATCH($A350,'Tournament Setup'!$A:$A,0))&lt;=MOD($Y350,18),1,0)))</f>
      </c>
      <c r="AK350" t="e">
        <f>IF(OR(OR($A350="",$D350=""),Q350=""),"",Q350-(INT($Y350/18)+IF(INDEX('Tournament Setup'!$AO:$AO,MATCH($A350,'Tournament Setup'!$A:$A,0))&lt;=MOD($Y350,18),1,0)))</f>
      </c>
      <c r="AL350" t="e">
        <f>IF(OR(OR($A350="",$D350=""),R350=""),"",R350-(INT($Y350/18)+IF(INDEX('Tournament Setup'!$AP:$AP,MATCH($A350,'Tournament Setup'!$A:$A,0))&lt;=MOD($Y350,18),1,0)))</f>
      </c>
      <c r="AM350" t="e">
        <f>IF(OR(OR($A350="",$D350=""),S350=""),"",S350-(INT($Y350/18)+IF(INDEX('Tournament Setup'!$AQ:$AQ,MATCH($A350,'Tournament Setup'!$A:$A,0))&lt;=MOD($Y350,18),1,0)))</f>
      </c>
      <c r="AN350" t="e">
        <f>IF(OR(OR($A350="",$D350=""),T350=""),"",T350-(INT($Y350/18)+IF(INDEX('Tournament Setup'!$AR:$AR,MATCH($A350,'Tournament Setup'!$A:$A,0))&lt;=MOD($Y350,18),1,0)))</f>
      </c>
      <c r="AO350" t="e">
        <f>IF(OR(OR($A350="",$D350=""),U350=""),"",U350-(INT($Y350/18)+IF(INDEX('Tournament Setup'!$AS:$AS,MATCH($A350,'Tournament Setup'!$A:$A,0))&lt;=MOD($Y350,18),1,0)))</f>
      </c>
      <c r="AP350" t="e">
        <f>IF(OR(OR($A350="",$D350=""),V350=""),"",V350-(INT($Y350/18)+IF(INDEX('Tournament Setup'!$AT:$AT,MATCH($A350,'Tournament Setup'!$A:$A,0))&lt;=MOD($Y350,18),1,0)))</f>
      </c>
      <c r="AQ350" t="e">
        <f>IF(OR(OR($A350="",$D350=""),W350=""),"",W350-(INT($Y350/18)+IF(INDEX('Tournament Setup'!$AU:$AU,MATCH($A350,'Tournament Setup'!$A:$A,0))&lt;=MOD($Y350,18),1,0)))</f>
      </c>
    </row>
    <row r="351">
      <c r="X351" t="e">
        <f>IF(OR($A351="",$D351=""),"",SUM(F351:W351))</f>
      </c>
      <c r="Y351" t="e">
        <f>IF(OR($A351="",$D351=""),"",IF(INDEX('Tournament Setup'!$F:$F,MATCH($A351,'Tournament Setup'!$A:$A,0))="Net",ROUND(($E351-_xlfn.MINIFS($E$2:$E$401,$A$2:$A$401,$A351,$B$2:$B$401,$B351))*INDEX('Tournament Setup'!$G:$G,MATCH($A351,'Tournament Setup'!$A:$A,0))/100,0),0))</f>
      </c>
      <c r="Z351" t="e">
        <f>IF(OR(OR($A351="",$D351=""),F351=""),"",F351-(INT($Y351/18)+IF(INDEX('Tournament Setup'!$AD:$AD,MATCH($A351,'Tournament Setup'!$A:$A,0))&lt;=MOD($Y351,18),1,0)))</f>
      </c>
      <c r="AA351" t="e">
        <f>IF(OR(OR($A351="",$D351=""),G351=""),"",G351-(INT($Y351/18)+IF(INDEX('Tournament Setup'!$AE:$AE,MATCH($A351,'Tournament Setup'!$A:$A,0))&lt;=MOD($Y351,18),1,0)))</f>
      </c>
      <c r="AB351" t="e">
        <f>IF(OR(OR($A351="",$D351=""),H351=""),"",H351-(INT($Y351/18)+IF(INDEX('Tournament Setup'!$AF:$AF,MATCH($A351,'Tournament Setup'!$A:$A,0))&lt;=MOD($Y351,18),1,0)))</f>
      </c>
      <c r="AC351" t="e">
        <f>IF(OR(OR($A351="",$D351=""),I351=""),"",I351-(INT($Y351/18)+IF(INDEX('Tournament Setup'!$AG:$AG,MATCH($A351,'Tournament Setup'!$A:$A,0))&lt;=MOD($Y351,18),1,0)))</f>
      </c>
      <c r="AD351" t="e">
        <f>IF(OR(OR($A351="",$D351=""),J351=""),"",J351-(INT($Y351/18)+IF(INDEX('Tournament Setup'!$AH:$AH,MATCH($A351,'Tournament Setup'!$A:$A,0))&lt;=MOD($Y351,18),1,0)))</f>
      </c>
      <c r="AE351" t="e">
        <f>IF(OR(OR($A351="",$D351=""),K351=""),"",K351-(INT($Y351/18)+IF(INDEX('Tournament Setup'!$AI:$AI,MATCH($A351,'Tournament Setup'!$A:$A,0))&lt;=MOD($Y351,18),1,0)))</f>
      </c>
      <c r="AF351" t="e">
        <f>IF(OR(OR($A351="",$D351=""),L351=""),"",L351-(INT($Y351/18)+IF(INDEX('Tournament Setup'!$AJ:$AJ,MATCH($A351,'Tournament Setup'!$A:$A,0))&lt;=MOD($Y351,18),1,0)))</f>
      </c>
      <c r="AG351" t="e">
        <f>IF(OR(OR($A351="",$D351=""),M351=""),"",M351-(INT($Y351/18)+IF(INDEX('Tournament Setup'!$AK:$AK,MATCH($A351,'Tournament Setup'!$A:$A,0))&lt;=MOD($Y351,18),1,0)))</f>
      </c>
      <c r="AH351" t="e">
        <f>IF(OR(OR($A351="",$D351=""),N351=""),"",N351-(INT($Y351/18)+IF(INDEX('Tournament Setup'!$AL:$AL,MATCH($A351,'Tournament Setup'!$A:$A,0))&lt;=MOD($Y351,18),1,0)))</f>
      </c>
      <c r="AI351" t="e">
        <f>IF(OR(OR($A351="",$D351=""),O351=""),"",O351-(INT($Y351/18)+IF(INDEX('Tournament Setup'!$AM:$AM,MATCH($A351,'Tournament Setup'!$A:$A,0))&lt;=MOD($Y351,18),1,0)))</f>
      </c>
      <c r="AJ351" t="e">
        <f>IF(OR(OR($A351="",$D351=""),P351=""),"",P351-(INT($Y351/18)+IF(INDEX('Tournament Setup'!$AN:$AN,MATCH($A351,'Tournament Setup'!$A:$A,0))&lt;=MOD($Y351,18),1,0)))</f>
      </c>
      <c r="AK351" t="e">
        <f>IF(OR(OR($A351="",$D351=""),Q351=""),"",Q351-(INT($Y351/18)+IF(INDEX('Tournament Setup'!$AO:$AO,MATCH($A351,'Tournament Setup'!$A:$A,0))&lt;=MOD($Y351,18),1,0)))</f>
      </c>
      <c r="AL351" t="e">
        <f>IF(OR(OR($A351="",$D351=""),R351=""),"",R351-(INT($Y351/18)+IF(INDEX('Tournament Setup'!$AP:$AP,MATCH($A351,'Tournament Setup'!$A:$A,0))&lt;=MOD($Y351,18),1,0)))</f>
      </c>
      <c r="AM351" t="e">
        <f>IF(OR(OR($A351="",$D351=""),S351=""),"",S351-(INT($Y351/18)+IF(INDEX('Tournament Setup'!$AQ:$AQ,MATCH($A351,'Tournament Setup'!$A:$A,0))&lt;=MOD($Y351,18),1,0)))</f>
      </c>
      <c r="AN351" t="e">
        <f>IF(OR(OR($A351="",$D351=""),T351=""),"",T351-(INT($Y351/18)+IF(INDEX('Tournament Setup'!$AR:$AR,MATCH($A351,'Tournament Setup'!$A:$A,0))&lt;=MOD($Y351,18),1,0)))</f>
      </c>
      <c r="AO351" t="e">
        <f>IF(OR(OR($A351="",$D351=""),U351=""),"",U351-(INT($Y351/18)+IF(INDEX('Tournament Setup'!$AS:$AS,MATCH($A351,'Tournament Setup'!$A:$A,0))&lt;=MOD($Y351,18),1,0)))</f>
      </c>
      <c r="AP351" t="e">
        <f>IF(OR(OR($A351="",$D351=""),V351=""),"",V351-(INT($Y351/18)+IF(INDEX('Tournament Setup'!$AT:$AT,MATCH($A351,'Tournament Setup'!$A:$A,0))&lt;=MOD($Y351,18),1,0)))</f>
      </c>
      <c r="AQ351" t="e">
        <f>IF(OR(OR($A351="",$D351=""),W351=""),"",W351-(INT($Y351/18)+IF(INDEX('Tournament Setup'!$AU:$AU,MATCH($A351,'Tournament Setup'!$A:$A,0))&lt;=MOD($Y351,18),1,0)))</f>
      </c>
    </row>
    <row r="352">
      <c r="X352" t="e">
        <f>IF(OR($A352="",$D352=""),"",SUM(F352:W352))</f>
      </c>
      <c r="Y352" t="e">
        <f>IF(OR($A352="",$D352=""),"",IF(INDEX('Tournament Setup'!$F:$F,MATCH($A352,'Tournament Setup'!$A:$A,0))="Net",ROUND(($E352-_xlfn.MINIFS($E$2:$E$401,$A$2:$A$401,$A352,$B$2:$B$401,$B352))*INDEX('Tournament Setup'!$G:$G,MATCH($A352,'Tournament Setup'!$A:$A,0))/100,0),0))</f>
      </c>
      <c r="Z352" t="e">
        <f>IF(OR(OR($A352="",$D352=""),F352=""),"",F352-(INT($Y352/18)+IF(INDEX('Tournament Setup'!$AD:$AD,MATCH($A352,'Tournament Setup'!$A:$A,0))&lt;=MOD($Y352,18),1,0)))</f>
      </c>
      <c r="AA352" t="e">
        <f>IF(OR(OR($A352="",$D352=""),G352=""),"",G352-(INT($Y352/18)+IF(INDEX('Tournament Setup'!$AE:$AE,MATCH($A352,'Tournament Setup'!$A:$A,0))&lt;=MOD($Y352,18),1,0)))</f>
      </c>
      <c r="AB352" t="e">
        <f>IF(OR(OR($A352="",$D352=""),H352=""),"",H352-(INT($Y352/18)+IF(INDEX('Tournament Setup'!$AF:$AF,MATCH($A352,'Tournament Setup'!$A:$A,0))&lt;=MOD($Y352,18),1,0)))</f>
      </c>
      <c r="AC352" t="e">
        <f>IF(OR(OR($A352="",$D352=""),I352=""),"",I352-(INT($Y352/18)+IF(INDEX('Tournament Setup'!$AG:$AG,MATCH($A352,'Tournament Setup'!$A:$A,0))&lt;=MOD($Y352,18),1,0)))</f>
      </c>
      <c r="AD352" t="e">
        <f>IF(OR(OR($A352="",$D352=""),J352=""),"",J352-(INT($Y352/18)+IF(INDEX('Tournament Setup'!$AH:$AH,MATCH($A352,'Tournament Setup'!$A:$A,0))&lt;=MOD($Y352,18),1,0)))</f>
      </c>
      <c r="AE352" t="e">
        <f>IF(OR(OR($A352="",$D352=""),K352=""),"",K352-(INT($Y352/18)+IF(INDEX('Tournament Setup'!$AI:$AI,MATCH($A352,'Tournament Setup'!$A:$A,0))&lt;=MOD($Y352,18),1,0)))</f>
      </c>
      <c r="AF352" t="e">
        <f>IF(OR(OR($A352="",$D352=""),L352=""),"",L352-(INT($Y352/18)+IF(INDEX('Tournament Setup'!$AJ:$AJ,MATCH($A352,'Tournament Setup'!$A:$A,0))&lt;=MOD($Y352,18),1,0)))</f>
      </c>
      <c r="AG352" t="e">
        <f>IF(OR(OR($A352="",$D352=""),M352=""),"",M352-(INT($Y352/18)+IF(INDEX('Tournament Setup'!$AK:$AK,MATCH($A352,'Tournament Setup'!$A:$A,0))&lt;=MOD($Y352,18),1,0)))</f>
      </c>
      <c r="AH352" t="e">
        <f>IF(OR(OR($A352="",$D352=""),N352=""),"",N352-(INT($Y352/18)+IF(INDEX('Tournament Setup'!$AL:$AL,MATCH($A352,'Tournament Setup'!$A:$A,0))&lt;=MOD($Y352,18),1,0)))</f>
      </c>
      <c r="AI352" t="e">
        <f>IF(OR(OR($A352="",$D352=""),O352=""),"",O352-(INT($Y352/18)+IF(INDEX('Tournament Setup'!$AM:$AM,MATCH($A352,'Tournament Setup'!$A:$A,0))&lt;=MOD($Y352,18),1,0)))</f>
      </c>
      <c r="AJ352" t="e">
        <f>IF(OR(OR($A352="",$D352=""),P352=""),"",P352-(INT($Y352/18)+IF(INDEX('Tournament Setup'!$AN:$AN,MATCH($A352,'Tournament Setup'!$A:$A,0))&lt;=MOD($Y352,18),1,0)))</f>
      </c>
      <c r="AK352" t="e">
        <f>IF(OR(OR($A352="",$D352=""),Q352=""),"",Q352-(INT($Y352/18)+IF(INDEX('Tournament Setup'!$AO:$AO,MATCH($A352,'Tournament Setup'!$A:$A,0))&lt;=MOD($Y352,18),1,0)))</f>
      </c>
      <c r="AL352" t="e">
        <f>IF(OR(OR($A352="",$D352=""),R352=""),"",R352-(INT($Y352/18)+IF(INDEX('Tournament Setup'!$AP:$AP,MATCH($A352,'Tournament Setup'!$A:$A,0))&lt;=MOD($Y352,18),1,0)))</f>
      </c>
      <c r="AM352" t="e">
        <f>IF(OR(OR($A352="",$D352=""),S352=""),"",S352-(INT($Y352/18)+IF(INDEX('Tournament Setup'!$AQ:$AQ,MATCH($A352,'Tournament Setup'!$A:$A,0))&lt;=MOD($Y352,18),1,0)))</f>
      </c>
      <c r="AN352" t="e">
        <f>IF(OR(OR($A352="",$D352=""),T352=""),"",T352-(INT($Y352/18)+IF(INDEX('Tournament Setup'!$AR:$AR,MATCH($A352,'Tournament Setup'!$A:$A,0))&lt;=MOD($Y352,18),1,0)))</f>
      </c>
      <c r="AO352" t="e">
        <f>IF(OR(OR($A352="",$D352=""),U352=""),"",U352-(INT($Y352/18)+IF(INDEX('Tournament Setup'!$AS:$AS,MATCH($A352,'Tournament Setup'!$A:$A,0))&lt;=MOD($Y352,18),1,0)))</f>
      </c>
      <c r="AP352" t="e">
        <f>IF(OR(OR($A352="",$D352=""),V352=""),"",V352-(INT($Y352/18)+IF(INDEX('Tournament Setup'!$AT:$AT,MATCH($A352,'Tournament Setup'!$A:$A,0))&lt;=MOD($Y352,18),1,0)))</f>
      </c>
      <c r="AQ352" t="e">
        <f>IF(OR(OR($A352="",$D352=""),W352=""),"",W352-(INT($Y352/18)+IF(INDEX('Tournament Setup'!$AU:$AU,MATCH($A352,'Tournament Setup'!$A:$A,0))&lt;=MOD($Y352,18),1,0)))</f>
      </c>
    </row>
    <row r="353">
      <c r="X353" t="e">
        <f>IF(OR($A353="",$D353=""),"",SUM(F353:W353))</f>
      </c>
      <c r="Y353" t="e">
        <f>IF(OR($A353="",$D353=""),"",IF(INDEX('Tournament Setup'!$F:$F,MATCH($A353,'Tournament Setup'!$A:$A,0))="Net",ROUND(($E353-_xlfn.MINIFS($E$2:$E$401,$A$2:$A$401,$A353,$B$2:$B$401,$B353))*INDEX('Tournament Setup'!$G:$G,MATCH($A353,'Tournament Setup'!$A:$A,0))/100,0),0))</f>
      </c>
      <c r="Z353" t="e">
        <f>IF(OR(OR($A353="",$D353=""),F353=""),"",F353-(INT($Y353/18)+IF(INDEX('Tournament Setup'!$AD:$AD,MATCH($A353,'Tournament Setup'!$A:$A,0))&lt;=MOD($Y353,18),1,0)))</f>
      </c>
      <c r="AA353" t="e">
        <f>IF(OR(OR($A353="",$D353=""),G353=""),"",G353-(INT($Y353/18)+IF(INDEX('Tournament Setup'!$AE:$AE,MATCH($A353,'Tournament Setup'!$A:$A,0))&lt;=MOD($Y353,18),1,0)))</f>
      </c>
      <c r="AB353" t="e">
        <f>IF(OR(OR($A353="",$D353=""),H353=""),"",H353-(INT($Y353/18)+IF(INDEX('Tournament Setup'!$AF:$AF,MATCH($A353,'Tournament Setup'!$A:$A,0))&lt;=MOD($Y353,18),1,0)))</f>
      </c>
      <c r="AC353" t="e">
        <f>IF(OR(OR($A353="",$D353=""),I353=""),"",I353-(INT($Y353/18)+IF(INDEX('Tournament Setup'!$AG:$AG,MATCH($A353,'Tournament Setup'!$A:$A,0))&lt;=MOD($Y353,18),1,0)))</f>
      </c>
      <c r="AD353" t="e">
        <f>IF(OR(OR($A353="",$D353=""),J353=""),"",J353-(INT($Y353/18)+IF(INDEX('Tournament Setup'!$AH:$AH,MATCH($A353,'Tournament Setup'!$A:$A,0))&lt;=MOD($Y353,18),1,0)))</f>
      </c>
      <c r="AE353" t="e">
        <f>IF(OR(OR($A353="",$D353=""),K353=""),"",K353-(INT($Y353/18)+IF(INDEX('Tournament Setup'!$AI:$AI,MATCH($A353,'Tournament Setup'!$A:$A,0))&lt;=MOD($Y353,18),1,0)))</f>
      </c>
      <c r="AF353" t="e">
        <f>IF(OR(OR($A353="",$D353=""),L353=""),"",L353-(INT($Y353/18)+IF(INDEX('Tournament Setup'!$AJ:$AJ,MATCH($A353,'Tournament Setup'!$A:$A,0))&lt;=MOD($Y353,18),1,0)))</f>
      </c>
      <c r="AG353" t="e">
        <f>IF(OR(OR($A353="",$D353=""),M353=""),"",M353-(INT($Y353/18)+IF(INDEX('Tournament Setup'!$AK:$AK,MATCH($A353,'Tournament Setup'!$A:$A,0))&lt;=MOD($Y353,18),1,0)))</f>
      </c>
      <c r="AH353" t="e">
        <f>IF(OR(OR($A353="",$D353=""),N353=""),"",N353-(INT($Y353/18)+IF(INDEX('Tournament Setup'!$AL:$AL,MATCH($A353,'Tournament Setup'!$A:$A,0))&lt;=MOD($Y353,18),1,0)))</f>
      </c>
      <c r="AI353" t="e">
        <f>IF(OR(OR($A353="",$D353=""),O353=""),"",O353-(INT($Y353/18)+IF(INDEX('Tournament Setup'!$AM:$AM,MATCH($A353,'Tournament Setup'!$A:$A,0))&lt;=MOD($Y353,18),1,0)))</f>
      </c>
      <c r="AJ353" t="e">
        <f>IF(OR(OR($A353="",$D353=""),P353=""),"",P353-(INT($Y353/18)+IF(INDEX('Tournament Setup'!$AN:$AN,MATCH($A353,'Tournament Setup'!$A:$A,0))&lt;=MOD($Y353,18),1,0)))</f>
      </c>
      <c r="AK353" t="e">
        <f>IF(OR(OR($A353="",$D353=""),Q353=""),"",Q353-(INT($Y353/18)+IF(INDEX('Tournament Setup'!$AO:$AO,MATCH($A353,'Tournament Setup'!$A:$A,0))&lt;=MOD($Y353,18),1,0)))</f>
      </c>
      <c r="AL353" t="e">
        <f>IF(OR(OR($A353="",$D353=""),R353=""),"",R353-(INT($Y353/18)+IF(INDEX('Tournament Setup'!$AP:$AP,MATCH($A353,'Tournament Setup'!$A:$A,0))&lt;=MOD($Y353,18),1,0)))</f>
      </c>
      <c r="AM353" t="e">
        <f>IF(OR(OR($A353="",$D353=""),S353=""),"",S353-(INT($Y353/18)+IF(INDEX('Tournament Setup'!$AQ:$AQ,MATCH($A353,'Tournament Setup'!$A:$A,0))&lt;=MOD($Y353,18),1,0)))</f>
      </c>
      <c r="AN353" t="e">
        <f>IF(OR(OR($A353="",$D353=""),T353=""),"",T353-(INT($Y353/18)+IF(INDEX('Tournament Setup'!$AR:$AR,MATCH($A353,'Tournament Setup'!$A:$A,0))&lt;=MOD($Y353,18),1,0)))</f>
      </c>
      <c r="AO353" t="e">
        <f>IF(OR(OR($A353="",$D353=""),U353=""),"",U353-(INT($Y353/18)+IF(INDEX('Tournament Setup'!$AS:$AS,MATCH($A353,'Tournament Setup'!$A:$A,0))&lt;=MOD($Y353,18),1,0)))</f>
      </c>
      <c r="AP353" t="e">
        <f>IF(OR(OR($A353="",$D353=""),V353=""),"",V353-(INT($Y353/18)+IF(INDEX('Tournament Setup'!$AT:$AT,MATCH($A353,'Tournament Setup'!$A:$A,0))&lt;=MOD($Y353,18),1,0)))</f>
      </c>
      <c r="AQ353" t="e">
        <f>IF(OR(OR($A353="",$D353=""),W353=""),"",W353-(INT($Y353/18)+IF(INDEX('Tournament Setup'!$AU:$AU,MATCH($A353,'Tournament Setup'!$A:$A,0))&lt;=MOD($Y353,18),1,0)))</f>
      </c>
    </row>
    <row r="354">
      <c r="X354" t="e">
        <f>IF(OR($A354="",$D354=""),"",SUM(F354:W354))</f>
      </c>
      <c r="Y354" t="e">
        <f>IF(OR($A354="",$D354=""),"",IF(INDEX('Tournament Setup'!$F:$F,MATCH($A354,'Tournament Setup'!$A:$A,0))="Net",ROUND(($E354-_xlfn.MINIFS($E$2:$E$401,$A$2:$A$401,$A354,$B$2:$B$401,$B354))*INDEX('Tournament Setup'!$G:$G,MATCH($A354,'Tournament Setup'!$A:$A,0))/100,0),0))</f>
      </c>
      <c r="Z354" t="e">
        <f>IF(OR(OR($A354="",$D354=""),F354=""),"",F354-(INT($Y354/18)+IF(INDEX('Tournament Setup'!$AD:$AD,MATCH($A354,'Tournament Setup'!$A:$A,0))&lt;=MOD($Y354,18),1,0)))</f>
      </c>
      <c r="AA354" t="e">
        <f>IF(OR(OR($A354="",$D354=""),G354=""),"",G354-(INT($Y354/18)+IF(INDEX('Tournament Setup'!$AE:$AE,MATCH($A354,'Tournament Setup'!$A:$A,0))&lt;=MOD($Y354,18),1,0)))</f>
      </c>
      <c r="AB354" t="e">
        <f>IF(OR(OR($A354="",$D354=""),H354=""),"",H354-(INT($Y354/18)+IF(INDEX('Tournament Setup'!$AF:$AF,MATCH($A354,'Tournament Setup'!$A:$A,0))&lt;=MOD($Y354,18),1,0)))</f>
      </c>
      <c r="AC354" t="e">
        <f>IF(OR(OR($A354="",$D354=""),I354=""),"",I354-(INT($Y354/18)+IF(INDEX('Tournament Setup'!$AG:$AG,MATCH($A354,'Tournament Setup'!$A:$A,0))&lt;=MOD($Y354,18),1,0)))</f>
      </c>
      <c r="AD354" t="e">
        <f>IF(OR(OR($A354="",$D354=""),J354=""),"",J354-(INT($Y354/18)+IF(INDEX('Tournament Setup'!$AH:$AH,MATCH($A354,'Tournament Setup'!$A:$A,0))&lt;=MOD($Y354,18),1,0)))</f>
      </c>
      <c r="AE354" t="e">
        <f>IF(OR(OR($A354="",$D354=""),K354=""),"",K354-(INT($Y354/18)+IF(INDEX('Tournament Setup'!$AI:$AI,MATCH($A354,'Tournament Setup'!$A:$A,0))&lt;=MOD($Y354,18),1,0)))</f>
      </c>
      <c r="AF354" t="e">
        <f>IF(OR(OR($A354="",$D354=""),L354=""),"",L354-(INT($Y354/18)+IF(INDEX('Tournament Setup'!$AJ:$AJ,MATCH($A354,'Tournament Setup'!$A:$A,0))&lt;=MOD($Y354,18),1,0)))</f>
      </c>
      <c r="AG354" t="e">
        <f>IF(OR(OR($A354="",$D354=""),M354=""),"",M354-(INT($Y354/18)+IF(INDEX('Tournament Setup'!$AK:$AK,MATCH($A354,'Tournament Setup'!$A:$A,0))&lt;=MOD($Y354,18),1,0)))</f>
      </c>
      <c r="AH354" t="e">
        <f>IF(OR(OR($A354="",$D354=""),N354=""),"",N354-(INT($Y354/18)+IF(INDEX('Tournament Setup'!$AL:$AL,MATCH($A354,'Tournament Setup'!$A:$A,0))&lt;=MOD($Y354,18),1,0)))</f>
      </c>
      <c r="AI354" t="e">
        <f>IF(OR(OR($A354="",$D354=""),O354=""),"",O354-(INT($Y354/18)+IF(INDEX('Tournament Setup'!$AM:$AM,MATCH($A354,'Tournament Setup'!$A:$A,0))&lt;=MOD($Y354,18),1,0)))</f>
      </c>
      <c r="AJ354" t="e">
        <f>IF(OR(OR($A354="",$D354=""),P354=""),"",P354-(INT($Y354/18)+IF(INDEX('Tournament Setup'!$AN:$AN,MATCH($A354,'Tournament Setup'!$A:$A,0))&lt;=MOD($Y354,18),1,0)))</f>
      </c>
      <c r="AK354" t="e">
        <f>IF(OR(OR($A354="",$D354=""),Q354=""),"",Q354-(INT($Y354/18)+IF(INDEX('Tournament Setup'!$AO:$AO,MATCH($A354,'Tournament Setup'!$A:$A,0))&lt;=MOD($Y354,18),1,0)))</f>
      </c>
      <c r="AL354" t="e">
        <f>IF(OR(OR($A354="",$D354=""),R354=""),"",R354-(INT($Y354/18)+IF(INDEX('Tournament Setup'!$AP:$AP,MATCH($A354,'Tournament Setup'!$A:$A,0))&lt;=MOD($Y354,18),1,0)))</f>
      </c>
      <c r="AM354" t="e">
        <f>IF(OR(OR($A354="",$D354=""),S354=""),"",S354-(INT($Y354/18)+IF(INDEX('Tournament Setup'!$AQ:$AQ,MATCH($A354,'Tournament Setup'!$A:$A,0))&lt;=MOD($Y354,18),1,0)))</f>
      </c>
      <c r="AN354" t="e">
        <f>IF(OR(OR($A354="",$D354=""),T354=""),"",T354-(INT($Y354/18)+IF(INDEX('Tournament Setup'!$AR:$AR,MATCH($A354,'Tournament Setup'!$A:$A,0))&lt;=MOD($Y354,18),1,0)))</f>
      </c>
      <c r="AO354" t="e">
        <f>IF(OR(OR($A354="",$D354=""),U354=""),"",U354-(INT($Y354/18)+IF(INDEX('Tournament Setup'!$AS:$AS,MATCH($A354,'Tournament Setup'!$A:$A,0))&lt;=MOD($Y354,18),1,0)))</f>
      </c>
      <c r="AP354" t="e">
        <f>IF(OR(OR($A354="",$D354=""),V354=""),"",V354-(INT($Y354/18)+IF(INDEX('Tournament Setup'!$AT:$AT,MATCH($A354,'Tournament Setup'!$A:$A,0))&lt;=MOD($Y354,18),1,0)))</f>
      </c>
      <c r="AQ354" t="e">
        <f>IF(OR(OR($A354="",$D354=""),W354=""),"",W354-(INT($Y354/18)+IF(INDEX('Tournament Setup'!$AU:$AU,MATCH($A354,'Tournament Setup'!$A:$A,0))&lt;=MOD($Y354,18),1,0)))</f>
      </c>
    </row>
    <row r="355">
      <c r="X355" t="e">
        <f>IF(OR($A355="",$D355=""),"",SUM(F355:W355))</f>
      </c>
      <c r="Y355" t="e">
        <f>IF(OR($A355="",$D355=""),"",IF(INDEX('Tournament Setup'!$F:$F,MATCH($A355,'Tournament Setup'!$A:$A,0))="Net",ROUND(($E355-_xlfn.MINIFS($E$2:$E$401,$A$2:$A$401,$A355,$B$2:$B$401,$B355))*INDEX('Tournament Setup'!$G:$G,MATCH($A355,'Tournament Setup'!$A:$A,0))/100,0),0))</f>
      </c>
      <c r="Z355" t="e">
        <f>IF(OR(OR($A355="",$D355=""),F355=""),"",F355-(INT($Y355/18)+IF(INDEX('Tournament Setup'!$AD:$AD,MATCH($A355,'Tournament Setup'!$A:$A,0))&lt;=MOD($Y355,18),1,0)))</f>
      </c>
      <c r="AA355" t="e">
        <f>IF(OR(OR($A355="",$D355=""),G355=""),"",G355-(INT($Y355/18)+IF(INDEX('Tournament Setup'!$AE:$AE,MATCH($A355,'Tournament Setup'!$A:$A,0))&lt;=MOD($Y355,18),1,0)))</f>
      </c>
      <c r="AB355" t="e">
        <f>IF(OR(OR($A355="",$D355=""),H355=""),"",H355-(INT($Y355/18)+IF(INDEX('Tournament Setup'!$AF:$AF,MATCH($A355,'Tournament Setup'!$A:$A,0))&lt;=MOD($Y355,18),1,0)))</f>
      </c>
      <c r="AC355" t="e">
        <f>IF(OR(OR($A355="",$D355=""),I355=""),"",I355-(INT($Y355/18)+IF(INDEX('Tournament Setup'!$AG:$AG,MATCH($A355,'Tournament Setup'!$A:$A,0))&lt;=MOD($Y355,18),1,0)))</f>
      </c>
      <c r="AD355" t="e">
        <f>IF(OR(OR($A355="",$D355=""),J355=""),"",J355-(INT($Y355/18)+IF(INDEX('Tournament Setup'!$AH:$AH,MATCH($A355,'Tournament Setup'!$A:$A,0))&lt;=MOD($Y355,18),1,0)))</f>
      </c>
      <c r="AE355" t="e">
        <f>IF(OR(OR($A355="",$D355=""),K355=""),"",K355-(INT($Y355/18)+IF(INDEX('Tournament Setup'!$AI:$AI,MATCH($A355,'Tournament Setup'!$A:$A,0))&lt;=MOD($Y355,18),1,0)))</f>
      </c>
      <c r="AF355" t="e">
        <f>IF(OR(OR($A355="",$D355=""),L355=""),"",L355-(INT($Y355/18)+IF(INDEX('Tournament Setup'!$AJ:$AJ,MATCH($A355,'Tournament Setup'!$A:$A,0))&lt;=MOD($Y355,18),1,0)))</f>
      </c>
      <c r="AG355" t="e">
        <f>IF(OR(OR($A355="",$D355=""),M355=""),"",M355-(INT($Y355/18)+IF(INDEX('Tournament Setup'!$AK:$AK,MATCH($A355,'Tournament Setup'!$A:$A,0))&lt;=MOD($Y355,18),1,0)))</f>
      </c>
      <c r="AH355" t="e">
        <f>IF(OR(OR($A355="",$D355=""),N355=""),"",N355-(INT($Y355/18)+IF(INDEX('Tournament Setup'!$AL:$AL,MATCH($A355,'Tournament Setup'!$A:$A,0))&lt;=MOD($Y355,18),1,0)))</f>
      </c>
      <c r="AI355" t="e">
        <f>IF(OR(OR($A355="",$D355=""),O355=""),"",O355-(INT($Y355/18)+IF(INDEX('Tournament Setup'!$AM:$AM,MATCH($A355,'Tournament Setup'!$A:$A,0))&lt;=MOD($Y355,18),1,0)))</f>
      </c>
      <c r="AJ355" t="e">
        <f>IF(OR(OR($A355="",$D355=""),P355=""),"",P355-(INT($Y355/18)+IF(INDEX('Tournament Setup'!$AN:$AN,MATCH($A355,'Tournament Setup'!$A:$A,0))&lt;=MOD($Y355,18),1,0)))</f>
      </c>
      <c r="AK355" t="e">
        <f>IF(OR(OR($A355="",$D355=""),Q355=""),"",Q355-(INT($Y355/18)+IF(INDEX('Tournament Setup'!$AO:$AO,MATCH($A355,'Tournament Setup'!$A:$A,0))&lt;=MOD($Y355,18),1,0)))</f>
      </c>
      <c r="AL355" t="e">
        <f>IF(OR(OR($A355="",$D355=""),R355=""),"",R355-(INT($Y355/18)+IF(INDEX('Tournament Setup'!$AP:$AP,MATCH($A355,'Tournament Setup'!$A:$A,0))&lt;=MOD($Y355,18),1,0)))</f>
      </c>
      <c r="AM355" t="e">
        <f>IF(OR(OR($A355="",$D355=""),S355=""),"",S355-(INT($Y355/18)+IF(INDEX('Tournament Setup'!$AQ:$AQ,MATCH($A355,'Tournament Setup'!$A:$A,0))&lt;=MOD($Y355,18),1,0)))</f>
      </c>
      <c r="AN355" t="e">
        <f>IF(OR(OR($A355="",$D355=""),T355=""),"",T355-(INT($Y355/18)+IF(INDEX('Tournament Setup'!$AR:$AR,MATCH($A355,'Tournament Setup'!$A:$A,0))&lt;=MOD($Y355,18),1,0)))</f>
      </c>
      <c r="AO355" t="e">
        <f>IF(OR(OR($A355="",$D355=""),U355=""),"",U355-(INT($Y355/18)+IF(INDEX('Tournament Setup'!$AS:$AS,MATCH($A355,'Tournament Setup'!$A:$A,0))&lt;=MOD($Y355,18),1,0)))</f>
      </c>
      <c r="AP355" t="e">
        <f>IF(OR(OR($A355="",$D355=""),V355=""),"",V355-(INT($Y355/18)+IF(INDEX('Tournament Setup'!$AT:$AT,MATCH($A355,'Tournament Setup'!$A:$A,0))&lt;=MOD($Y355,18),1,0)))</f>
      </c>
      <c r="AQ355" t="e">
        <f>IF(OR(OR($A355="",$D355=""),W355=""),"",W355-(INT($Y355/18)+IF(INDEX('Tournament Setup'!$AU:$AU,MATCH($A355,'Tournament Setup'!$A:$A,0))&lt;=MOD($Y355,18),1,0)))</f>
      </c>
    </row>
    <row r="356">
      <c r="X356" t="e">
        <f>IF(OR($A356="",$D356=""),"",SUM(F356:W356))</f>
      </c>
      <c r="Y356" t="e">
        <f>IF(OR($A356="",$D356=""),"",IF(INDEX('Tournament Setup'!$F:$F,MATCH($A356,'Tournament Setup'!$A:$A,0))="Net",ROUND(($E356-_xlfn.MINIFS($E$2:$E$401,$A$2:$A$401,$A356,$B$2:$B$401,$B356))*INDEX('Tournament Setup'!$G:$G,MATCH($A356,'Tournament Setup'!$A:$A,0))/100,0),0))</f>
      </c>
      <c r="Z356" t="e">
        <f>IF(OR(OR($A356="",$D356=""),F356=""),"",F356-(INT($Y356/18)+IF(INDEX('Tournament Setup'!$AD:$AD,MATCH($A356,'Tournament Setup'!$A:$A,0))&lt;=MOD($Y356,18),1,0)))</f>
      </c>
      <c r="AA356" t="e">
        <f>IF(OR(OR($A356="",$D356=""),G356=""),"",G356-(INT($Y356/18)+IF(INDEX('Tournament Setup'!$AE:$AE,MATCH($A356,'Tournament Setup'!$A:$A,0))&lt;=MOD($Y356,18),1,0)))</f>
      </c>
      <c r="AB356" t="e">
        <f>IF(OR(OR($A356="",$D356=""),H356=""),"",H356-(INT($Y356/18)+IF(INDEX('Tournament Setup'!$AF:$AF,MATCH($A356,'Tournament Setup'!$A:$A,0))&lt;=MOD($Y356,18),1,0)))</f>
      </c>
      <c r="AC356" t="e">
        <f>IF(OR(OR($A356="",$D356=""),I356=""),"",I356-(INT($Y356/18)+IF(INDEX('Tournament Setup'!$AG:$AG,MATCH($A356,'Tournament Setup'!$A:$A,0))&lt;=MOD($Y356,18),1,0)))</f>
      </c>
      <c r="AD356" t="e">
        <f>IF(OR(OR($A356="",$D356=""),J356=""),"",J356-(INT($Y356/18)+IF(INDEX('Tournament Setup'!$AH:$AH,MATCH($A356,'Tournament Setup'!$A:$A,0))&lt;=MOD($Y356,18),1,0)))</f>
      </c>
      <c r="AE356" t="e">
        <f>IF(OR(OR($A356="",$D356=""),K356=""),"",K356-(INT($Y356/18)+IF(INDEX('Tournament Setup'!$AI:$AI,MATCH($A356,'Tournament Setup'!$A:$A,0))&lt;=MOD($Y356,18),1,0)))</f>
      </c>
      <c r="AF356" t="e">
        <f>IF(OR(OR($A356="",$D356=""),L356=""),"",L356-(INT($Y356/18)+IF(INDEX('Tournament Setup'!$AJ:$AJ,MATCH($A356,'Tournament Setup'!$A:$A,0))&lt;=MOD($Y356,18),1,0)))</f>
      </c>
      <c r="AG356" t="e">
        <f>IF(OR(OR($A356="",$D356=""),M356=""),"",M356-(INT($Y356/18)+IF(INDEX('Tournament Setup'!$AK:$AK,MATCH($A356,'Tournament Setup'!$A:$A,0))&lt;=MOD($Y356,18),1,0)))</f>
      </c>
      <c r="AH356" t="e">
        <f>IF(OR(OR($A356="",$D356=""),N356=""),"",N356-(INT($Y356/18)+IF(INDEX('Tournament Setup'!$AL:$AL,MATCH($A356,'Tournament Setup'!$A:$A,0))&lt;=MOD($Y356,18),1,0)))</f>
      </c>
      <c r="AI356" t="e">
        <f>IF(OR(OR($A356="",$D356=""),O356=""),"",O356-(INT($Y356/18)+IF(INDEX('Tournament Setup'!$AM:$AM,MATCH($A356,'Tournament Setup'!$A:$A,0))&lt;=MOD($Y356,18),1,0)))</f>
      </c>
      <c r="AJ356" t="e">
        <f>IF(OR(OR($A356="",$D356=""),P356=""),"",P356-(INT($Y356/18)+IF(INDEX('Tournament Setup'!$AN:$AN,MATCH($A356,'Tournament Setup'!$A:$A,0))&lt;=MOD($Y356,18),1,0)))</f>
      </c>
      <c r="AK356" t="e">
        <f>IF(OR(OR($A356="",$D356=""),Q356=""),"",Q356-(INT($Y356/18)+IF(INDEX('Tournament Setup'!$AO:$AO,MATCH($A356,'Tournament Setup'!$A:$A,0))&lt;=MOD($Y356,18),1,0)))</f>
      </c>
      <c r="AL356" t="e">
        <f>IF(OR(OR($A356="",$D356=""),R356=""),"",R356-(INT($Y356/18)+IF(INDEX('Tournament Setup'!$AP:$AP,MATCH($A356,'Tournament Setup'!$A:$A,0))&lt;=MOD($Y356,18),1,0)))</f>
      </c>
      <c r="AM356" t="e">
        <f>IF(OR(OR($A356="",$D356=""),S356=""),"",S356-(INT($Y356/18)+IF(INDEX('Tournament Setup'!$AQ:$AQ,MATCH($A356,'Tournament Setup'!$A:$A,0))&lt;=MOD($Y356,18),1,0)))</f>
      </c>
      <c r="AN356" t="e">
        <f>IF(OR(OR($A356="",$D356=""),T356=""),"",T356-(INT($Y356/18)+IF(INDEX('Tournament Setup'!$AR:$AR,MATCH($A356,'Tournament Setup'!$A:$A,0))&lt;=MOD($Y356,18),1,0)))</f>
      </c>
      <c r="AO356" t="e">
        <f>IF(OR(OR($A356="",$D356=""),U356=""),"",U356-(INT($Y356/18)+IF(INDEX('Tournament Setup'!$AS:$AS,MATCH($A356,'Tournament Setup'!$A:$A,0))&lt;=MOD($Y356,18),1,0)))</f>
      </c>
      <c r="AP356" t="e">
        <f>IF(OR(OR($A356="",$D356=""),V356=""),"",V356-(INT($Y356/18)+IF(INDEX('Tournament Setup'!$AT:$AT,MATCH($A356,'Tournament Setup'!$A:$A,0))&lt;=MOD($Y356,18),1,0)))</f>
      </c>
      <c r="AQ356" t="e">
        <f>IF(OR(OR($A356="",$D356=""),W356=""),"",W356-(INT($Y356/18)+IF(INDEX('Tournament Setup'!$AU:$AU,MATCH($A356,'Tournament Setup'!$A:$A,0))&lt;=MOD($Y356,18),1,0)))</f>
      </c>
    </row>
    <row r="357">
      <c r="X357" t="e">
        <f>IF(OR($A357="",$D357=""),"",SUM(F357:W357))</f>
      </c>
      <c r="Y357" t="e">
        <f>IF(OR($A357="",$D357=""),"",IF(INDEX('Tournament Setup'!$F:$F,MATCH($A357,'Tournament Setup'!$A:$A,0))="Net",ROUND(($E357-_xlfn.MINIFS($E$2:$E$401,$A$2:$A$401,$A357,$B$2:$B$401,$B357))*INDEX('Tournament Setup'!$G:$G,MATCH($A357,'Tournament Setup'!$A:$A,0))/100,0),0))</f>
      </c>
      <c r="Z357" t="e">
        <f>IF(OR(OR($A357="",$D357=""),F357=""),"",F357-(INT($Y357/18)+IF(INDEX('Tournament Setup'!$AD:$AD,MATCH($A357,'Tournament Setup'!$A:$A,0))&lt;=MOD($Y357,18),1,0)))</f>
      </c>
      <c r="AA357" t="e">
        <f>IF(OR(OR($A357="",$D357=""),G357=""),"",G357-(INT($Y357/18)+IF(INDEX('Tournament Setup'!$AE:$AE,MATCH($A357,'Tournament Setup'!$A:$A,0))&lt;=MOD($Y357,18),1,0)))</f>
      </c>
      <c r="AB357" t="e">
        <f>IF(OR(OR($A357="",$D357=""),H357=""),"",H357-(INT($Y357/18)+IF(INDEX('Tournament Setup'!$AF:$AF,MATCH($A357,'Tournament Setup'!$A:$A,0))&lt;=MOD($Y357,18),1,0)))</f>
      </c>
      <c r="AC357" t="e">
        <f>IF(OR(OR($A357="",$D357=""),I357=""),"",I357-(INT($Y357/18)+IF(INDEX('Tournament Setup'!$AG:$AG,MATCH($A357,'Tournament Setup'!$A:$A,0))&lt;=MOD($Y357,18),1,0)))</f>
      </c>
      <c r="AD357" t="e">
        <f>IF(OR(OR($A357="",$D357=""),J357=""),"",J357-(INT($Y357/18)+IF(INDEX('Tournament Setup'!$AH:$AH,MATCH($A357,'Tournament Setup'!$A:$A,0))&lt;=MOD($Y357,18),1,0)))</f>
      </c>
      <c r="AE357" t="e">
        <f>IF(OR(OR($A357="",$D357=""),K357=""),"",K357-(INT($Y357/18)+IF(INDEX('Tournament Setup'!$AI:$AI,MATCH($A357,'Tournament Setup'!$A:$A,0))&lt;=MOD($Y357,18),1,0)))</f>
      </c>
      <c r="AF357" t="e">
        <f>IF(OR(OR($A357="",$D357=""),L357=""),"",L357-(INT($Y357/18)+IF(INDEX('Tournament Setup'!$AJ:$AJ,MATCH($A357,'Tournament Setup'!$A:$A,0))&lt;=MOD($Y357,18),1,0)))</f>
      </c>
      <c r="AG357" t="e">
        <f>IF(OR(OR($A357="",$D357=""),M357=""),"",M357-(INT($Y357/18)+IF(INDEX('Tournament Setup'!$AK:$AK,MATCH($A357,'Tournament Setup'!$A:$A,0))&lt;=MOD($Y357,18),1,0)))</f>
      </c>
      <c r="AH357" t="e">
        <f>IF(OR(OR($A357="",$D357=""),N357=""),"",N357-(INT($Y357/18)+IF(INDEX('Tournament Setup'!$AL:$AL,MATCH($A357,'Tournament Setup'!$A:$A,0))&lt;=MOD($Y357,18),1,0)))</f>
      </c>
      <c r="AI357" t="e">
        <f>IF(OR(OR($A357="",$D357=""),O357=""),"",O357-(INT($Y357/18)+IF(INDEX('Tournament Setup'!$AM:$AM,MATCH($A357,'Tournament Setup'!$A:$A,0))&lt;=MOD($Y357,18),1,0)))</f>
      </c>
      <c r="AJ357" t="e">
        <f>IF(OR(OR($A357="",$D357=""),P357=""),"",P357-(INT($Y357/18)+IF(INDEX('Tournament Setup'!$AN:$AN,MATCH($A357,'Tournament Setup'!$A:$A,0))&lt;=MOD($Y357,18),1,0)))</f>
      </c>
      <c r="AK357" t="e">
        <f>IF(OR(OR($A357="",$D357=""),Q357=""),"",Q357-(INT($Y357/18)+IF(INDEX('Tournament Setup'!$AO:$AO,MATCH($A357,'Tournament Setup'!$A:$A,0))&lt;=MOD($Y357,18),1,0)))</f>
      </c>
      <c r="AL357" t="e">
        <f>IF(OR(OR($A357="",$D357=""),R357=""),"",R357-(INT($Y357/18)+IF(INDEX('Tournament Setup'!$AP:$AP,MATCH($A357,'Tournament Setup'!$A:$A,0))&lt;=MOD($Y357,18),1,0)))</f>
      </c>
      <c r="AM357" t="e">
        <f>IF(OR(OR($A357="",$D357=""),S357=""),"",S357-(INT($Y357/18)+IF(INDEX('Tournament Setup'!$AQ:$AQ,MATCH($A357,'Tournament Setup'!$A:$A,0))&lt;=MOD($Y357,18),1,0)))</f>
      </c>
      <c r="AN357" t="e">
        <f>IF(OR(OR($A357="",$D357=""),T357=""),"",T357-(INT($Y357/18)+IF(INDEX('Tournament Setup'!$AR:$AR,MATCH($A357,'Tournament Setup'!$A:$A,0))&lt;=MOD($Y357,18),1,0)))</f>
      </c>
      <c r="AO357" t="e">
        <f>IF(OR(OR($A357="",$D357=""),U357=""),"",U357-(INT($Y357/18)+IF(INDEX('Tournament Setup'!$AS:$AS,MATCH($A357,'Tournament Setup'!$A:$A,0))&lt;=MOD($Y357,18),1,0)))</f>
      </c>
      <c r="AP357" t="e">
        <f>IF(OR(OR($A357="",$D357=""),V357=""),"",V357-(INT($Y357/18)+IF(INDEX('Tournament Setup'!$AT:$AT,MATCH($A357,'Tournament Setup'!$A:$A,0))&lt;=MOD($Y357,18),1,0)))</f>
      </c>
      <c r="AQ357" t="e">
        <f>IF(OR(OR($A357="",$D357=""),W357=""),"",W357-(INT($Y357/18)+IF(INDEX('Tournament Setup'!$AU:$AU,MATCH($A357,'Tournament Setup'!$A:$A,0))&lt;=MOD($Y357,18),1,0)))</f>
      </c>
    </row>
    <row r="358">
      <c r="X358" t="e">
        <f>IF(OR($A358="",$D358=""),"",SUM(F358:W358))</f>
      </c>
      <c r="Y358" t="e">
        <f>IF(OR($A358="",$D358=""),"",IF(INDEX('Tournament Setup'!$F:$F,MATCH($A358,'Tournament Setup'!$A:$A,0))="Net",ROUND(($E358-_xlfn.MINIFS($E$2:$E$401,$A$2:$A$401,$A358,$B$2:$B$401,$B358))*INDEX('Tournament Setup'!$G:$G,MATCH($A358,'Tournament Setup'!$A:$A,0))/100,0),0))</f>
      </c>
      <c r="Z358" t="e">
        <f>IF(OR(OR($A358="",$D358=""),F358=""),"",F358-(INT($Y358/18)+IF(INDEX('Tournament Setup'!$AD:$AD,MATCH($A358,'Tournament Setup'!$A:$A,0))&lt;=MOD($Y358,18),1,0)))</f>
      </c>
      <c r="AA358" t="e">
        <f>IF(OR(OR($A358="",$D358=""),G358=""),"",G358-(INT($Y358/18)+IF(INDEX('Tournament Setup'!$AE:$AE,MATCH($A358,'Tournament Setup'!$A:$A,0))&lt;=MOD($Y358,18),1,0)))</f>
      </c>
      <c r="AB358" t="e">
        <f>IF(OR(OR($A358="",$D358=""),H358=""),"",H358-(INT($Y358/18)+IF(INDEX('Tournament Setup'!$AF:$AF,MATCH($A358,'Tournament Setup'!$A:$A,0))&lt;=MOD($Y358,18),1,0)))</f>
      </c>
      <c r="AC358" t="e">
        <f>IF(OR(OR($A358="",$D358=""),I358=""),"",I358-(INT($Y358/18)+IF(INDEX('Tournament Setup'!$AG:$AG,MATCH($A358,'Tournament Setup'!$A:$A,0))&lt;=MOD($Y358,18),1,0)))</f>
      </c>
      <c r="AD358" t="e">
        <f>IF(OR(OR($A358="",$D358=""),J358=""),"",J358-(INT($Y358/18)+IF(INDEX('Tournament Setup'!$AH:$AH,MATCH($A358,'Tournament Setup'!$A:$A,0))&lt;=MOD($Y358,18),1,0)))</f>
      </c>
      <c r="AE358" t="e">
        <f>IF(OR(OR($A358="",$D358=""),K358=""),"",K358-(INT($Y358/18)+IF(INDEX('Tournament Setup'!$AI:$AI,MATCH($A358,'Tournament Setup'!$A:$A,0))&lt;=MOD($Y358,18),1,0)))</f>
      </c>
      <c r="AF358" t="e">
        <f>IF(OR(OR($A358="",$D358=""),L358=""),"",L358-(INT($Y358/18)+IF(INDEX('Tournament Setup'!$AJ:$AJ,MATCH($A358,'Tournament Setup'!$A:$A,0))&lt;=MOD($Y358,18),1,0)))</f>
      </c>
      <c r="AG358" t="e">
        <f>IF(OR(OR($A358="",$D358=""),M358=""),"",M358-(INT($Y358/18)+IF(INDEX('Tournament Setup'!$AK:$AK,MATCH($A358,'Tournament Setup'!$A:$A,0))&lt;=MOD($Y358,18),1,0)))</f>
      </c>
      <c r="AH358" t="e">
        <f>IF(OR(OR($A358="",$D358=""),N358=""),"",N358-(INT($Y358/18)+IF(INDEX('Tournament Setup'!$AL:$AL,MATCH($A358,'Tournament Setup'!$A:$A,0))&lt;=MOD($Y358,18),1,0)))</f>
      </c>
      <c r="AI358" t="e">
        <f>IF(OR(OR($A358="",$D358=""),O358=""),"",O358-(INT($Y358/18)+IF(INDEX('Tournament Setup'!$AM:$AM,MATCH($A358,'Tournament Setup'!$A:$A,0))&lt;=MOD($Y358,18),1,0)))</f>
      </c>
      <c r="AJ358" t="e">
        <f>IF(OR(OR($A358="",$D358=""),P358=""),"",P358-(INT($Y358/18)+IF(INDEX('Tournament Setup'!$AN:$AN,MATCH($A358,'Tournament Setup'!$A:$A,0))&lt;=MOD($Y358,18),1,0)))</f>
      </c>
      <c r="AK358" t="e">
        <f>IF(OR(OR($A358="",$D358=""),Q358=""),"",Q358-(INT($Y358/18)+IF(INDEX('Tournament Setup'!$AO:$AO,MATCH($A358,'Tournament Setup'!$A:$A,0))&lt;=MOD($Y358,18),1,0)))</f>
      </c>
      <c r="AL358" t="e">
        <f>IF(OR(OR($A358="",$D358=""),R358=""),"",R358-(INT($Y358/18)+IF(INDEX('Tournament Setup'!$AP:$AP,MATCH($A358,'Tournament Setup'!$A:$A,0))&lt;=MOD($Y358,18),1,0)))</f>
      </c>
      <c r="AM358" t="e">
        <f>IF(OR(OR($A358="",$D358=""),S358=""),"",S358-(INT($Y358/18)+IF(INDEX('Tournament Setup'!$AQ:$AQ,MATCH($A358,'Tournament Setup'!$A:$A,0))&lt;=MOD($Y358,18),1,0)))</f>
      </c>
      <c r="AN358" t="e">
        <f>IF(OR(OR($A358="",$D358=""),T358=""),"",T358-(INT($Y358/18)+IF(INDEX('Tournament Setup'!$AR:$AR,MATCH($A358,'Tournament Setup'!$A:$A,0))&lt;=MOD($Y358,18),1,0)))</f>
      </c>
      <c r="AO358" t="e">
        <f>IF(OR(OR($A358="",$D358=""),U358=""),"",U358-(INT($Y358/18)+IF(INDEX('Tournament Setup'!$AS:$AS,MATCH($A358,'Tournament Setup'!$A:$A,0))&lt;=MOD($Y358,18),1,0)))</f>
      </c>
      <c r="AP358" t="e">
        <f>IF(OR(OR($A358="",$D358=""),V358=""),"",V358-(INT($Y358/18)+IF(INDEX('Tournament Setup'!$AT:$AT,MATCH($A358,'Tournament Setup'!$A:$A,0))&lt;=MOD($Y358,18),1,0)))</f>
      </c>
      <c r="AQ358" t="e">
        <f>IF(OR(OR($A358="",$D358=""),W358=""),"",W358-(INT($Y358/18)+IF(INDEX('Tournament Setup'!$AU:$AU,MATCH($A358,'Tournament Setup'!$A:$A,0))&lt;=MOD($Y358,18),1,0)))</f>
      </c>
    </row>
    <row r="359">
      <c r="X359" t="e">
        <f>IF(OR($A359="",$D359=""),"",SUM(F359:W359))</f>
      </c>
      <c r="Y359" t="e">
        <f>IF(OR($A359="",$D359=""),"",IF(INDEX('Tournament Setup'!$F:$F,MATCH($A359,'Tournament Setup'!$A:$A,0))="Net",ROUND(($E359-_xlfn.MINIFS($E$2:$E$401,$A$2:$A$401,$A359,$B$2:$B$401,$B359))*INDEX('Tournament Setup'!$G:$G,MATCH($A359,'Tournament Setup'!$A:$A,0))/100,0),0))</f>
      </c>
      <c r="Z359" t="e">
        <f>IF(OR(OR($A359="",$D359=""),F359=""),"",F359-(INT($Y359/18)+IF(INDEX('Tournament Setup'!$AD:$AD,MATCH($A359,'Tournament Setup'!$A:$A,0))&lt;=MOD($Y359,18),1,0)))</f>
      </c>
      <c r="AA359" t="e">
        <f>IF(OR(OR($A359="",$D359=""),G359=""),"",G359-(INT($Y359/18)+IF(INDEX('Tournament Setup'!$AE:$AE,MATCH($A359,'Tournament Setup'!$A:$A,0))&lt;=MOD($Y359,18),1,0)))</f>
      </c>
      <c r="AB359" t="e">
        <f>IF(OR(OR($A359="",$D359=""),H359=""),"",H359-(INT($Y359/18)+IF(INDEX('Tournament Setup'!$AF:$AF,MATCH($A359,'Tournament Setup'!$A:$A,0))&lt;=MOD($Y359,18),1,0)))</f>
      </c>
      <c r="AC359" t="e">
        <f>IF(OR(OR($A359="",$D359=""),I359=""),"",I359-(INT($Y359/18)+IF(INDEX('Tournament Setup'!$AG:$AG,MATCH($A359,'Tournament Setup'!$A:$A,0))&lt;=MOD($Y359,18),1,0)))</f>
      </c>
      <c r="AD359" t="e">
        <f>IF(OR(OR($A359="",$D359=""),J359=""),"",J359-(INT($Y359/18)+IF(INDEX('Tournament Setup'!$AH:$AH,MATCH($A359,'Tournament Setup'!$A:$A,0))&lt;=MOD($Y359,18),1,0)))</f>
      </c>
      <c r="AE359" t="e">
        <f>IF(OR(OR($A359="",$D359=""),K359=""),"",K359-(INT($Y359/18)+IF(INDEX('Tournament Setup'!$AI:$AI,MATCH($A359,'Tournament Setup'!$A:$A,0))&lt;=MOD($Y359,18),1,0)))</f>
      </c>
      <c r="AF359" t="e">
        <f>IF(OR(OR($A359="",$D359=""),L359=""),"",L359-(INT($Y359/18)+IF(INDEX('Tournament Setup'!$AJ:$AJ,MATCH($A359,'Tournament Setup'!$A:$A,0))&lt;=MOD($Y359,18),1,0)))</f>
      </c>
      <c r="AG359" t="e">
        <f>IF(OR(OR($A359="",$D359=""),M359=""),"",M359-(INT($Y359/18)+IF(INDEX('Tournament Setup'!$AK:$AK,MATCH($A359,'Tournament Setup'!$A:$A,0))&lt;=MOD($Y359,18),1,0)))</f>
      </c>
      <c r="AH359" t="e">
        <f>IF(OR(OR($A359="",$D359=""),N359=""),"",N359-(INT($Y359/18)+IF(INDEX('Tournament Setup'!$AL:$AL,MATCH($A359,'Tournament Setup'!$A:$A,0))&lt;=MOD($Y359,18),1,0)))</f>
      </c>
      <c r="AI359" t="e">
        <f>IF(OR(OR($A359="",$D359=""),O359=""),"",O359-(INT($Y359/18)+IF(INDEX('Tournament Setup'!$AM:$AM,MATCH($A359,'Tournament Setup'!$A:$A,0))&lt;=MOD($Y359,18),1,0)))</f>
      </c>
      <c r="AJ359" t="e">
        <f>IF(OR(OR($A359="",$D359=""),P359=""),"",P359-(INT($Y359/18)+IF(INDEX('Tournament Setup'!$AN:$AN,MATCH($A359,'Tournament Setup'!$A:$A,0))&lt;=MOD($Y359,18),1,0)))</f>
      </c>
      <c r="AK359" t="e">
        <f>IF(OR(OR($A359="",$D359=""),Q359=""),"",Q359-(INT($Y359/18)+IF(INDEX('Tournament Setup'!$AO:$AO,MATCH($A359,'Tournament Setup'!$A:$A,0))&lt;=MOD($Y359,18),1,0)))</f>
      </c>
      <c r="AL359" t="e">
        <f>IF(OR(OR($A359="",$D359=""),R359=""),"",R359-(INT($Y359/18)+IF(INDEX('Tournament Setup'!$AP:$AP,MATCH($A359,'Tournament Setup'!$A:$A,0))&lt;=MOD($Y359,18),1,0)))</f>
      </c>
      <c r="AM359" t="e">
        <f>IF(OR(OR($A359="",$D359=""),S359=""),"",S359-(INT($Y359/18)+IF(INDEX('Tournament Setup'!$AQ:$AQ,MATCH($A359,'Tournament Setup'!$A:$A,0))&lt;=MOD($Y359,18),1,0)))</f>
      </c>
      <c r="AN359" t="e">
        <f>IF(OR(OR($A359="",$D359=""),T359=""),"",T359-(INT($Y359/18)+IF(INDEX('Tournament Setup'!$AR:$AR,MATCH($A359,'Tournament Setup'!$A:$A,0))&lt;=MOD($Y359,18),1,0)))</f>
      </c>
      <c r="AO359" t="e">
        <f>IF(OR(OR($A359="",$D359=""),U359=""),"",U359-(INT($Y359/18)+IF(INDEX('Tournament Setup'!$AS:$AS,MATCH($A359,'Tournament Setup'!$A:$A,0))&lt;=MOD($Y359,18),1,0)))</f>
      </c>
      <c r="AP359" t="e">
        <f>IF(OR(OR($A359="",$D359=""),V359=""),"",V359-(INT($Y359/18)+IF(INDEX('Tournament Setup'!$AT:$AT,MATCH($A359,'Tournament Setup'!$A:$A,0))&lt;=MOD($Y359,18),1,0)))</f>
      </c>
      <c r="AQ359" t="e">
        <f>IF(OR(OR($A359="",$D359=""),W359=""),"",W359-(INT($Y359/18)+IF(INDEX('Tournament Setup'!$AU:$AU,MATCH($A359,'Tournament Setup'!$A:$A,0))&lt;=MOD($Y359,18),1,0)))</f>
      </c>
    </row>
    <row r="360">
      <c r="X360" t="e">
        <f>IF(OR($A360="",$D360=""),"",SUM(F360:W360))</f>
      </c>
      <c r="Y360" t="e">
        <f>IF(OR($A360="",$D360=""),"",IF(INDEX('Tournament Setup'!$F:$F,MATCH($A360,'Tournament Setup'!$A:$A,0))="Net",ROUND(($E360-_xlfn.MINIFS($E$2:$E$401,$A$2:$A$401,$A360,$B$2:$B$401,$B360))*INDEX('Tournament Setup'!$G:$G,MATCH($A360,'Tournament Setup'!$A:$A,0))/100,0),0))</f>
      </c>
      <c r="Z360" t="e">
        <f>IF(OR(OR($A360="",$D360=""),F360=""),"",F360-(INT($Y360/18)+IF(INDEX('Tournament Setup'!$AD:$AD,MATCH($A360,'Tournament Setup'!$A:$A,0))&lt;=MOD($Y360,18),1,0)))</f>
      </c>
      <c r="AA360" t="e">
        <f>IF(OR(OR($A360="",$D360=""),G360=""),"",G360-(INT($Y360/18)+IF(INDEX('Tournament Setup'!$AE:$AE,MATCH($A360,'Tournament Setup'!$A:$A,0))&lt;=MOD($Y360,18),1,0)))</f>
      </c>
      <c r="AB360" t="e">
        <f>IF(OR(OR($A360="",$D360=""),H360=""),"",H360-(INT($Y360/18)+IF(INDEX('Tournament Setup'!$AF:$AF,MATCH($A360,'Tournament Setup'!$A:$A,0))&lt;=MOD($Y360,18),1,0)))</f>
      </c>
      <c r="AC360" t="e">
        <f>IF(OR(OR($A360="",$D360=""),I360=""),"",I360-(INT($Y360/18)+IF(INDEX('Tournament Setup'!$AG:$AG,MATCH($A360,'Tournament Setup'!$A:$A,0))&lt;=MOD($Y360,18),1,0)))</f>
      </c>
      <c r="AD360" t="e">
        <f>IF(OR(OR($A360="",$D360=""),J360=""),"",J360-(INT($Y360/18)+IF(INDEX('Tournament Setup'!$AH:$AH,MATCH($A360,'Tournament Setup'!$A:$A,0))&lt;=MOD($Y360,18),1,0)))</f>
      </c>
      <c r="AE360" t="e">
        <f>IF(OR(OR($A360="",$D360=""),K360=""),"",K360-(INT($Y360/18)+IF(INDEX('Tournament Setup'!$AI:$AI,MATCH($A360,'Tournament Setup'!$A:$A,0))&lt;=MOD($Y360,18),1,0)))</f>
      </c>
      <c r="AF360" t="e">
        <f>IF(OR(OR($A360="",$D360=""),L360=""),"",L360-(INT($Y360/18)+IF(INDEX('Tournament Setup'!$AJ:$AJ,MATCH($A360,'Tournament Setup'!$A:$A,0))&lt;=MOD($Y360,18),1,0)))</f>
      </c>
      <c r="AG360" t="e">
        <f>IF(OR(OR($A360="",$D360=""),M360=""),"",M360-(INT($Y360/18)+IF(INDEX('Tournament Setup'!$AK:$AK,MATCH($A360,'Tournament Setup'!$A:$A,0))&lt;=MOD($Y360,18),1,0)))</f>
      </c>
      <c r="AH360" t="e">
        <f>IF(OR(OR($A360="",$D360=""),N360=""),"",N360-(INT($Y360/18)+IF(INDEX('Tournament Setup'!$AL:$AL,MATCH($A360,'Tournament Setup'!$A:$A,0))&lt;=MOD($Y360,18),1,0)))</f>
      </c>
      <c r="AI360" t="e">
        <f>IF(OR(OR($A360="",$D360=""),O360=""),"",O360-(INT($Y360/18)+IF(INDEX('Tournament Setup'!$AM:$AM,MATCH($A360,'Tournament Setup'!$A:$A,0))&lt;=MOD($Y360,18),1,0)))</f>
      </c>
      <c r="AJ360" t="e">
        <f>IF(OR(OR($A360="",$D360=""),P360=""),"",P360-(INT($Y360/18)+IF(INDEX('Tournament Setup'!$AN:$AN,MATCH($A360,'Tournament Setup'!$A:$A,0))&lt;=MOD($Y360,18),1,0)))</f>
      </c>
      <c r="AK360" t="e">
        <f>IF(OR(OR($A360="",$D360=""),Q360=""),"",Q360-(INT($Y360/18)+IF(INDEX('Tournament Setup'!$AO:$AO,MATCH($A360,'Tournament Setup'!$A:$A,0))&lt;=MOD($Y360,18),1,0)))</f>
      </c>
      <c r="AL360" t="e">
        <f>IF(OR(OR($A360="",$D360=""),R360=""),"",R360-(INT($Y360/18)+IF(INDEX('Tournament Setup'!$AP:$AP,MATCH($A360,'Tournament Setup'!$A:$A,0))&lt;=MOD($Y360,18),1,0)))</f>
      </c>
      <c r="AM360" t="e">
        <f>IF(OR(OR($A360="",$D360=""),S360=""),"",S360-(INT($Y360/18)+IF(INDEX('Tournament Setup'!$AQ:$AQ,MATCH($A360,'Tournament Setup'!$A:$A,0))&lt;=MOD($Y360,18),1,0)))</f>
      </c>
      <c r="AN360" t="e">
        <f>IF(OR(OR($A360="",$D360=""),T360=""),"",T360-(INT($Y360/18)+IF(INDEX('Tournament Setup'!$AR:$AR,MATCH($A360,'Tournament Setup'!$A:$A,0))&lt;=MOD($Y360,18),1,0)))</f>
      </c>
      <c r="AO360" t="e">
        <f>IF(OR(OR($A360="",$D360=""),U360=""),"",U360-(INT($Y360/18)+IF(INDEX('Tournament Setup'!$AS:$AS,MATCH($A360,'Tournament Setup'!$A:$A,0))&lt;=MOD($Y360,18),1,0)))</f>
      </c>
      <c r="AP360" t="e">
        <f>IF(OR(OR($A360="",$D360=""),V360=""),"",V360-(INT($Y360/18)+IF(INDEX('Tournament Setup'!$AT:$AT,MATCH($A360,'Tournament Setup'!$A:$A,0))&lt;=MOD($Y360,18),1,0)))</f>
      </c>
      <c r="AQ360" t="e">
        <f>IF(OR(OR($A360="",$D360=""),W360=""),"",W360-(INT($Y360/18)+IF(INDEX('Tournament Setup'!$AU:$AU,MATCH($A360,'Tournament Setup'!$A:$A,0))&lt;=MOD($Y360,18),1,0)))</f>
      </c>
    </row>
    <row r="361">
      <c r="X361" t="e">
        <f>IF(OR($A361="",$D361=""),"",SUM(F361:W361))</f>
      </c>
      <c r="Y361" t="e">
        <f>IF(OR($A361="",$D361=""),"",IF(INDEX('Tournament Setup'!$F:$F,MATCH($A361,'Tournament Setup'!$A:$A,0))="Net",ROUND(($E361-_xlfn.MINIFS($E$2:$E$401,$A$2:$A$401,$A361,$B$2:$B$401,$B361))*INDEX('Tournament Setup'!$G:$G,MATCH($A361,'Tournament Setup'!$A:$A,0))/100,0),0))</f>
      </c>
      <c r="Z361" t="e">
        <f>IF(OR(OR($A361="",$D361=""),F361=""),"",F361-(INT($Y361/18)+IF(INDEX('Tournament Setup'!$AD:$AD,MATCH($A361,'Tournament Setup'!$A:$A,0))&lt;=MOD($Y361,18),1,0)))</f>
      </c>
      <c r="AA361" t="e">
        <f>IF(OR(OR($A361="",$D361=""),G361=""),"",G361-(INT($Y361/18)+IF(INDEX('Tournament Setup'!$AE:$AE,MATCH($A361,'Tournament Setup'!$A:$A,0))&lt;=MOD($Y361,18),1,0)))</f>
      </c>
      <c r="AB361" t="e">
        <f>IF(OR(OR($A361="",$D361=""),H361=""),"",H361-(INT($Y361/18)+IF(INDEX('Tournament Setup'!$AF:$AF,MATCH($A361,'Tournament Setup'!$A:$A,0))&lt;=MOD($Y361,18),1,0)))</f>
      </c>
      <c r="AC361" t="e">
        <f>IF(OR(OR($A361="",$D361=""),I361=""),"",I361-(INT($Y361/18)+IF(INDEX('Tournament Setup'!$AG:$AG,MATCH($A361,'Tournament Setup'!$A:$A,0))&lt;=MOD($Y361,18),1,0)))</f>
      </c>
      <c r="AD361" t="e">
        <f>IF(OR(OR($A361="",$D361=""),J361=""),"",J361-(INT($Y361/18)+IF(INDEX('Tournament Setup'!$AH:$AH,MATCH($A361,'Tournament Setup'!$A:$A,0))&lt;=MOD($Y361,18),1,0)))</f>
      </c>
      <c r="AE361" t="e">
        <f>IF(OR(OR($A361="",$D361=""),K361=""),"",K361-(INT($Y361/18)+IF(INDEX('Tournament Setup'!$AI:$AI,MATCH($A361,'Tournament Setup'!$A:$A,0))&lt;=MOD($Y361,18),1,0)))</f>
      </c>
      <c r="AF361" t="e">
        <f>IF(OR(OR($A361="",$D361=""),L361=""),"",L361-(INT($Y361/18)+IF(INDEX('Tournament Setup'!$AJ:$AJ,MATCH($A361,'Tournament Setup'!$A:$A,0))&lt;=MOD($Y361,18),1,0)))</f>
      </c>
      <c r="AG361" t="e">
        <f>IF(OR(OR($A361="",$D361=""),M361=""),"",M361-(INT($Y361/18)+IF(INDEX('Tournament Setup'!$AK:$AK,MATCH($A361,'Tournament Setup'!$A:$A,0))&lt;=MOD($Y361,18),1,0)))</f>
      </c>
      <c r="AH361" t="e">
        <f>IF(OR(OR($A361="",$D361=""),N361=""),"",N361-(INT($Y361/18)+IF(INDEX('Tournament Setup'!$AL:$AL,MATCH($A361,'Tournament Setup'!$A:$A,0))&lt;=MOD($Y361,18),1,0)))</f>
      </c>
      <c r="AI361" t="e">
        <f>IF(OR(OR($A361="",$D361=""),O361=""),"",O361-(INT($Y361/18)+IF(INDEX('Tournament Setup'!$AM:$AM,MATCH($A361,'Tournament Setup'!$A:$A,0))&lt;=MOD($Y361,18),1,0)))</f>
      </c>
      <c r="AJ361" t="e">
        <f>IF(OR(OR($A361="",$D361=""),P361=""),"",P361-(INT($Y361/18)+IF(INDEX('Tournament Setup'!$AN:$AN,MATCH($A361,'Tournament Setup'!$A:$A,0))&lt;=MOD($Y361,18),1,0)))</f>
      </c>
      <c r="AK361" t="e">
        <f>IF(OR(OR($A361="",$D361=""),Q361=""),"",Q361-(INT($Y361/18)+IF(INDEX('Tournament Setup'!$AO:$AO,MATCH($A361,'Tournament Setup'!$A:$A,0))&lt;=MOD($Y361,18),1,0)))</f>
      </c>
      <c r="AL361" t="e">
        <f>IF(OR(OR($A361="",$D361=""),R361=""),"",R361-(INT($Y361/18)+IF(INDEX('Tournament Setup'!$AP:$AP,MATCH($A361,'Tournament Setup'!$A:$A,0))&lt;=MOD($Y361,18),1,0)))</f>
      </c>
      <c r="AM361" t="e">
        <f>IF(OR(OR($A361="",$D361=""),S361=""),"",S361-(INT($Y361/18)+IF(INDEX('Tournament Setup'!$AQ:$AQ,MATCH($A361,'Tournament Setup'!$A:$A,0))&lt;=MOD($Y361,18),1,0)))</f>
      </c>
      <c r="AN361" t="e">
        <f>IF(OR(OR($A361="",$D361=""),T361=""),"",T361-(INT($Y361/18)+IF(INDEX('Tournament Setup'!$AR:$AR,MATCH($A361,'Tournament Setup'!$A:$A,0))&lt;=MOD($Y361,18),1,0)))</f>
      </c>
      <c r="AO361" t="e">
        <f>IF(OR(OR($A361="",$D361=""),U361=""),"",U361-(INT($Y361/18)+IF(INDEX('Tournament Setup'!$AS:$AS,MATCH($A361,'Tournament Setup'!$A:$A,0))&lt;=MOD($Y361,18),1,0)))</f>
      </c>
      <c r="AP361" t="e">
        <f>IF(OR(OR($A361="",$D361=""),V361=""),"",V361-(INT($Y361/18)+IF(INDEX('Tournament Setup'!$AT:$AT,MATCH($A361,'Tournament Setup'!$A:$A,0))&lt;=MOD($Y361,18),1,0)))</f>
      </c>
      <c r="AQ361" t="e">
        <f>IF(OR(OR($A361="",$D361=""),W361=""),"",W361-(INT($Y361/18)+IF(INDEX('Tournament Setup'!$AU:$AU,MATCH($A361,'Tournament Setup'!$A:$A,0))&lt;=MOD($Y361,18),1,0)))</f>
      </c>
    </row>
    <row r="362">
      <c r="X362" t="e">
        <f>IF(OR($A362="",$D362=""),"",SUM(F362:W362))</f>
      </c>
      <c r="Y362" t="e">
        <f>IF(OR($A362="",$D362=""),"",IF(INDEX('Tournament Setup'!$F:$F,MATCH($A362,'Tournament Setup'!$A:$A,0))="Net",ROUND(($E362-_xlfn.MINIFS($E$2:$E$401,$A$2:$A$401,$A362,$B$2:$B$401,$B362))*INDEX('Tournament Setup'!$G:$G,MATCH($A362,'Tournament Setup'!$A:$A,0))/100,0),0))</f>
      </c>
      <c r="Z362" t="e">
        <f>IF(OR(OR($A362="",$D362=""),F362=""),"",F362-(INT($Y362/18)+IF(INDEX('Tournament Setup'!$AD:$AD,MATCH($A362,'Tournament Setup'!$A:$A,0))&lt;=MOD($Y362,18),1,0)))</f>
      </c>
      <c r="AA362" t="e">
        <f>IF(OR(OR($A362="",$D362=""),G362=""),"",G362-(INT($Y362/18)+IF(INDEX('Tournament Setup'!$AE:$AE,MATCH($A362,'Tournament Setup'!$A:$A,0))&lt;=MOD($Y362,18),1,0)))</f>
      </c>
      <c r="AB362" t="e">
        <f>IF(OR(OR($A362="",$D362=""),H362=""),"",H362-(INT($Y362/18)+IF(INDEX('Tournament Setup'!$AF:$AF,MATCH($A362,'Tournament Setup'!$A:$A,0))&lt;=MOD($Y362,18),1,0)))</f>
      </c>
      <c r="AC362" t="e">
        <f>IF(OR(OR($A362="",$D362=""),I362=""),"",I362-(INT($Y362/18)+IF(INDEX('Tournament Setup'!$AG:$AG,MATCH($A362,'Tournament Setup'!$A:$A,0))&lt;=MOD($Y362,18),1,0)))</f>
      </c>
      <c r="AD362" t="e">
        <f>IF(OR(OR($A362="",$D362=""),J362=""),"",J362-(INT($Y362/18)+IF(INDEX('Tournament Setup'!$AH:$AH,MATCH($A362,'Tournament Setup'!$A:$A,0))&lt;=MOD($Y362,18),1,0)))</f>
      </c>
      <c r="AE362" t="e">
        <f>IF(OR(OR($A362="",$D362=""),K362=""),"",K362-(INT($Y362/18)+IF(INDEX('Tournament Setup'!$AI:$AI,MATCH($A362,'Tournament Setup'!$A:$A,0))&lt;=MOD($Y362,18),1,0)))</f>
      </c>
      <c r="AF362" t="e">
        <f>IF(OR(OR($A362="",$D362=""),L362=""),"",L362-(INT($Y362/18)+IF(INDEX('Tournament Setup'!$AJ:$AJ,MATCH($A362,'Tournament Setup'!$A:$A,0))&lt;=MOD($Y362,18),1,0)))</f>
      </c>
      <c r="AG362" t="e">
        <f>IF(OR(OR($A362="",$D362=""),M362=""),"",M362-(INT($Y362/18)+IF(INDEX('Tournament Setup'!$AK:$AK,MATCH($A362,'Tournament Setup'!$A:$A,0))&lt;=MOD($Y362,18),1,0)))</f>
      </c>
      <c r="AH362" t="e">
        <f>IF(OR(OR($A362="",$D362=""),N362=""),"",N362-(INT($Y362/18)+IF(INDEX('Tournament Setup'!$AL:$AL,MATCH($A362,'Tournament Setup'!$A:$A,0))&lt;=MOD($Y362,18),1,0)))</f>
      </c>
      <c r="AI362" t="e">
        <f>IF(OR(OR($A362="",$D362=""),O362=""),"",O362-(INT($Y362/18)+IF(INDEX('Tournament Setup'!$AM:$AM,MATCH($A362,'Tournament Setup'!$A:$A,0))&lt;=MOD($Y362,18),1,0)))</f>
      </c>
      <c r="AJ362" t="e">
        <f>IF(OR(OR($A362="",$D362=""),P362=""),"",P362-(INT($Y362/18)+IF(INDEX('Tournament Setup'!$AN:$AN,MATCH($A362,'Tournament Setup'!$A:$A,0))&lt;=MOD($Y362,18),1,0)))</f>
      </c>
      <c r="AK362" t="e">
        <f>IF(OR(OR($A362="",$D362=""),Q362=""),"",Q362-(INT($Y362/18)+IF(INDEX('Tournament Setup'!$AO:$AO,MATCH($A362,'Tournament Setup'!$A:$A,0))&lt;=MOD($Y362,18),1,0)))</f>
      </c>
      <c r="AL362" t="e">
        <f>IF(OR(OR($A362="",$D362=""),R362=""),"",R362-(INT($Y362/18)+IF(INDEX('Tournament Setup'!$AP:$AP,MATCH($A362,'Tournament Setup'!$A:$A,0))&lt;=MOD($Y362,18),1,0)))</f>
      </c>
      <c r="AM362" t="e">
        <f>IF(OR(OR($A362="",$D362=""),S362=""),"",S362-(INT($Y362/18)+IF(INDEX('Tournament Setup'!$AQ:$AQ,MATCH($A362,'Tournament Setup'!$A:$A,0))&lt;=MOD($Y362,18),1,0)))</f>
      </c>
      <c r="AN362" t="e">
        <f>IF(OR(OR($A362="",$D362=""),T362=""),"",T362-(INT($Y362/18)+IF(INDEX('Tournament Setup'!$AR:$AR,MATCH($A362,'Tournament Setup'!$A:$A,0))&lt;=MOD($Y362,18),1,0)))</f>
      </c>
      <c r="AO362" t="e">
        <f>IF(OR(OR($A362="",$D362=""),U362=""),"",U362-(INT($Y362/18)+IF(INDEX('Tournament Setup'!$AS:$AS,MATCH($A362,'Tournament Setup'!$A:$A,0))&lt;=MOD($Y362,18),1,0)))</f>
      </c>
      <c r="AP362" t="e">
        <f>IF(OR(OR($A362="",$D362=""),V362=""),"",V362-(INT($Y362/18)+IF(INDEX('Tournament Setup'!$AT:$AT,MATCH($A362,'Tournament Setup'!$A:$A,0))&lt;=MOD($Y362,18),1,0)))</f>
      </c>
      <c r="AQ362" t="e">
        <f>IF(OR(OR($A362="",$D362=""),W362=""),"",W362-(INT($Y362/18)+IF(INDEX('Tournament Setup'!$AU:$AU,MATCH($A362,'Tournament Setup'!$A:$A,0))&lt;=MOD($Y362,18),1,0)))</f>
      </c>
    </row>
    <row r="363">
      <c r="X363" t="e">
        <f>IF(OR($A363="",$D363=""),"",SUM(F363:W363))</f>
      </c>
      <c r="Y363" t="e">
        <f>IF(OR($A363="",$D363=""),"",IF(INDEX('Tournament Setup'!$F:$F,MATCH($A363,'Tournament Setup'!$A:$A,0))="Net",ROUND(($E363-_xlfn.MINIFS($E$2:$E$401,$A$2:$A$401,$A363,$B$2:$B$401,$B363))*INDEX('Tournament Setup'!$G:$G,MATCH($A363,'Tournament Setup'!$A:$A,0))/100,0),0))</f>
      </c>
      <c r="Z363" t="e">
        <f>IF(OR(OR($A363="",$D363=""),F363=""),"",F363-(INT($Y363/18)+IF(INDEX('Tournament Setup'!$AD:$AD,MATCH($A363,'Tournament Setup'!$A:$A,0))&lt;=MOD($Y363,18),1,0)))</f>
      </c>
      <c r="AA363" t="e">
        <f>IF(OR(OR($A363="",$D363=""),G363=""),"",G363-(INT($Y363/18)+IF(INDEX('Tournament Setup'!$AE:$AE,MATCH($A363,'Tournament Setup'!$A:$A,0))&lt;=MOD($Y363,18),1,0)))</f>
      </c>
      <c r="AB363" t="e">
        <f>IF(OR(OR($A363="",$D363=""),H363=""),"",H363-(INT($Y363/18)+IF(INDEX('Tournament Setup'!$AF:$AF,MATCH($A363,'Tournament Setup'!$A:$A,0))&lt;=MOD($Y363,18),1,0)))</f>
      </c>
      <c r="AC363" t="e">
        <f>IF(OR(OR($A363="",$D363=""),I363=""),"",I363-(INT($Y363/18)+IF(INDEX('Tournament Setup'!$AG:$AG,MATCH($A363,'Tournament Setup'!$A:$A,0))&lt;=MOD($Y363,18),1,0)))</f>
      </c>
      <c r="AD363" t="e">
        <f>IF(OR(OR($A363="",$D363=""),J363=""),"",J363-(INT($Y363/18)+IF(INDEX('Tournament Setup'!$AH:$AH,MATCH($A363,'Tournament Setup'!$A:$A,0))&lt;=MOD($Y363,18),1,0)))</f>
      </c>
      <c r="AE363" t="e">
        <f>IF(OR(OR($A363="",$D363=""),K363=""),"",K363-(INT($Y363/18)+IF(INDEX('Tournament Setup'!$AI:$AI,MATCH($A363,'Tournament Setup'!$A:$A,0))&lt;=MOD($Y363,18),1,0)))</f>
      </c>
      <c r="AF363" t="e">
        <f>IF(OR(OR($A363="",$D363=""),L363=""),"",L363-(INT($Y363/18)+IF(INDEX('Tournament Setup'!$AJ:$AJ,MATCH($A363,'Tournament Setup'!$A:$A,0))&lt;=MOD($Y363,18),1,0)))</f>
      </c>
      <c r="AG363" t="e">
        <f>IF(OR(OR($A363="",$D363=""),M363=""),"",M363-(INT($Y363/18)+IF(INDEX('Tournament Setup'!$AK:$AK,MATCH($A363,'Tournament Setup'!$A:$A,0))&lt;=MOD($Y363,18),1,0)))</f>
      </c>
      <c r="AH363" t="e">
        <f>IF(OR(OR($A363="",$D363=""),N363=""),"",N363-(INT($Y363/18)+IF(INDEX('Tournament Setup'!$AL:$AL,MATCH($A363,'Tournament Setup'!$A:$A,0))&lt;=MOD($Y363,18),1,0)))</f>
      </c>
      <c r="AI363" t="e">
        <f>IF(OR(OR($A363="",$D363=""),O363=""),"",O363-(INT($Y363/18)+IF(INDEX('Tournament Setup'!$AM:$AM,MATCH($A363,'Tournament Setup'!$A:$A,0))&lt;=MOD($Y363,18),1,0)))</f>
      </c>
      <c r="AJ363" t="e">
        <f>IF(OR(OR($A363="",$D363=""),P363=""),"",P363-(INT($Y363/18)+IF(INDEX('Tournament Setup'!$AN:$AN,MATCH($A363,'Tournament Setup'!$A:$A,0))&lt;=MOD($Y363,18),1,0)))</f>
      </c>
      <c r="AK363" t="e">
        <f>IF(OR(OR($A363="",$D363=""),Q363=""),"",Q363-(INT($Y363/18)+IF(INDEX('Tournament Setup'!$AO:$AO,MATCH($A363,'Tournament Setup'!$A:$A,0))&lt;=MOD($Y363,18),1,0)))</f>
      </c>
      <c r="AL363" t="e">
        <f>IF(OR(OR($A363="",$D363=""),R363=""),"",R363-(INT($Y363/18)+IF(INDEX('Tournament Setup'!$AP:$AP,MATCH($A363,'Tournament Setup'!$A:$A,0))&lt;=MOD($Y363,18),1,0)))</f>
      </c>
      <c r="AM363" t="e">
        <f>IF(OR(OR($A363="",$D363=""),S363=""),"",S363-(INT($Y363/18)+IF(INDEX('Tournament Setup'!$AQ:$AQ,MATCH($A363,'Tournament Setup'!$A:$A,0))&lt;=MOD($Y363,18),1,0)))</f>
      </c>
      <c r="AN363" t="e">
        <f>IF(OR(OR($A363="",$D363=""),T363=""),"",T363-(INT($Y363/18)+IF(INDEX('Tournament Setup'!$AR:$AR,MATCH($A363,'Tournament Setup'!$A:$A,0))&lt;=MOD($Y363,18),1,0)))</f>
      </c>
      <c r="AO363" t="e">
        <f>IF(OR(OR($A363="",$D363=""),U363=""),"",U363-(INT($Y363/18)+IF(INDEX('Tournament Setup'!$AS:$AS,MATCH($A363,'Tournament Setup'!$A:$A,0))&lt;=MOD($Y363,18),1,0)))</f>
      </c>
      <c r="AP363" t="e">
        <f>IF(OR(OR($A363="",$D363=""),V363=""),"",V363-(INT($Y363/18)+IF(INDEX('Tournament Setup'!$AT:$AT,MATCH($A363,'Tournament Setup'!$A:$A,0))&lt;=MOD($Y363,18),1,0)))</f>
      </c>
      <c r="AQ363" t="e">
        <f>IF(OR(OR($A363="",$D363=""),W363=""),"",W363-(INT($Y363/18)+IF(INDEX('Tournament Setup'!$AU:$AU,MATCH($A363,'Tournament Setup'!$A:$A,0))&lt;=MOD($Y363,18),1,0)))</f>
      </c>
    </row>
    <row r="364">
      <c r="X364" t="e">
        <f>IF(OR($A364="",$D364=""),"",SUM(F364:W364))</f>
      </c>
      <c r="Y364" t="e">
        <f>IF(OR($A364="",$D364=""),"",IF(INDEX('Tournament Setup'!$F:$F,MATCH($A364,'Tournament Setup'!$A:$A,0))="Net",ROUND(($E364-_xlfn.MINIFS($E$2:$E$401,$A$2:$A$401,$A364,$B$2:$B$401,$B364))*INDEX('Tournament Setup'!$G:$G,MATCH($A364,'Tournament Setup'!$A:$A,0))/100,0),0))</f>
      </c>
      <c r="Z364" t="e">
        <f>IF(OR(OR($A364="",$D364=""),F364=""),"",F364-(INT($Y364/18)+IF(INDEX('Tournament Setup'!$AD:$AD,MATCH($A364,'Tournament Setup'!$A:$A,0))&lt;=MOD($Y364,18),1,0)))</f>
      </c>
      <c r="AA364" t="e">
        <f>IF(OR(OR($A364="",$D364=""),G364=""),"",G364-(INT($Y364/18)+IF(INDEX('Tournament Setup'!$AE:$AE,MATCH($A364,'Tournament Setup'!$A:$A,0))&lt;=MOD($Y364,18),1,0)))</f>
      </c>
      <c r="AB364" t="e">
        <f>IF(OR(OR($A364="",$D364=""),H364=""),"",H364-(INT($Y364/18)+IF(INDEX('Tournament Setup'!$AF:$AF,MATCH($A364,'Tournament Setup'!$A:$A,0))&lt;=MOD($Y364,18),1,0)))</f>
      </c>
      <c r="AC364" t="e">
        <f>IF(OR(OR($A364="",$D364=""),I364=""),"",I364-(INT($Y364/18)+IF(INDEX('Tournament Setup'!$AG:$AG,MATCH($A364,'Tournament Setup'!$A:$A,0))&lt;=MOD($Y364,18),1,0)))</f>
      </c>
      <c r="AD364" t="e">
        <f>IF(OR(OR($A364="",$D364=""),J364=""),"",J364-(INT($Y364/18)+IF(INDEX('Tournament Setup'!$AH:$AH,MATCH($A364,'Tournament Setup'!$A:$A,0))&lt;=MOD($Y364,18),1,0)))</f>
      </c>
      <c r="AE364" t="e">
        <f>IF(OR(OR($A364="",$D364=""),K364=""),"",K364-(INT($Y364/18)+IF(INDEX('Tournament Setup'!$AI:$AI,MATCH($A364,'Tournament Setup'!$A:$A,0))&lt;=MOD($Y364,18),1,0)))</f>
      </c>
      <c r="AF364" t="e">
        <f>IF(OR(OR($A364="",$D364=""),L364=""),"",L364-(INT($Y364/18)+IF(INDEX('Tournament Setup'!$AJ:$AJ,MATCH($A364,'Tournament Setup'!$A:$A,0))&lt;=MOD($Y364,18),1,0)))</f>
      </c>
      <c r="AG364" t="e">
        <f>IF(OR(OR($A364="",$D364=""),M364=""),"",M364-(INT($Y364/18)+IF(INDEX('Tournament Setup'!$AK:$AK,MATCH($A364,'Tournament Setup'!$A:$A,0))&lt;=MOD($Y364,18),1,0)))</f>
      </c>
      <c r="AH364" t="e">
        <f>IF(OR(OR($A364="",$D364=""),N364=""),"",N364-(INT($Y364/18)+IF(INDEX('Tournament Setup'!$AL:$AL,MATCH($A364,'Tournament Setup'!$A:$A,0))&lt;=MOD($Y364,18),1,0)))</f>
      </c>
      <c r="AI364" t="e">
        <f>IF(OR(OR($A364="",$D364=""),O364=""),"",O364-(INT($Y364/18)+IF(INDEX('Tournament Setup'!$AM:$AM,MATCH($A364,'Tournament Setup'!$A:$A,0))&lt;=MOD($Y364,18),1,0)))</f>
      </c>
      <c r="AJ364" t="e">
        <f>IF(OR(OR($A364="",$D364=""),P364=""),"",P364-(INT($Y364/18)+IF(INDEX('Tournament Setup'!$AN:$AN,MATCH($A364,'Tournament Setup'!$A:$A,0))&lt;=MOD($Y364,18),1,0)))</f>
      </c>
      <c r="AK364" t="e">
        <f>IF(OR(OR($A364="",$D364=""),Q364=""),"",Q364-(INT($Y364/18)+IF(INDEX('Tournament Setup'!$AO:$AO,MATCH($A364,'Tournament Setup'!$A:$A,0))&lt;=MOD($Y364,18),1,0)))</f>
      </c>
      <c r="AL364" t="e">
        <f>IF(OR(OR($A364="",$D364=""),R364=""),"",R364-(INT($Y364/18)+IF(INDEX('Tournament Setup'!$AP:$AP,MATCH($A364,'Tournament Setup'!$A:$A,0))&lt;=MOD($Y364,18),1,0)))</f>
      </c>
      <c r="AM364" t="e">
        <f>IF(OR(OR($A364="",$D364=""),S364=""),"",S364-(INT($Y364/18)+IF(INDEX('Tournament Setup'!$AQ:$AQ,MATCH($A364,'Tournament Setup'!$A:$A,0))&lt;=MOD($Y364,18),1,0)))</f>
      </c>
      <c r="AN364" t="e">
        <f>IF(OR(OR($A364="",$D364=""),T364=""),"",T364-(INT($Y364/18)+IF(INDEX('Tournament Setup'!$AR:$AR,MATCH($A364,'Tournament Setup'!$A:$A,0))&lt;=MOD($Y364,18),1,0)))</f>
      </c>
      <c r="AO364" t="e">
        <f>IF(OR(OR($A364="",$D364=""),U364=""),"",U364-(INT($Y364/18)+IF(INDEX('Tournament Setup'!$AS:$AS,MATCH($A364,'Tournament Setup'!$A:$A,0))&lt;=MOD($Y364,18),1,0)))</f>
      </c>
      <c r="AP364" t="e">
        <f>IF(OR(OR($A364="",$D364=""),V364=""),"",V364-(INT($Y364/18)+IF(INDEX('Tournament Setup'!$AT:$AT,MATCH($A364,'Tournament Setup'!$A:$A,0))&lt;=MOD($Y364,18),1,0)))</f>
      </c>
      <c r="AQ364" t="e">
        <f>IF(OR(OR($A364="",$D364=""),W364=""),"",W364-(INT($Y364/18)+IF(INDEX('Tournament Setup'!$AU:$AU,MATCH($A364,'Tournament Setup'!$A:$A,0))&lt;=MOD($Y364,18),1,0)))</f>
      </c>
    </row>
    <row r="365">
      <c r="X365" t="e">
        <f>IF(OR($A365="",$D365=""),"",SUM(F365:W365))</f>
      </c>
      <c r="Y365" t="e">
        <f>IF(OR($A365="",$D365=""),"",IF(INDEX('Tournament Setup'!$F:$F,MATCH($A365,'Tournament Setup'!$A:$A,0))="Net",ROUND(($E365-_xlfn.MINIFS($E$2:$E$401,$A$2:$A$401,$A365,$B$2:$B$401,$B365))*INDEX('Tournament Setup'!$G:$G,MATCH($A365,'Tournament Setup'!$A:$A,0))/100,0),0))</f>
      </c>
      <c r="Z365" t="e">
        <f>IF(OR(OR($A365="",$D365=""),F365=""),"",F365-(INT($Y365/18)+IF(INDEX('Tournament Setup'!$AD:$AD,MATCH($A365,'Tournament Setup'!$A:$A,0))&lt;=MOD($Y365,18),1,0)))</f>
      </c>
      <c r="AA365" t="e">
        <f>IF(OR(OR($A365="",$D365=""),G365=""),"",G365-(INT($Y365/18)+IF(INDEX('Tournament Setup'!$AE:$AE,MATCH($A365,'Tournament Setup'!$A:$A,0))&lt;=MOD($Y365,18),1,0)))</f>
      </c>
      <c r="AB365" t="e">
        <f>IF(OR(OR($A365="",$D365=""),H365=""),"",H365-(INT($Y365/18)+IF(INDEX('Tournament Setup'!$AF:$AF,MATCH($A365,'Tournament Setup'!$A:$A,0))&lt;=MOD($Y365,18),1,0)))</f>
      </c>
      <c r="AC365" t="e">
        <f>IF(OR(OR($A365="",$D365=""),I365=""),"",I365-(INT($Y365/18)+IF(INDEX('Tournament Setup'!$AG:$AG,MATCH($A365,'Tournament Setup'!$A:$A,0))&lt;=MOD($Y365,18),1,0)))</f>
      </c>
      <c r="AD365" t="e">
        <f>IF(OR(OR($A365="",$D365=""),J365=""),"",J365-(INT($Y365/18)+IF(INDEX('Tournament Setup'!$AH:$AH,MATCH($A365,'Tournament Setup'!$A:$A,0))&lt;=MOD($Y365,18),1,0)))</f>
      </c>
      <c r="AE365" t="e">
        <f>IF(OR(OR($A365="",$D365=""),K365=""),"",K365-(INT($Y365/18)+IF(INDEX('Tournament Setup'!$AI:$AI,MATCH($A365,'Tournament Setup'!$A:$A,0))&lt;=MOD($Y365,18),1,0)))</f>
      </c>
      <c r="AF365" t="e">
        <f>IF(OR(OR($A365="",$D365=""),L365=""),"",L365-(INT($Y365/18)+IF(INDEX('Tournament Setup'!$AJ:$AJ,MATCH($A365,'Tournament Setup'!$A:$A,0))&lt;=MOD($Y365,18),1,0)))</f>
      </c>
      <c r="AG365" t="e">
        <f>IF(OR(OR($A365="",$D365=""),M365=""),"",M365-(INT($Y365/18)+IF(INDEX('Tournament Setup'!$AK:$AK,MATCH($A365,'Tournament Setup'!$A:$A,0))&lt;=MOD($Y365,18),1,0)))</f>
      </c>
      <c r="AH365" t="e">
        <f>IF(OR(OR($A365="",$D365=""),N365=""),"",N365-(INT($Y365/18)+IF(INDEX('Tournament Setup'!$AL:$AL,MATCH($A365,'Tournament Setup'!$A:$A,0))&lt;=MOD($Y365,18),1,0)))</f>
      </c>
      <c r="AI365" t="e">
        <f>IF(OR(OR($A365="",$D365=""),O365=""),"",O365-(INT($Y365/18)+IF(INDEX('Tournament Setup'!$AM:$AM,MATCH($A365,'Tournament Setup'!$A:$A,0))&lt;=MOD($Y365,18),1,0)))</f>
      </c>
      <c r="AJ365" t="e">
        <f>IF(OR(OR($A365="",$D365=""),P365=""),"",P365-(INT($Y365/18)+IF(INDEX('Tournament Setup'!$AN:$AN,MATCH($A365,'Tournament Setup'!$A:$A,0))&lt;=MOD($Y365,18),1,0)))</f>
      </c>
      <c r="AK365" t="e">
        <f>IF(OR(OR($A365="",$D365=""),Q365=""),"",Q365-(INT($Y365/18)+IF(INDEX('Tournament Setup'!$AO:$AO,MATCH($A365,'Tournament Setup'!$A:$A,0))&lt;=MOD($Y365,18),1,0)))</f>
      </c>
      <c r="AL365" t="e">
        <f>IF(OR(OR($A365="",$D365=""),R365=""),"",R365-(INT($Y365/18)+IF(INDEX('Tournament Setup'!$AP:$AP,MATCH($A365,'Tournament Setup'!$A:$A,0))&lt;=MOD($Y365,18),1,0)))</f>
      </c>
      <c r="AM365" t="e">
        <f>IF(OR(OR($A365="",$D365=""),S365=""),"",S365-(INT($Y365/18)+IF(INDEX('Tournament Setup'!$AQ:$AQ,MATCH($A365,'Tournament Setup'!$A:$A,0))&lt;=MOD($Y365,18),1,0)))</f>
      </c>
      <c r="AN365" t="e">
        <f>IF(OR(OR($A365="",$D365=""),T365=""),"",T365-(INT($Y365/18)+IF(INDEX('Tournament Setup'!$AR:$AR,MATCH($A365,'Tournament Setup'!$A:$A,0))&lt;=MOD($Y365,18),1,0)))</f>
      </c>
      <c r="AO365" t="e">
        <f>IF(OR(OR($A365="",$D365=""),U365=""),"",U365-(INT($Y365/18)+IF(INDEX('Tournament Setup'!$AS:$AS,MATCH($A365,'Tournament Setup'!$A:$A,0))&lt;=MOD($Y365,18),1,0)))</f>
      </c>
      <c r="AP365" t="e">
        <f>IF(OR(OR($A365="",$D365=""),V365=""),"",V365-(INT($Y365/18)+IF(INDEX('Tournament Setup'!$AT:$AT,MATCH($A365,'Tournament Setup'!$A:$A,0))&lt;=MOD($Y365,18),1,0)))</f>
      </c>
      <c r="AQ365" t="e">
        <f>IF(OR(OR($A365="",$D365=""),W365=""),"",W365-(INT($Y365/18)+IF(INDEX('Tournament Setup'!$AU:$AU,MATCH($A365,'Tournament Setup'!$A:$A,0))&lt;=MOD($Y365,18),1,0)))</f>
      </c>
    </row>
    <row r="366">
      <c r="X366" t="e">
        <f>IF(OR($A366="",$D366=""),"",SUM(F366:W366))</f>
      </c>
      <c r="Y366" t="e">
        <f>IF(OR($A366="",$D366=""),"",IF(INDEX('Tournament Setup'!$F:$F,MATCH($A366,'Tournament Setup'!$A:$A,0))="Net",ROUND(($E366-_xlfn.MINIFS($E$2:$E$401,$A$2:$A$401,$A366,$B$2:$B$401,$B366))*INDEX('Tournament Setup'!$G:$G,MATCH($A366,'Tournament Setup'!$A:$A,0))/100,0),0))</f>
      </c>
      <c r="Z366" t="e">
        <f>IF(OR(OR($A366="",$D366=""),F366=""),"",F366-(INT($Y366/18)+IF(INDEX('Tournament Setup'!$AD:$AD,MATCH($A366,'Tournament Setup'!$A:$A,0))&lt;=MOD($Y366,18),1,0)))</f>
      </c>
      <c r="AA366" t="e">
        <f>IF(OR(OR($A366="",$D366=""),G366=""),"",G366-(INT($Y366/18)+IF(INDEX('Tournament Setup'!$AE:$AE,MATCH($A366,'Tournament Setup'!$A:$A,0))&lt;=MOD($Y366,18),1,0)))</f>
      </c>
      <c r="AB366" t="e">
        <f>IF(OR(OR($A366="",$D366=""),H366=""),"",H366-(INT($Y366/18)+IF(INDEX('Tournament Setup'!$AF:$AF,MATCH($A366,'Tournament Setup'!$A:$A,0))&lt;=MOD($Y366,18),1,0)))</f>
      </c>
      <c r="AC366" t="e">
        <f>IF(OR(OR($A366="",$D366=""),I366=""),"",I366-(INT($Y366/18)+IF(INDEX('Tournament Setup'!$AG:$AG,MATCH($A366,'Tournament Setup'!$A:$A,0))&lt;=MOD($Y366,18),1,0)))</f>
      </c>
      <c r="AD366" t="e">
        <f>IF(OR(OR($A366="",$D366=""),J366=""),"",J366-(INT($Y366/18)+IF(INDEX('Tournament Setup'!$AH:$AH,MATCH($A366,'Tournament Setup'!$A:$A,0))&lt;=MOD($Y366,18),1,0)))</f>
      </c>
      <c r="AE366" t="e">
        <f>IF(OR(OR($A366="",$D366=""),K366=""),"",K366-(INT($Y366/18)+IF(INDEX('Tournament Setup'!$AI:$AI,MATCH($A366,'Tournament Setup'!$A:$A,0))&lt;=MOD($Y366,18),1,0)))</f>
      </c>
      <c r="AF366" t="e">
        <f>IF(OR(OR($A366="",$D366=""),L366=""),"",L366-(INT($Y366/18)+IF(INDEX('Tournament Setup'!$AJ:$AJ,MATCH($A366,'Tournament Setup'!$A:$A,0))&lt;=MOD($Y366,18),1,0)))</f>
      </c>
      <c r="AG366" t="e">
        <f>IF(OR(OR($A366="",$D366=""),M366=""),"",M366-(INT($Y366/18)+IF(INDEX('Tournament Setup'!$AK:$AK,MATCH($A366,'Tournament Setup'!$A:$A,0))&lt;=MOD($Y366,18),1,0)))</f>
      </c>
      <c r="AH366" t="e">
        <f>IF(OR(OR($A366="",$D366=""),N366=""),"",N366-(INT($Y366/18)+IF(INDEX('Tournament Setup'!$AL:$AL,MATCH($A366,'Tournament Setup'!$A:$A,0))&lt;=MOD($Y366,18),1,0)))</f>
      </c>
      <c r="AI366" t="e">
        <f>IF(OR(OR($A366="",$D366=""),O366=""),"",O366-(INT($Y366/18)+IF(INDEX('Tournament Setup'!$AM:$AM,MATCH($A366,'Tournament Setup'!$A:$A,0))&lt;=MOD($Y366,18),1,0)))</f>
      </c>
      <c r="AJ366" t="e">
        <f>IF(OR(OR($A366="",$D366=""),P366=""),"",P366-(INT($Y366/18)+IF(INDEX('Tournament Setup'!$AN:$AN,MATCH($A366,'Tournament Setup'!$A:$A,0))&lt;=MOD($Y366,18),1,0)))</f>
      </c>
      <c r="AK366" t="e">
        <f>IF(OR(OR($A366="",$D366=""),Q366=""),"",Q366-(INT($Y366/18)+IF(INDEX('Tournament Setup'!$AO:$AO,MATCH($A366,'Tournament Setup'!$A:$A,0))&lt;=MOD($Y366,18),1,0)))</f>
      </c>
      <c r="AL366" t="e">
        <f>IF(OR(OR($A366="",$D366=""),R366=""),"",R366-(INT($Y366/18)+IF(INDEX('Tournament Setup'!$AP:$AP,MATCH($A366,'Tournament Setup'!$A:$A,0))&lt;=MOD($Y366,18),1,0)))</f>
      </c>
      <c r="AM366" t="e">
        <f>IF(OR(OR($A366="",$D366=""),S366=""),"",S366-(INT($Y366/18)+IF(INDEX('Tournament Setup'!$AQ:$AQ,MATCH($A366,'Tournament Setup'!$A:$A,0))&lt;=MOD($Y366,18),1,0)))</f>
      </c>
      <c r="AN366" t="e">
        <f>IF(OR(OR($A366="",$D366=""),T366=""),"",T366-(INT($Y366/18)+IF(INDEX('Tournament Setup'!$AR:$AR,MATCH($A366,'Tournament Setup'!$A:$A,0))&lt;=MOD($Y366,18),1,0)))</f>
      </c>
      <c r="AO366" t="e">
        <f>IF(OR(OR($A366="",$D366=""),U366=""),"",U366-(INT($Y366/18)+IF(INDEX('Tournament Setup'!$AS:$AS,MATCH($A366,'Tournament Setup'!$A:$A,0))&lt;=MOD($Y366,18),1,0)))</f>
      </c>
      <c r="AP366" t="e">
        <f>IF(OR(OR($A366="",$D366=""),V366=""),"",V366-(INT($Y366/18)+IF(INDEX('Tournament Setup'!$AT:$AT,MATCH($A366,'Tournament Setup'!$A:$A,0))&lt;=MOD($Y366,18),1,0)))</f>
      </c>
      <c r="AQ366" t="e">
        <f>IF(OR(OR($A366="",$D366=""),W366=""),"",W366-(INT($Y366/18)+IF(INDEX('Tournament Setup'!$AU:$AU,MATCH($A366,'Tournament Setup'!$A:$A,0))&lt;=MOD($Y366,18),1,0)))</f>
      </c>
    </row>
    <row r="367">
      <c r="X367" t="e">
        <f>IF(OR($A367="",$D367=""),"",SUM(F367:W367))</f>
      </c>
      <c r="Y367" t="e">
        <f>IF(OR($A367="",$D367=""),"",IF(INDEX('Tournament Setup'!$F:$F,MATCH($A367,'Tournament Setup'!$A:$A,0))="Net",ROUND(($E367-_xlfn.MINIFS($E$2:$E$401,$A$2:$A$401,$A367,$B$2:$B$401,$B367))*INDEX('Tournament Setup'!$G:$G,MATCH($A367,'Tournament Setup'!$A:$A,0))/100,0),0))</f>
      </c>
      <c r="Z367" t="e">
        <f>IF(OR(OR($A367="",$D367=""),F367=""),"",F367-(INT($Y367/18)+IF(INDEX('Tournament Setup'!$AD:$AD,MATCH($A367,'Tournament Setup'!$A:$A,0))&lt;=MOD($Y367,18),1,0)))</f>
      </c>
      <c r="AA367" t="e">
        <f>IF(OR(OR($A367="",$D367=""),G367=""),"",G367-(INT($Y367/18)+IF(INDEX('Tournament Setup'!$AE:$AE,MATCH($A367,'Tournament Setup'!$A:$A,0))&lt;=MOD($Y367,18),1,0)))</f>
      </c>
      <c r="AB367" t="e">
        <f>IF(OR(OR($A367="",$D367=""),H367=""),"",H367-(INT($Y367/18)+IF(INDEX('Tournament Setup'!$AF:$AF,MATCH($A367,'Tournament Setup'!$A:$A,0))&lt;=MOD($Y367,18),1,0)))</f>
      </c>
      <c r="AC367" t="e">
        <f>IF(OR(OR($A367="",$D367=""),I367=""),"",I367-(INT($Y367/18)+IF(INDEX('Tournament Setup'!$AG:$AG,MATCH($A367,'Tournament Setup'!$A:$A,0))&lt;=MOD($Y367,18),1,0)))</f>
      </c>
      <c r="AD367" t="e">
        <f>IF(OR(OR($A367="",$D367=""),J367=""),"",J367-(INT($Y367/18)+IF(INDEX('Tournament Setup'!$AH:$AH,MATCH($A367,'Tournament Setup'!$A:$A,0))&lt;=MOD($Y367,18),1,0)))</f>
      </c>
      <c r="AE367" t="e">
        <f>IF(OR(OR($A367="",$D367=""),K367=""),"",K367-(INT($Y367/18)+IF(INDEX('Tournament Setup'!$AI:$AI,MATCH($A367,'Tournament Setup'!$A:$A,0))&lt;=MOD($Y367,18),1,0)))</f>
      </c>
      <c r="AF367" t="e">
        <f>IF(OR(OR($A367="",$D367=""),L367=""),"",L367-(INT($Y367/18)+IF(INDEX('Tournament Setup'!$AJ:$AJ,MATCH($A367,'Tournament Setup'!$A:$A,0))&lt;=MOD($Y367,18),1,0)))</f>
      </c>
      <c r="AG367" t="e">
        <f>IF(OR(OR($A367="",$D367=""),M367=""),"",M367-(INT($Y367/18)+IF(INDEX('Tournament Setup'!$AK:$AK,MATCH($A367,'Tournament Setup'!$A:$A,0))&lt;=MOD($Y367,18),1,0)))</f>
      </c>
      <c r="AH367" t="e">
        <f>IF(OR(OR($A367="",$D367=""),N367=""),"",N367-(INT($Y367/18)+IF(INDEX('Tournament Setup'!$AL:$AL,MATCH($A367,'Tournament Setup'!$A:$A,0))&lt;=MOD($Y367,18),1,0)))</f>
      </c>
      <c r="AI367" t="e">
        <f>IF(OR(OR($A367="",$D367=""),O367=""),"",O367-(INT($Y367/18)+IF(INDEX('Tournament Setup'!$AM:$AM,MATCH($A367,'Tournament Setup'!$A:$A,0))&lt;=MOD($Y367,18),1,0)))</f>
      </c>
      <c r="AJ367" t="e">
        <f>IF(OR(OR($A367="",$D367=""),P367=""),"",P367-(INT($Y367/18)+IF(INDEX('Tournament Setup'!$AN:$AN,MATCH($A367,'Tournament Setup'!$A:$A,0))&lt;=MOD($Y367,18),1,0)))</f>
      </c>
      <c r="AK367" t="e">
        <f>IF(OR(OR($A367="",$D367=""),Q367=""),"",Q367-(INT($Y367/18)+IF(INDEX('Tournament Setup'!$AO:$AO,MATCH($A367,'Tournament Setup'!$A:$A,0))&lt;=MOD($Y367,18),1,0)))</f>
      </c>
      <c r="AL367" t="e">
        <f>IF(OR(OR($A367="",$D367=""),R367=""),"",R367-(INT($Y367/18)+IF(INDEX('Tournament Setup'!$AP:$AP,MATCH($A367,'Tournament Setup'!$A:$A,0))&lt;=MOD($Y367,18),1,0)))</f>
      </c>
      <c r="AM367" t="e">
        <f>IF(OR(OR($A367="",$D367=""),S367=""),"",S367-(INT($Y367/18)+IF(INDEX('Tournament Setup'!$AQ:$AQ,MATCH($A367,'Tournament Setup'!$A:$A,0))&lt;=MOD($Y367,18),1,0)))</f>
      </c>
      <c r="AN367" t="e">
        <f>IF(OR(OR($A367="",$D367=""),T367=""),"",T367-(INT($Y367/18)+IF(INDEX('Tournament Setup'!$AR:$AR,MATCH($A367,'Tournament Setup'!$A:$A,0))&lt;=MOD($Y367,18),1,0)))</f>
      </c>
      <c r="AO367" t="e">
        <f>IF(OR(OR($A367="",$D367=""),U367=""),"",U367-(INT($Y367/18)+IF(INDEX('Tournament Setup'!$AS:$AS,MATCH($A367,'Tournament Setup'!$A:$A,0))&lt;=MOD($Y367,18),1,0)))</f>
      </c>
      <c r="AP367" t="e">
        <f>IF(OR(OR($A367="",$D367=""),V367=""),"",V367-(INT($Y367/18)+IF(INDEX('Tournament Setup'!$AT:$AT,MATCH($A367,'Tournament Setup'!$A:$A,0))&lt;=MOD($Y367,18),1,0)))</f>
      </c>
      <c r="AQ367" t="e">
        <f>IF(OR(OR($A367="",$D367=""),W367=""),"",W367-(INT($Y367/18)+IF(INDEX('Tournament Setup'!$AU:$AU,MATCH($A367,'Tournament Setup'!$A:$A,0))&lt;=MOD($Y367,18),1,0)))</f>
      </c>
    </row>
    <row r="368">
      <c r="X368" t="e">
        <f>IF(OR($A368="",$D368=""),"",SUM(F368:W368))</f>
      </c>
      <c r="Y368" t="e">
        <f>IF(OR($A368="",$D368=""),"",IF(INDEX('Tournament Setup'!$F:$F,MATCH($A368,'Tournament Setup'!$A:$A,0))="Net",ROUND(($E368-_xlfn.MINIFS($E$2:$E$401,$A$2:$A$401,$A368,$B$2:$B$401,$B368))*INDEX('Tournament Setup'!$G:$G,MATCH($A368,'Tournament Setup'!$A:$A,0))/100,0),0))</f>
      </c>
      <c r="Z368" t="e">
        <f>IF(OR(OR($A368="",$D368=""),F368=""),"",F368-(INT($Y368/18)+IF(INDEX('Tournament Setup'!$AD:$AD,MATCH($A368,'Tournament Setup'!$A:$A,0))&lt;=MOD($Y368,18),1,0)))</f>
      </c>
      <c r="AA368" t="e">
        <f>IF(OR(OR($A368="",$D368=""),G368=""),"",G368-(INT($Y368/18)+IF(INDEX('Tournament Setup'!$AE:$AE,MATCH($A368,'Tournament Setup'!$A:$A,0))&lt;=MOD($Y368,18),1,0)))</f>
      </c>
      <c r="AB368" t="e">
        <f>IF(OR(OR($A368="",$D368=""),H368=""),"",H368-(INT($Y368/18)+IF(INDEX('Tournament Setup'!$AF:$AF,MATCH($A368,'Tournament Setup'!$A:$A,0))&lt;=MOD($Y368,18),1,0)))</f>
      </c>
      <c r="AC368" t="e">
        <f>IF(OR(OR($A368="",$D368=""),I368=""),"",I368-(INT($Y368/18)+IF(INDEX('Tournament Setup'!$AG:$AG,MATCH($A368,'Tournament Setup'!$A:$A,0))&lt;=MOD($Y368,18),1,0)))</f>
      </c>
      <c r="AD368" t="e">
        <f>IF(OR(OR($A368="",$D368=""),J368=""),"",J368-(INT($Y368/18)+IF(INDEX('Tournament Setup'!$AH:$AH,MATCH($A368,'Tournament Setup'!$A:$A,0))&lt;=MOD($Y368,18),1,0)))</f>
      </c>
      <c r="AE368" t="e">
        <f>IF(OR(OR($A368="",$D368=""),K368=""),"",K368-(INT($Y368/18)+IF(INDEX('Tournament Setup'!$AI:$AI,MATCH($A368,'Tournament Setup'!$A:$A,0))&lt;=MOD($Y368,18),1,0)))</f>
      </c>
      <c r="AF368" t="e">
        <f>IF(OR(OR($A368="",$D368=""),L368=""),"",L368-(INT($Y368/18)+IF(INDEX('Tournament Setup'!$AJ:$AJ,MATCH($A368,'Tournament Setup'!$A:$A,0))&lt;=MOD($Y368,18),1,0)))</f>
      </c>
      <c r="AG368" t="e">
        <f>IF(OR(OR($A368="",$D368=""),M368=""),"",M368-(INT($Y368/18)+IF(INDEX('Tournament Setup'!$AK:$AK,MATCH($A368,'Tournament Setup'!$A:$A,0))&lt;=MOD($Y368,18),1,0)))</f>
      </c>
      <c r="AH368" t="e">
        <f>IF(OR(OR($A368="",$D368=""),N368=""),"",N368-(INT($Y368/18)+IF(INDEX('Tournament Setup'!$AL:$AL,MATCH($A368,'Tournament Setup'!$A:$A,0))&lt;=MOD($Y368,18),1,0)))</f>
      </c>
      <c r="AI368" t="e">
        <f>IF(OR(OR($A368="",$D368=""),O368=""),"",O368-(INT($Y368/18)+IF(INDEX('Tournament Setup'!$AM:$AM,MATCH($A368,'Tournament Setup'!$A:$A,0))&lt;=MOD($Y368,18),1,0)))</f>
      </c>
      <c r="AJ368" t="e">
        <f>IF(OR(OR($A368="",$D368=""),P368=""),"",P368-(INT($Y368/18)+IF(INDEX('Tournament Setup'!$AN:$AN,MATCH($A368,'Tournament Setup'!$A:$A,0))&lt;=MOD($Y368,18),1,0)))</f>
      </c>
      <c r="AK368" t="e">
        <f>IF(OR(OR($A368="",$D368=""),Q368=""),"",Q368-(INT($Y368/18)+IF(INDEX('Tournament Setup'!$AO:$AO,MATCH($A368,'Tournament Setup'!$A:$A,0))&lt;=MOD($Y368,18),1,0)))</f>
      </c>
      <c r="AL368" t="e">
        <f>IF(OR(OR($A368="",$D368=""),R368=""),"",R368-(INT($Y368/18)+IF(INDEX('Tournament Setup'!$AP:$AP,MATCH($A368,'Tournament Setup'!$A:$A,0))&lt;=MOD($Y368,18),1,0)))</f>
      </c>
      <c r="AM368" t="e">
        <f>IF(OR(OR($A368="",$D368=""),S368=""),"",S368-(INT($Y368/18)+IF(INDEX('Tournament Setup'!$AQ:$AQ,MATCH($A368,'Tournament Setup'!$A:$A,0))&lt;=MOD($Y368,18),1,0)))</f>
      </c>
      <c r="AN368" t="e">
        <f>IF(OR(OR($A368="",$D368=""),T368=""),"",T368-(INT($Y368/18)+IF(INDEX('Tournament Setup'!$AR:$AR,MATCH($A368,'Tournament Setup'!$A:$A,0))&lt;=MOD($Y368,18),1,0)))</f>
      </c>
      <c r="AO368" t="e">
        <f>IF(OR(OR($A368="",$D368=""),U368=""),"",U368-(INT($Y368/18)+IF(INDEX('Tournament Setup'!$AS:$AS,MATCH($A368,'Tournament Setup'!$A:$A,0))&lt;=MOD($Y368,18),1,0)))</f>
      </c>
      <c r="AP368" t="e">
        <f>IF(OR(OR($A368="",$D368=""),V368=""),"",V368-(INT($Y368/18)+IF(INDEX('Tournament Setup'!$AT:$AT,MATCH($A368,'Tournament Setup'!$A:$A,0))&lt;=MOD($Y368,18),1,0)))</f>
      </c>
      <c r="AQ368" t="e">
        <f>IF(OR(OR($A368="",$D368=""),W368=""),"",W368-(INT($Y368/18)+IF(INDEX('Tournament Setup'!$AU:$AU,MATCH($A368,'Tournament Setup'!$A:$A,0))&lt;=MOD($Y368,18),1,0)))</f>
      </c>
    </row>
    <row r="369">
      <c r="X369" t="e">
        <f>IF(OR($A369="",$D369=""),"",SUM(F369:W369))</f>
      </c>
      <c r="Y369" t="e">
        <f>IF(OR($A369="",$D369=""),"",IF(INDEX('Tournament Setup'!$F:$F,MATCH($A369,'Tournament Setup'!$A:$A,0))="Net",ROUND(($E369-_xlfn.MINIFS($E$2:$E$401,$A$2:$A$401,$A369,$B$2:$B$401,$B369))*INDEX('Tournament Setup'!$G:$G,MATCH($A369,'Tournament Setup'!$A:$A,0))/100,0),0))</f>
      </c>
      <c r="Z369" t="e">
        <f>IF(OR(OR($A369="",$D369=""),F369=""),"",F369-(INT($Y369/18)+IF(INDEX('Tournament Setup'!$AD:$AD,MATCH($A369,'Tournament Setup'!$A:$A,0))&lt;=MOD($Y369,18),1,0)))</f>
      </c>
      <c r="AA369" t="e">
        <f>IF(OR(OR($A369="",$D369=""),G369=""),"",G369-(INT($Y369/18)+IF(INDEX('Tournament Setup'!$AE:$AE,MATCH($A369,'Tournament Setup'!$A:$A,0))&lt;=MOD($Y369,18),1,0)))</f>
      </c>
      <c r="AB369" t="e">
        <f>IF(OR(OR($A369="",$D369=""),H369=""),"",H369-(INT($Y369/18)+IF(INDEX('Tournament Setup'!$AF:$AF,MATCH($A369,'Tournament Setup'!$A:$A,0))&lt;=MOD($Y369,18),1,0)))</f>
      </c>
      <c r="AC369" t="e">
        <f>IF(OR(OR($A369="",$D369=""),I369=""),"",I369-(INT($Y369/18)+IF(INDEX('Tournament Setup'!$AG:$AG,MATCH($A369,'Tournament Setup'!$A:$A,0))&lt;=MOD($Y369,18),1,0)))</f>
      </c>
      <c r="AD369" t="e">
        <f>IF(OR(OR($A369="",$D369=""),J369=""),"",J369-(INT($Y369/18)+IF(INDEX('Tournament Setup'!$AH:$AH,MATCH($A369,'Tournament Setup'!$A:$A,0))&lt;=MOD($Y369,18),1,0)))</f>
      </c>
      <c r="AE369" t="e">
        <f>IF(OR(OR($A369="",$D369=""),K369=""),"",K369-(INT($Y369/18)+IF(INDEX('Tournament Setup'!$AI:$AI,MATCH($A369,'Tournament Setup'!$A:$A,0))&lt;=MOD($Y369,18),1,0)))</f>
      </c>
      <c r="AF369" t="e">
        <f>IF(OR(OR($A369="",$D369=""),L369=""),"",L369-(INT($Y369/18)+IF(INDEX('Tournament Setup'!$AJ:$AJ,MATCH($A369,'Tournament Setup'!$A:$A,0))&lt;=MOD($Y369,18),1,0)))</f>
      </c>
      <c r="AG369" t="e">
        <f>IF(OR(OR($A369="",$D369=""),M369=""),"",M369-(INT($Y369/18)+IF(INDEX('Tournament Setup'!$AK:$AK,MATCH($A369,'Tournament Setup'!$A:$A,0))&lt;=MOD($Y369,18),1,0)))</f>
      </c>
      <c r="AH369" t="e">
        <f>IF(OR(OR($A369="",$D369=""),N369=""),"",N369-(INT($Y369/18)+IF(INDEX('Tournament Setup'!$AL:$AL,MATCH($A369,'Tournament Setup'!$A:$A,0))&lt;=MOD($Y369,18),1,0)))</f>
      </c>
      <c r="AI369" t="e">
        <f>IF(OR(OR($A369="",$D369=""),O369=""),"",O369-(INT($Y369/18)+IF(INDEX('Tournament Setup'!$AM:$AM,MATCH($A369,'Tournament Setup'!$A:$A,0))&lt;=MOD($Y369,18),1,0)))</f>
      </c>
      <c r="AJ369" t="e">
        <f>IF(OR(OR($A369="",$D369=""),P369=""),"",P369-(INT($Y369/18)+IF(INDEX('Tournament Setup'!$AN:$AN,MATCH($A369,'Tournament Setup'!$A:$A,0))&lt;=MOD($Y369,18),1,0)))</f>
      </c>
      <c r="AK369" t="e">
        <f>IF(OR(OR($A369="",$D369=""),Q369=""),"",Q369-(INT($Y369/18)+IF(INDEX('Tournament Setup'!$AO:$AO,MATCH($A369,'Tournament Setup'!$A:$A,0))&lt;=MOD($Y369,18),1,0)))</f>
      </c>
      <c r="AL369" t="e">
        <f>IF(OR(OR($A369="",$D369=""),R369=""),"",R369-(INT($Y369/18)+IF(INDEX('Tournament Setup'!$AP:$AP,MATCH($A369,'Tournament Setup'!$A:$A,0))&lt;=MOD($Y369,18),1,0)))</f>
      </c>
      <c r="AM369" t="e">
        <f>IF(OR(OR($A369="",$D369=""),S369=""),"",S369-(INT($Y369/18)+IF(INDEX('Tournament Setup'!$AQ:$AQ,MATCH($A369,'Tournament Setup'!$A:$A,0))&lt;=MOD($Y369,18),1,0)))</f>
      </c>
      <c r="AN369" t="e">
        <f>IF(OR(OR($A369="",$D369=""),T369=""),"",T369-(INT($Y369/18)+IF(INDEX('Tournament Setup'!$AR:$AR,MATCH($A369,'Tournament Setup'!$A:$A,0))&lt;=MOD($Y369,18),1,0)))</f>
      </c>
      <c r="AO369" t="e">
        <f>IF(OR(OR($A369="",$D369=""),U369=""),"",U369-(INT($Y369/18)+IF(INDEX('Tournament Setup'!$AS:$AS,MATCH($A369,'Tournament Setup'!$A:$A,0))&lt;=MOD($Y369,18),1,0)))</f>
      </c>
      <c r="AP369" t="e">
        <f>IF(OR(OR($A369="",$D369=""),V369=""),"",V369-(INT($Y369/18)+IF(INDEX('Tournament Setup'!$AT:$AT,MATCH($A369,'Tournament Setup'!$A:$A,0))&lt;=MOD($Y369,18),1,0)))</f>
      </c>
      <c r="AQ369" t="e">
        <f>IF(OR(OR($A369="",$D369=""),W369=""),"",W369-(INT($Y369/18)+IF(INDEX('Tournament Setup'!$AU:$AU,MATCH($A369,'Tournament Setup'!$A:$A,0))&lt;=MOD($Y369,18),1,0)))</f>
      </c>
    </row>
    <row r="370">
      <c r="X370" t="e">
        <f>IF(OR($A370="",$D370=""),"",SUM(F370:W370))</f>
      </c>
      <c r="Y370" t="e">
        <f>IF(OR($A370="",$D370=""),"",IF(INDEX('Tournament Setup'!$F:$F,MATCH($A370,'Tournament Setup'!$A:$A,0))="Net",ROUND(($E370-_xlfn.MINIFS($E$2:$E$401,$A$2:$A$401,$A370,$B$2:$B$401,$B370))*INDEX('Tournament Setup'!$G:$G,MATCH($A370,'Tournament Setup'!$A:$A,0))/100,0),0))</f>
      </c>
      <c r="Z370" t="e">
        <f>IF(OR(OR($A370="",$D370=""),F370=""),"",F370-(INT($Y370/18)+IF(INDEX('Tournament Setup'!$AD:$AD,MATCH($A370,'Tournament Setup'!$A:$A,0))&lt;=MOD($Y370,18),1,0)))</f>
      </c>
      <c r="AA370" t="e">
        <f>IF(OR(OR($A370="",$D370=""),G370=""),"",G370-(INT($Y370/18)+IF(INDEX('Tournament Setup'!$AE:$AE,MATCH($A370,'Tournament Setup'!$A:$A,0))&lt;=MOD($Y370,18),1,0)))</f>
      </c>
      <c r="AB370" t="e">
        <f>IF(OR(OR($A370="",$D370=""),H370=""),"",H370-(INT($Y370/18)+IF(INDEX('Tournament Setup'!$AF:$AF,MATCH($A370,'Tournament Setup'!$A:$A,0))&lt;=MOD($Y370,18),1,0)))</f>
      </c>
      <c r="AC370" t="e">
        <f>IF(OR(OR($A370="",$D370=""),I370=""),"",I370-(INT($Y370/18)+IF(INDEX('Tournament Setup'!$AG:$AG,MATCH($A370,'Tournament Setup'!$A:$A,0))&lt;=MOD($Y370,18),1,0)))</f>
      </c>
      <c r="AD370" t="e">
        <f>IF(OR(OR($A370="",$D370=""),J370=""),"",J370-(INT($Y370/18)+IF(INDEX('Tournament Setup'!$AH:$AH,MATCH($A370,'Tournament Setup'!$A:$A,0))&lt;=MOD($Y370,18),1,0)))</f>
      </c>
      <c r="AE370" t="e">
        <f>IF(OR(OR($A370="",$D370=""),K370=""),"",K370-(INT($Y370/18)+IF(INDEX('Tournament Setup'!$AI:$AI,MATCH($A370,'Tournament Setup'!$A:$A,0))&lt;=MOD($Y370,18),1,0)))</f>
      </c>
      <c r="AF370" t="e">
        <f>IF(OR(OR($A370="",$D370=""),L370=""),"",L370-(INT($Y370/18)+IF(INDEX('Tournament Setup'!$AJ:$AJ,MATCH($A370,'Tournament Setup'!$A:$A,0))&lt;=MOD($Y370,18),1,0)))</f>
      </c>
      <c r="AG370" t="e">
        <f>IF(OR(OR($A370="",$D370=""),M370=""),"",M370-(INT($Y370/18)+IF(INDEX('Tournament Setup'!$AK:$AK,MATCH($A370,'Tournament Setup'!$A:$A,0))&lt;=MOD($Y370,18),1,0)))</f>
      </c>
      <c r="AH370" t="e">
        <f>IF(OR(OR($A370="",$D370=""),N370=""),"",N370-(INT($Y370/18)+IF(INDEX('Tournament Setup'!$AL:$AL,MATCH($A370,'Tournament Setup'!$A:$A,0))&lt;=MOD($Y370,18),1,0)))</f>
      </c>
      <c r="AI370" t="e">
        <f>IF(OR(OR($A370="",$D370=""),O370=""),"",O370-(INT($Y370/18)+IF(INDEX('Tournament Setup'!$AM:$AM,MATCH($A370,'Tournament Setup'!$A:$A,0))&lt;=MOD($Y370,18),1,0)))</f>
      </c>
      <c r="AJ370" t="e">
        <f>IF(OR(OR($A370="",$D370=""),P370=""),"",P370-(INT($Y370/18)+IF(INDEX('Tournament Setup'!$AN:$AN,MATCH($A370,'Tournament Setup'!$A:$A,0))&lt;=MOD($Y370,18),1,0)))</f>
      </c>
      <c r="AK370" t="e">
        <f>IF(OR(OR($A370="",$D370=""),Q370=""),"",Q370-(INT($Y370/18)+IF(INDEX('Tournament Setup'!$AO:$AO,MATCH($A370,'Tournament Setup'!$A:$A,0))&lt;=MOD($Y370,18),1,0)))</f>
      </c>
      <c r="AL370" t="e">
        <f>IF(OR(OR($A370="",$D370=""),R370=""),"",R370-(INT($Y370/18)+IF(INDEX('Tournament Setup'!$AP:$AP,MATCH($A370,'Tournament Setup'!$A:$A,0))&lt;=MOD($Y370,18),1,0)))</f>
      </c>
      <c r="AM370" t="e">
        <f>IF(OR(OR($A370="",$D370=""),S370=""),"",S370-(INT($Y370/18)+IF(INDEX('Tournament Setup'!$AQ:$AQ,MATCH($A370,'Tournament Setup'!$A:$A,0))&lt;=MOD($Y370,18),1,0)))</f>
      </c>
      <c r="AN370" t="e">
        <f>IF(OR(OR($A370="",$D370=""),T370=""),"",T370-(INT($Y370/18)+IF(INDEX('Tournament Setup'!$AR:$AR,MATCH($A370,'Tournament Setup'!$A:$A,0))&lt;=MOD($Y370,18),1,0)))</f>
      </c>
      <c r="AO370" t="e">
        <f>IF(OR(OR($A370="",$D370=""),U370=""),"",U370-(INT($Y370/18)+IF(INDEX('Tournament Setup'!$AS:$AS,MATCH($A370,'Tournament Setup'!$A:$A,0))&lt;=MOD($Y370,18),1,0)))</f>
      </c>
      <c r="AP370" t="e">
        <f>IF(OR(OR($A370="",$D370=""),V370=""),"",V370-(INT($Y370/18)+IF(INDEX('Tournament Setup'!$AT:$AT,MATCH($A370,'Tournament Setup'!$A:$A,0))&lt;=MOD($Y370,18),1,0)))</f>
      </c>
      <c r="AQ370" t="e">
        <f>IF(OR(OR($A370="",$D370=""),W370=""),"",W370-(INT($Y370/18)+IF(INDEX('Tournament Setup'!$AU:$AU,MATCH($A370,'Tournament Setup'!$A:$A,0))&lt;=MOD($Y370,18),1,0)))</f>
      </c>
    </row>
    <row r="371">
      <c r="X371" t="e">
        <f>IF(OR($A371="",$D371=""),"",SUM(F371:W371))</f>
      </c>
      <c r="Y371" t="e">
        <f>IF(OR($A371="",$D371=""),"",IF(INDEX('Tournament Setup'!$F:$F,MATCH($A371,'Tournament Setup'!$A:$A,0))="Net",ROUND(($E371-_xlfn.MINIFS($E$2:$E$401,$A$2:$A$401,$A371,$B$2:$B$401,$B371))*INDEX('Tournament Setup'!$G:$G,MATCH($A371,'Tournament Setup'!$A:$A,0))/100,0),0))</f>
      </c>
      <c r="Z371" t="e">
        <f>IF(OR(OR($A371="",$D371=""),F371=""),"",F371-(INT($Y371/18)+IF(INDEX('Tournament Setup'!$AD:$AD,MATCH($A371,'Tournament Setup'!$A:$A,0))&lt;=MOD($Y371,18),1,0)))</f>
      </c>
      <c r="AA371" t="e">
        <f>IF(OR(OR($A371="",$D371=""),G371=""),"",G371-(INT($Y371/18)+IF(INDEX('Tournament Setup'!$AE:$AE,MATCH($A371,'Tournament Setup'!$A:$A,0))&lt;=MOD($Y371,18),1,0)))</f>
      </c>
      <c r="AB371" t="e">
        <f>IF(OR(OR($A371="",$D371=""),H371=""),"",H371-(INT($Y371/18)+IF(INDEX('Tournament Setup'!$AF:$AF,MATCH($A371,'Tournament Setup'!$A:$A,0))&lt;=MOD($Y371,18),1,0)))</f>
      </c>
      <c r="AC371" t="e">
        <f>IF(OR(OR($A371="",$D371=""),I371=""),"",I371-(INT($Y371/18)+IF(INDEX('Tournament Setup'!$AG:$AG,MATCH($A371,'Tournament Setup'!$A:$A,0))&lt;=MOD($Y371,18),1,0)))</f>
      </c>
      <c r="AD371" t="e">
        <f>IF(OR(OR($A371="",$D371=""),J371=""),"",J371-(INT($Y371/18)+IF(INDEX('Tournament Setup'!$AH:$AH,MATCH($A371,'Tournament Setup'!$A:$A,0))&lt;=MOD($Y371,18),1,0)))</f>
      </c>
      <c r="AE371" t="e">
        <f>IF(OR(OR($A371="",$D371=""),K371=""),"",K371-(INT($Y371/18)+IF(INDEX('Tournament Setup'!$AI:$AI,MATCH($A371,'Tournament Setup'!$A:$A,0))&lt;=MOD($Y371,18),1,0)))</f>
      </c>
      <c r="AF371" t="e">
        <f>IF(OR(OR($A371="",$D371=""),L371=""),"",L371-(INT($Y371/18)+IF(INDEX('Tournament Setup'!$AJ:$AJ,MATCH($A371,'Tournament Setup'!$A:$A,0))&lt;=MOD($Y371,18),1,0)))</f>
      </c>
      <c r="AG371" t="e">
        <f>IF(OR(OR($A371="",$D371=""),M371=""),"",M371-(INT($Y371/18)+IF(INDEX('Tournament Setup'!$AK:$AK,MATCH($A371,'Tournament Setup'!$A:$A,0))&lt;=MOD($Y371,18),1,0)))</f>
      </c>
      <c r="AH371" t="e">
        <f>IF(OR(OR($A371="",$D371=""),N371=""),"",N371-(INT($Y371/18)+IF(INDEX('Tournament Setup'!$AL:$AL,MATCH($A371,'Tournament Setup'!$A:$A,0))&lt;=MOD($Y371,18),1,0)))</f>
      </c>
      <c r="AI371" t="e">
        <f>IF(OR(OR($A371="",$D371=""),O371=""),"",O371-(INT($Y371/18)+IF(INDEX('Tournament Setup'!$AM:$AM,MATCH($A371,'Tournament Setup'!$A:$A,0))&lt;=MOD($Y371,18),1,0)))</f>
      </c>
      <c r="AJ371" t="e">
        <f>IF(OR(OR($A371="",$D371=""),P371=""),"",P371-(INT($Y371/18)+IF(INDEX('Tournament Setup'!$AN:$AN,MATCH($A371,'Tournament Setup'!$A:$A,0))&lt;=MOD($Y371,18),1,0)))</f>
      </c>
      <c r="AK371" t="e">
        <f>IF(OR(OR($A371="",$D371=""),Q371=""),"",Q371-(INT($Y371/18)+IF(INDEX('Tournament Setup'!$AO:$AO,MATCH($A371,'Tournament Setup'!$A:$A,0))&lt;=MOD($Y371,18),1,0)))</f>
      </c>
      <c r="AL371" t="e">
        <f>IF(OR(OR($A371="",$D371=""),R371=""),"",R371-(INT($Y371/18)+IF(INDEX('Tournament Setup'!$AP:$AP,MATCH($A371,'Tournament Setup'!$A:$A,0))&lt;=MOD($Y371,18),1,0)))</f>
      </c>
      <c r="AM371" t="e">
        <f>IF(OR(OR($A371="",$D371=""),S371=""),"",S371-(INT($Y371/18)+IF(INDEX('Tournament Setup'!$AQ:$AQ,MATCH($A371,'Tournament Setup'!$A:$A,0))&lt;=MOD($Y371,18),1,0)))</f>
      </c>
      <c r="AN371" t="e">
        <f>IF(OR(OR($A371="",$D371=""),T371=""),"",T371-(INT($Y371/18)+IF(INDEX('Tournament Setup'!$AR:$AR,MATCH($A371,'Tournament Setup'!$A:$A,0))&lt;=MOD($Y371,18),1,0)))</f>
      </c>
      <c r="AO371" t="e">
        <f>IF(OR(OR($A371="",$D371=""),U371=""),"",U371-(INT($Y371/18)+IF(INDEX('Tournament Setup'!$AS:$AS,MATCH($A371,'Tournament Setup'!$A:$A,0))&lt;=MOD($Y371,18),1,0)))</f>
      </c>
      <c r="AP371" t="e">
        <f>IF(OR(OR($A371="",$D371=""),V371=""),"",V371-(INT($Y371/18)+IF(INDEX('Tournament Setup'!$AT:$AT,MATCH($A371,'Tournament Setup'!$A:$A,0))&lt;=MOD($Y371,18),1,0)))</f>
      </c>
      <c r="AQ371" t="e">
        <f>IF(OR(OR($A371="",$D371=""),W371=""),"",W371-(INT($Y371/18)+IF(INDEX('Tournament Setup'!$AU:$AU,MATCH($A371,'Tournament Setup'!$A:$A,0))&lt;=MOD($Y371,18),1,0)))</f>
      </c>
    </row>
    <row r="372">
      <c r="X372" t="e">
        <f>IF(OR($A372="",$D372=""),"",SUM(F372:W372))</f>
      </c>
      <c r="Y372" t="e">
        <f>IF(OR($A372="",$D372=""),"",IF(INDEX('Tournament Setup'!$F:$F,MATCH($A372,'Tournament Setup'!$A:$A,0))="Net",ROUND(($E372-_xlfn.MINIFS($E$2:$E$401,$A$2:$A$401,$A372,$B$2:$B$401,$B372))*INDEX('Tournament Setup'!$G:$G,MATCH($A372,'Tournament Setup'!$A:$A,0))/100,0),0))</f>
      </c>
      <c r="Z372" t="e">
        <f>IF(OR(OR($A372="",$D372=""),F372=""),"",F372-(INT($Y372/18)+IF(INDEX('Tournament Setup'!$AD:$AD,MATCH($A372,'Tournament Setup'!$A:$A,0))&lt;=MOD($Y372,18),1,0)))</f>
      </c>
      <c r="AA372" t="e">
        <f>IF(OR(OR($A372="",$D372=""),G372=""),"",G372-(INT($Y372/18)+IF(INDEX('Tournament Setup'!$AE:$AE,MATCH($A372,'Tournament Setup'!$A:$A,0))&lt;=MOD($Y372,18),1,0)))</f>
      </c>
      <c r="AB372" t="e">
        <f>IF(OR(OR($A372="",$D372=""),H372=""),"",H372-(INT($Y372/18)+IF(INDEX('Tournament Setup'!$AF:$AF,MATCH($A372,'Tournament Setup'!$A:$A,0))&lt;=MOD($Y372,18),1,0)))</f>
      </c>
      <c r="AC372" t="e">
        <f>IF(OR(OR($A372="",$D372=""),I372=""),"",I372-(INT($Y372/18)+IF(INDEX('Tournament Setup'!$AG:$AG,MATCH($A372,'Tournament Setup'!$A:$A,0))&lt;=MOD($Y372,18),1,0)))</f>
      </c>
      <c r="AD372" t="e">
        <f>IF(OR(OR($A372="",$D372=""),J372=""),"",J372-(INT($Y372/18)+IF(INDEX('Tournament Setup'!$AH:$AH,MATCH($A372,'Tournament Setup'!$A:$A,0))&lt;=MOD($Y372,18),1,0)))</f>
      </c>
      <c r="AE372" t="e">
        <f>IF(OR(OR($A372="",$D372=""),K372=""),"",K372-(INT($Y372/18)+IF(INDEX('Tournament Setup'!$AI:$AI,MATCH($A372,'Tournament Setup'!$A:$A,0))&lt;=MOD($Y372,18),1,0)))</f>
      </c>
      <c r="AF372" t="e">
        <f>IF(OR(OR($A372="",$D372=""),L372=""),"",L372-(INT($Y372/18)+IF(INDEX('Tournament Setup'!$AJ:$AJ,MATCH($A372,'Tournament Setup'!$A:$A,0))&lt;=MOD($Y372,18),1,0)))</f>
      </c>
      <c r="AG372" t="e">
        <f>IF(OR(OR($A372="",$D372=""),M372=""),"",M372-(INT($Y372/18)+IF(INDEX('Tournament Setup'!$AK:$AK,MATCH($A372,'Tournament Setup'!$A:$A,0))&lt;=MOD($Y372,18),1,0)))</f>
      </c>
      <c r="AH372" t="e">
        <f>IF(OR(OR($A372="",$D372=""),N372=""),"",N372-(INT($Y372/18)+IF(INDEX('Tournament Setup'!$AL:$AL,MATCH($A372,'Tournament Setup'!$A:$A,0))&lt;=MOD($Y372,18),1,0)))</f>
      </c>
      <c r="AI372" t="e">
        <f>IF(OR(OR($A372="",$D372=""),O372=""),"",O372-(INT($Y372/18)+IF(INDEX('Tournament Setup'!$AM:$AM,MATCH($A372,'Tournament Setup'!$A:$A,0))&lt;=MOD($Y372,18),1,0)))</f>
      </c>
      <c r="AJ372" t="e">
        <f>IF(OR(OR($A372="",$D372=""),P372=""),"",P372-(INT($Y372/18)+IF(INDEX('Tournament Setup'!$AN:$AN,MATCH($A372,'Tournament Setup'!$A:$A,0))&lt;=MOD($Y372,18),1,0)))</f>
      </c>
      <c r="AK372" t="e">
        <f>IF(OR(OR($A372="",$D372=""),Q372=""),"",Q372-(INT($Y372/18)+IF(INDEX('Tournament Setup'!$AO:$AO,MATCH($A372,'Tournament Setup'!$A:$A,0))&lt;=MOD($Y372,18),1,0)))</f>
      </c>
      <c r="AL372" t="e">
        <f>IF(OR(OR($A372="",$D372=""),R372=""),"",R372-(INT($Y372/18)+IF(INDEX('Tournament Setup'!$AP:$AP,MATCH($A372,'Tournament Setup'!$A:$A,0))&lt;=MOD($Y372,18),1,0)))</f>
      </c>
      <c r="AM372" t="e">
        <f>IF(OR(OR($A372="",$D372=""),S372=""),"",S372-(INT($Y372/18)+IF(INDEX('Tournament Setup'!$AQ:$AQ,MATCH($A372,'Tournament Setup'!$A:$A,0))&lt;=MOD($Y372,18),1,0)))</f>
      </c>
      <c r="AN372" t="e">
        <f>IF(OR(OR($A372="",$D372=""),T372=""),"",T372-(INT($Y372/18)+IF(INDEX('Tournament Setup'!$AR:$AR,MATCH($A372,'Tournament Setup'!$A:$A,0))&lt;=MOD($Y372,18),1,0)))</f>
      </c>
      <c r="AO372" t="e">
        <f>IF(OR(OR($A372="",$D372=""),U372=""),"",U372-(INT($Y372/18)+IF(INDEX('Tournament Setup'!$AS:$AS,MATCH($A372,'Tournament Setup'!$A:$A,0))&lt;=MOD($Y372,18),1,0)))</f>
      </c>
      <c r="AP372" t="e">
        <f>IF(OR(OR($A372="",$D372=""),V372=""),"",V372-(INT($Y372/18)+IF(INDEX('Tournament Setup'!$AT:$AT,MATCH($A372,'Tournament Setup'!$A:$A,0))&lt;=MOD($Y372,18),1,0)))</f>
      </c>
      <c r="AQ372" t="e">
        <f>IF(OR(OR($A372="",$D372=""),W372=""),"",W372-(INT($Y372/18)+IF(INDEX('Tournament Setup'!$AU:$AU,MATCH($A372,'Tournament Setup'!$A:$A,0))&lt;=MOD($Y372,18),1,0)))</f>
      </c>
    </row>
    <row r="373">
      <c r="X373" t="e">
        <f>IF(OR($A373="",$D373=""),"",SUM(F373:W373))</f>
      </c>
      <c r="Y373" t="e">
        <f>IF(OR($A373="",$D373=""),"",IF(INDEX('Tournament Setup'!$F:$F,MATCH($A373,'Tournament Setup'!$A:$A,0))="Net",ROUND(($E373-_xlfn.MINIFS($E$2:$E$401,$A$2:$A$401,$A373,$B$2:$B$401,$B373))*INDEX('Tournament Setup'!$G:$G,MATCH($A373,'Tournament Setup'!$A:$A,0))/100,0),0))</f>
      </c>
      <c r="Z373" t="e">
        <f>IF(OR(OR($A373="",$D373=""),F373=""),"",F373-(INT($Y373/18)+IF(INDEX('Tournament Setup'!$AD:$AD,MATCH($A373,'Tournament Setup'!$A:$A,0))&lt;=MOD($Y373,18),1,0)))</f>
      </c>
      <c r="AA373" t="e">
        <f>IF(OR(OR($A373="",$D373=""),G373=""),"",G373-(INT($Y373/18)+IF(INDEX('Tournament Setup'!$AE:$AE,MATCH($A373,'Tournament Setup'!$A:$A,0))&lt;=MOD($Y373,18),1,0)))</f>
      </c>
      <c r="AB373" t="e">
        <f>IF(OR(OR($A373="",$D373=""),H373=""),"",H373-(INT($Y373/18)+IF(INDEX('Tournament Setup'!$AF:$AF,MATCH($A373,'Tournament Setup'!$A:$A,0))&lt;=MOD($Y373,18),1,0)))</f>
      </c>
      <c r="AC373" t="e">
        <f>IF(OR(OR($A373="",$D373=""),I373=""),"",I373-(INT($Y373/18)+IF(INDEX('Tournament Setup'!$AG:$AG,MATCH($A373,'Tournament Setup'!$A:$A,0))&lt;=MOD($Y373,18),1,0)))</f>
      </c>
      <c r="AD373" t="e">
        <f>IF(OR(OR($A373="",$D373=""),J373=""),"",J373-(INT($Y373/18)+IF(INDEX('Tournament Setup'!$AH:$AH,MATCH($A373,'Tournament Setup'!$A:$A,0))&lt;=MOD($Y373,18),1,0)))</f>
      </c>
      <c r="AE373" t="e">
        <f>IF(OR(OR($A373="",$D373=""),K373=""),"",K373-(INT($Y373/18)+IF(INDEX('Tournament Setup'!$AI:$AI,MATCH($A373,'Tournament Setup'!$A:$A,0))&lt;=MOD($Y373,18),1,0)))</f>
      </c>
      <c r="AF373" t="e">
        <f>IF(OR(OR($A373="",$D373=""),L373=""),"",L373-(INT($Y373/18)+IF(INDEX('Tournament Setup'!$AJ:$AJ,MATCH($A373,'Tournament Setup'!$A:$A,0))&lt;=MOD($Y373,18),1,0)))</f>
      </c>
      <c r="AG373" t="e">
        <f>IF(OR(OR($A373="",$D373=""),M373=""),"",M373-(INT($Y373/18)+IF(INDEX('Tournament Setup'!$AK:$AK,MATCH($A373,'Tournament Setup'!$A:$A,0))&lt;=MOD($Y373,18),1,0)))</f>
      </c>
      <c r="AH373" t="e">
        <f>IF(OR(OR($A373="",$D373=""),N373=""),"",N373-(INT($Y373/18)+IF(INDEX('Tournament Setup'!$AL:$AL,MATCH($A373,'Tournament Setup'!$A:$A,0))&lt;=MOD($Y373,18),1,0)))</f>
      </c>
      <c r="AI373" t="e">
        <f>IF(OR(OR($A373="",$D373=""),O373=""),"",O373-(INT($Y373/18)+IF(INDEX('Tournament Setup'!$AM:$AM,MATCH($A373,'Tournament Setup'!$A:$A,0))&lt;=MOD($Y373,18),1,0)))</f>
      </c>
      <c r="AJ373" t="e">
        <f>IF(OR(OR($A373="",$D373=""),P373=""),"",P373-(INT($Y373/18)+IF(INDEX('Tournament Setup'!$AN:$AN,MATCH($A373,'Tournament Setup'!$A:$A,0))&lt;=MOD($Y373,18),1,0)))</f>
      </c>
      <c r="AK373" t="e">
        <f>IF(OR(OR($A373="",$D373=""),Q373=""),"",Q373-(INT($Y373/18)+IF(INDEX('Tournament Setup'!$AO:$AO,MATCH($A373,'Tournament Setup'!$A:$A,0))&lt;=MOD($Y373,18),1,0)))</f>
      </c>
      <c r="AL373" t="e">
        <f>IF(OR(OR($A373="",$D373=""),R373=""),"",R373-(INT($Y373/18)+IF(INDEX('Tournament Setup'!$AP:$AP,MATCH($A373,'Tournament Setup'!$A:$A,0))&lt;=MOD($Y373,18),1,0)))</f>
      </c>
      <c r="AM373" t="e">
        <f>IF(OR(OR($A373="",$D373=""),S373=""),"",S373-(INT($Y373/18)+IF(INDEX('Tournament Setup'!$AQ:$AQ,MATCH($A373,'Tournament Setup'!$A:$A,0))&lt;=MOD($Y373,18),1,0)))</f>
      </c>
      <c r="AN373" t="e">
        <f>IF(OR(OR($A373="",$D373=""),T373=""),"",T373-(INT($Y373/18)+IF(INDEX('Tournament Setup'!$AR:$AR,MATCH($A373,'Tournament Setup'!$A:$A,0))&lt;=MOD($Y373,18),1,0)))</f>
      </c>
      <c r="AO373" t="e">
        <f>IF(OR(OR($A373="",$D373=""),U373=""),"",U373-(INT($Y373/18)+IF(INDEX('Tournament Setup'!$AS:$AS,MATCH($A373,'Tournament Setup'!$A:$A,0))&lt;=MOD($Y373,18),1,0)))</f>
      </c>
      <c r="AP373" t="e">
        <f>IF(OR(OR($A373="",$D373=""),V373=""),"",V373-(INT($Y373/18)+IF(INDEX('Tournament Setup'!$AT:$AT,MATCH($A373,'Tournament Setup'!$A:$A,0))&lt;=MOD($Y373,18),1,0)))</f>
      </c>
      <c r="AQ373" t="e">
        <f>IF(OR(OR($A373="",$D373=""),W373=""),"",W373-(INT($Y373/18)+IF(INDEX('Tournament Setup'!$AU:$AU,MATCH($A373,'Tournament Setup'!$A:$A,0))&lt;=MOD($Y373,18),1,0)))</f>
      </c>
    </row>
    <row r="374">
      <c r="X374" t="e">
        <f>IF(OR($A374="",$D374=""),"",SUM(F374:W374))</f>
      </c>
      <c r="Y374" t="e">
        <f>IF(OR($A374="",$D374=""),"",IF(INDEX('Tournament Setup'!$F:$F,MATCH($A374,'Tournament Setup'!$A:$A,0))="Net",ROUND(($E374-_xlfn.MINIFS($E$2:$E$401,$A$2:$A$401,$A374,$B$2:$B$401,$B374))*INDEX('Tournament Setup'!$G:$G,MATCH($A374,'Tournament Setup'!$A:$A,0))/100,0),0))</f>
      </c>
      <c r="Z374" t="e">
        <f>IF(OR(OR($A374="",$D374=""),F374=""),"",F374-(INT($Y374/18)+IF(INDEX('Tournament Setup'!$AD:$AD,MATCH($A374,'Tournament Setup'!$A:$A,0))&lt;=MOD($Y374,18),1,0)))</f>
      </c>
      <c r="AA374" t="e">
        <f>IF(OR(OR($A374="",$D374=""),G374=""),"",G374-(INT($Y374/18)+IF(INDEX('Tournament Setup'!$AE:$AE,MATCH($A374,'Tournament Setup'!$A:$A,0))&lt;=MOD($Y374,18),1,0)))</f>
      </c>
      <c r="AB374" t="e">
        <f>IF(OR(OR($A374="",$D374=""),H374=""),"",H374-(INT($Y374/18)+IF(INDEX('Tournament Setup'!$AF:$AF,MATCH($A374,'Tournament Setup'!$A:$A,0))&lt;=MOD($Y374,18),1,0)))</f>
      </c>
      <c r="AC374" t="e">
        <f>IF(OR(OR($A374="",$D374=""),I374=""),"",I374-(INT($Y374/18)+IF(INDEX('Tournament Setup'!$AG:$AG,MATCH($A374,'Tournament Setup'!$A:$A,0))&lt;=MOD($Y374,18),1,0)))</f>
      </c>
      <c r="AD374" t="e">
        <f>IF(OR(OR($A374="",$D374=""),J374=""),"",J374-(INT($Y374/18)+IF(INDEX('Tournament Setup'!$AH:$AH,MATCH($A374,'Tournament Setup'!$A:$A,0))&lt;=MOD($Y374,18),1,0)))</f>
      </c>
      <c r="AE374" t="e">
        <f>IF(OR(OR($A374="",$D374=""),K374=""),"",K374-(INT($Y374/18)+IF(INDEX('Tournament Setup'!$AI:$AI,MATCH($A374,'Tournament Setup'!$A:$A,0))&lt;=MOD($Y374,18),1,0)))</f>
      </c>
      <c r="AF374" t="e">
        <f>IF(OR(OR($A374="",$D374=""),L374=""),"",L374-(INT($Y374/18)+IF(INDEX('Tournament Setup'!$AJ:$AJ,MATCH($A374,'Tournament Setup'!$A:$A,0))&lt;=MOD($Y374,18),1,0)))</f>
      </c>
      <c r="AG374" t="e">
        <f>IF(OR(OR($A374="",$D374=""),M374=""),"",M374-(INT($Y374/18)+IF(INDEX('Tournament Setup'!$AK:$AK,MATCH($A374,'Tournament Setup'!$A:$A,0))&lt;=MOD($Y374,18),1,0)))</f>
      </c>
      <c r="AH374" t="e">
        <f>IF(OR(OR($A374="",$D374=""),N374=""),"",N374-(INT($Y374/18)+IF(INDEX('Tournament Setup'!$AL:$AL,MATCH($A374,'Tournament Setup'!$A:$A,0))&lt;=MOD($Y374,18),1,0)))</f>
      </c>
      <c r="AI374" t="e">
        <f>IF(OR(OR($A374="",$D374=""),O374=""),"",O374-(INT($Y374/18)+IF(INDEX('Tournament Setup'!$AM:$AM,MATCH($A374,'Tournament Setup'!$A:$A,0))&lt;=MOD($Y374,18),1,0)))</f>
      </c>
      <c r="AJ374" t="e">
        <f>IF(OR(OR($A374="",$D374=""),P374=""),"",P374-(INT($Y374/18)+IF(INDEX('Tournament Setup'!$AN:$AN,MATCH($A374,'Tournament Setup'!$A:$A,0))&lt;=MOD($Y374,18),1,0)))</f>
      </c>
      <c r="AK374" t="e">
        <f>IF(OR(OR($A374="",$D374=""),Q374=""),"",Q374-(INT($Y374/18)+IF(INDEX('Tournament Setup'!$AO:$AO,MATCH($A374,'Tournament Setup'!$A:$A,0))&lt;=MOD($Y374,18),1,0)))</f>
      </c>
      <c r="AL374" t="e">
        <f>IF(OR(OR($A374="",$D374=""),R374=""),"",R374-(INT($Y374/18)+IF(INDEX('Tournament Setup'!$AP:$AP,MATCH($A374,'Tournament Setup'!$A:$A,0))&lt;=MOD($Y374,18),1,0)))</f>
      </c>
      <c r="AM374" t="e">
        <f>IF(OR(OR($A374="",$D374=""),S374=""),"",S374-(INT($Y374/18)+IF(INDEX('Tournament Setup'!$AQ:$AQ,MATCH($A374,'Tournament Setup'!$A:$A,0))&lt;=MOD($Y374,18),1,0)))</f>
      </c>
      <c r="AN374" t="e">
        <f>IF(OR(OR($A374="",$D374=""),T374=""),"",T374-(INT($Y374/18)+IF(INDEX('Tournament Setup'!$AR:$AR,MATCH($A374,'Tournament Setup'!$A:$A,0))&lt;=MOD($Y374,18),1,0)))</f>
      </c>
      <c r="AO374" t="e">
        <f>IF(OR(OR($A374="",$D374=""),U374=""),"",U374-(INT($Y374/18)+IF(INDEX('Tournament Setup'!$AS:$AS,MATCH($A374,'Tournament Setup'!$A:$A,0))&lt;=MOD($Y374,18),1,0)))</f>
      </c>
      <c r="AP374" t="e">
        <f>IF(OR(OR($A374="",$D374=""),V374=""),"",V374-(INT($Y374/18)+IF(INDEX('Tournament Setup'!$AT:$AT,MATCH($A374,'Tournament Setup'!$A:$A,0))&lt;=MOD($Y374,18),1,0)))</f>
      </c>
      <c r="AQ374" t="e">
        <f>IF(OR(OR($A374="",$D374=""),W374=""),"",W374-(INT($Y374/18)+IF(INDEX('Tournament Setup'!$AU:$AU,MATCH($A374,'Tournament Setup'!$A:$A,0))&lt;=MOD($Y374,18),1,0)))</f>
      </c>
    </row>
    <row r="375">
      <c r="X375" t="e">
        <f>IF(OR($A375="",$D375=""),"",SUM(F375:W375))</f>
      </c>
      <c r="Y375" t="e">
        <f>IF(OR($A375="",$D375=""),"",IF(INDEX('Tournament Setup'!$F:$F,MATCH($A375,'Tournament Setup'!$A:$A,0))="Net",ROUND(($E375-_xlfn.MINIFS($E$2:$E$401,$A$2:$A$401,$A375,$B$2:$B$401,$B375))*INDEX('Tournament Setup'!$G:$G,MATCH($A375,'Tournament Setup'!$A:$A,0))/100,0),0))</f>
      </c>
      <c r="Z375" t="e">
        <f>IF(OR(OR($A375="",$D375=""),F375=""),"",F375-(INT($Y375/18)+IF(INDEX('Tournament Setup'!$AD:$AD,MATCH($A375,'Tournament Setup'!$A:$A,0))&lt;=MOD($Y375,18),1,0)))</f>
      </c>
      <c r="AA375" t="e">
        <f>IF(OR(OR($A375="",$D375=""),G375=""),"",G375-(INT($Y375/18)+IF(INDEX('Tournament Setup'!$AE:$AE,MATCH($A375,'Tournament Setup'!$A:$A,0))&lt;=MOD($Y375,18),1,0)))</f>
      </c>
      <c r="AB375" t="e">
        <f>IF(OR(OR($A375="",$D375=""),H375=""),"",H375-(INT($Y375/18)+IF(INDEX('Tournament Setup'!$AF:$AF,MATCH($A375,'Tournament Setup'!$A:$A,0))&lt;=MOD($Y375,18),1,0)))</f>
      </c>
      <c r="AC375" t="e">
        <f>IF(OR(OR($A375="",$D375=""),I375=""),"",I375-(INT($Y375/18)+IF(INDEX('Tournament Setup'!$AG:$AG,MATCH($A375,'Tournament Setup'!$A:$A,0))&lt;=MOD($Y375,18),1,0)))</f>
      </c>
      <c r="AD375" t="e">
        <f>IF(OR(OR($A375="",$D375=""),J375=""),"",J375-(INT($Y375/18)+IF(INDEX('Tournament Setup'!$AH:$AH,MATCH($A375,'Tournament Setup'!$A:$A,0))&lt;=MOD($Y375,18),1,0)))</f>
      </c>
      <c r="AE375" t="e">
        <f>IF(OR(OR($A375="",$D375=""),K375=""),"",K375-(INT($Y375/18)+IF(INDEX('Tournament Setup'!$AI:$AI,MATCH($A375,'Tournament Setup'!$A:$A,0))&lt;=MOD($Y375,18),1,0)))</f>
      </c>
      <c r="AF375" t="e">
        <f>IF(OR(OR($A375="",$D375=""),L375=""),"",L375-(INT($Y375/18)+IF(INDEX('Tournament Setup'!$AJ:$AJ,MATCH($A375,'Tournament Setup'!$A:$A,0))&lt;=MOD($Y375,18),1,0)))</f>
      </c>
      <c r="AG375" t="e">
        <f>IF(OR(OR($A375="",$D375=""),M375=""),"",M375-(INT($Y375/18)+IF(INDEX('Tournament Setup'!$AK:$AK,MATCH($A375,'Tournament Setup'!$A:$A,0))&lt;=MOD($Y375,18),1,0)))</f>
      </c>
      <c r="AH375" t="e">
        <f>IF(OR(OR($A375="",$D375=""),N375=""),"",N375-(INT($Y375/18)+IF(INDEX('Tournament Setup'!$AL:$AL,MATCH($A375,'Tournament Setup'!$A:$A,0))&lt;=MOD($Y375,18),1,0)))</f>
      </c>
      <c r="AI375" t="e">
        <f>IF(OR(OR($A375="",$D375=""),O375=""),"",O375-(INT($Y375/18)+IF(INDEX('Tournament Setup'!$AM:$AM,MATCH($A375,'Tournament Setup'!$A:$A,0))&lt;=MOD($Y375,18),1,0)))</f>
      </c>
      <c r="AJ375" t="e">
        <f>IF(OR(OR($A375="",$D375=""),P375=""),"",P375-(INT($Y375/18)+IF(INDEX('Tournament Setup'!$AN:$AN,MATCH($A375,'Tournament Setup'!$A:$A,0))&lt;=MOD($Y375,18),1,0)))</f>
      </c>
      <c r="AK375" t="e">
        <f>IF(OR(OR($A375="",$D375=""),Q375=""),"",Q375-(INT($Y375/18)+IF(INDEX('Tournament Setup'!$AO:$AO,MATCH($A375,'Tournament Setup'!$A:$A,0))&lt;=MOD($Y375,18),1,0)))</f>
      </c>
      <c r="AL375" t="e">
        <f>IF(OR(OR($A375="",$D375=""),R375=""),"",R375-(INT($Y375/18)+IF(INDEX('Tournament Setup'!$AP:$AP,MATCH($A375,'Tournament Setup'!$A:$A,0))&lt;=MOD($Y375,18),1,0)))</f>
      </c>
      <c r="AM375" t="e">
        <f>IF(OR(OR($A375="",$D375=""),S375=""),"",S375-(INT($Y375/18)+IF(INDEX('Tournament Setup'!$AQ:$AQ,MATCH($A375,'Tournament Setup'!$A:$A,0))&lt;=MOD($Y375,18),1,0)))</f>
      </c>
      <c r="AN375" t="e">
        <f>IF(OR(OR($A375="",$D375=""),T375=""),"",T375-(INT($Y375/18)+IF(INDEX('Tournament Setup'!$AR:$AR,MATCH($A375,'Tournament Setup'!$A:$A,0))&lt;=MOD($Y375,18),1,0)))</f>
      </c>
      <c r="AO375" t="e">
        <f>IF(OR(OR($A375="",$D375=""),U375=""),"",U375-(INT($Y375/18)+IF(INDEX('Tournament Setup'!$AS:$AS,MATCH($A375,'Tournament Setup'!$A:$A,0))&lt;=MOD($Y375,18),1,0)))</f>
      </c>
      <c r="AP375" t="e">
        <f>IF(OR(OR($A375="",$D375=""),V375=""),"",V375-(INT($Y375/18)+IF(INDEX('Tournament Setup'!$AT:$AT,MATCH($A375,'Tournament Setup'!$A:$A,0))&lt;=MOD($Y375,18),1,0)))</f>
      </c>
      <c r="AQ375" t="e">
        <f>IF(OR(OR($A375="",$D375=""),W375=""),"",W375-(INT($Y375/18)+IF(INDEX('Tournament Setup'!$AU:$AU,MATCH($A375,'Tournament Setup'!$A:$A,0))&lt;=MOD($Y375,18),1,0)))</f>
      </c>
    </row>
    <row r="376">
      <c r="X376" t="e">
        <f>IF(OR($A376="",$D376=""),"",SUM(F376:W376))</f>
      </c>
      <c r="Y376" t="e">
        <f>IF(OR($A376="",$D376=""),"",IF(INDEX('Tournament Setup'!$F:$F,MATCH($A376,'Tournament Setup'!$A:$A,0))="Net",ROUND(($E376-_xlfn.MINIFS($E$2:$E$401,$A$2:$A$401,$A376,$B$2:$B$401,$B376))*INDEX('Tournament Setup'!$G:$G,MATCH($A376,'Tournament Setup'!$A:$A,0))/100,0),0))</f>
      </c>
      <c r="Z376" t="e">
        <f>IF(OR(OR($A376="",$D376=""),F376=""),"",F376-(INT($Y376/18)+IF(INDEX('Tournament Setup'!$AD:$AD,MATCH($A376,'Tournament Setup'!$A:$A,0))&lt;=MOD($Y376,18),1,0)))</f>
      </c>
      <c r="AA376" t="e">
        <f>IF(OR(OR($A376="",$D376=""),G376=""),"",G376-(INT($Y376/18)+IF(INDEX('Tournament Setup'!$AE:$AE,MATCH($A376,'Tournament Setup'!$A:$A,0))&lt;=MOD($Y376,18),1,0)))</f>
      </c>
      <c r="AB376" t="e">
        <f>IF(OR(OR($A376="",$D376=""),H376=""),"",H376-(INT($Y376/18)+IF(INDEX('Tournament Setup'!$AF:$AF,MATCH($A376,'Tournament Setup'!$A:$A,0))&lt;=MOD($Y376,18),1,0)))</f>
      </c>
      <c r="AC376" t="e">
        <f>IF(OR(OR($A376="",$D376=""),I376=""),"",I376-(INT($Y376/18)+IF(INDEX('Tournament Setup'!$AG:$AG,MATCH($A376,'Tournament Setup'!$A:$A,0))&lt;=MOD($Y376,18),1,0)))</f>
      </c>
      <c r="AD376" t="e">
        <f>IF(OR(OR($A376="",$D376=""),J376=""),"",J376-(INT($Y376/18)+IF(INDEX('Tournament Setup'!$AH:$AH,MATCH($A376,'Tournament Setup'!$A:$A,0))&lt;=MOD($Y376,18),1,0)))</f>
      </c>
      <c r="AE376" t="e">
        <f>IF(OR(OR($A376="",$D376=""),K376=""),"",K376-(INT($Y376/18)+IF(INDEX('Tournament Setup'!$AI:$AI,MATCH($A376,'Tournament Setup'!$A:$A,0))&lt;=MOD($Y376,18),1,0)))</f>
      </c>
      <c r="AF376" t="e">
        <f>IF(OR(OR($A376="",$D376=""),L376=""),"",L376-(INT($Y376/18)+IF(INDEX('Tournament Setup'!$AJ:$AJ,MATCH($A376,'Tournament Setup'!$A:$A,0))&lt;=MOD($Y376,18),1,0)))</f>
      </c>
      <c r="AG376" t="e">
        <f>IF(OR(OR($A376="",$D376=""),M376=""),"",M376-(INT($Y376/18)+IF(INDEX('Tournament Setup'!$AK:$AK,MATCH($A376,'Tournament Setup'!$A:$A,0))&lt;=MOD($Y376,18),1,0)))</f>
      </c>
      <c r="AH376" t="e">
        <f>IF(OR(OR($A376="",$D376=""),N376=""),"",N376-(INT($Y376/18)+IF(INDEX('Tournament Setup'!$AL:$AL,MATCH($A376,'Tournament Setup'!$A:$A,0))&lt;=MOD($Y376,18),1,0)))</f>
      </c>
      <c r="AI376" t="e">
        <f>IF(OR(OR($A376="",$D376=""),O376=""),"",O376-(INT($Y376/18)+IF(INDEX('Tournament Setup'!$AM:$AM,MATCH($A376,'Tournament Setup'!$A:$A,0))&lt;=MOD($Y376,18),1,0)))</f>
      </c>
      <c r="AJ376" t="e">
        <f>IF(OR(OR($A376="",$D376=""),P376=""),"",P376-(INT($Y376/18)+IF(INDEX('Tournament Setup'!$AN:$AN,MATCH($A376,'Tournament Setup'!$A:$A,0))&lt;=MOD($Y376,18),1,0)))</f>
      </c>
      <c r="AK376" t="e">
        <f>IF(OR(OR($A376="",$D376=""),Q376=""),"",Q376-(INT($Y376/18)+IF(INDEX('Tournament Setup'!$AO:$AO,MATCH($A376,'Tournament Setup'!$A:$A,0))&lt;=MOD($Y376,18),1,0)))</f>
      </c>
      <c r="AL376" t="e">
        <f>IF(OR(OR($A376="",$D376=""),R376=""),"",R376-(INT($Y376/18)+IF(INDEX('Tournament Setup'!$AP:$AP,MATCH($A376,'Tournament Setup'!$A:$A,0))&lt;=MOD($Y376,18),1,0)))</f>
      </c>
      <c r="AM376" t="e">
        <f>IF(OR(OR($A376="",$D376=""),S376=""),"",S376-(INT($Y376/18)+IF(INDEX('Tournament Setup'!$AQ:$AQ,MATCH($A376,'Tournament Setup'!$A:$A,0))&lt;=MOD($Y376,18),1,0)))</f>
      </c>
      <c r="AN376" t="e">
        <f>IF(OR(OR($A376="",$D376=""),T376=""),"",T376-(INT($Y376/18)+IF(INDEX('Tournament Setup'!$AR:$AR,MATCH($A376,'Tournament Setup'!$A:$A,0))&lt;=MOD($Y376,18),1,0)))</f>
      </c>
      <c r="AO376" t="e">
        <f>IF(OR(OR($A376="",$D376=""),U376=""),"",U376-(INT($Y376/18)+IF(INDEX('Tournament Setup'!$AS:$AS,MATCH($A376,'Tournament Setup'!$A:$A,0))&lt;=MOD($Y376,18),1,0)))</f>
      </c>
      <c r="AP376" t="e">
        <f>IF(OR(OR($A376="",$D376=""),V376=""),"",V376-(INT($Y376/18)+IF(INDEX('Tournament Setup'!$AT:$AT,MATCH($A376,'Tournament Setup'!$A:$A,0))&lt;=MOD($Y376,18),1,0)))</f>
      </c>
      <c r="AQ376" t="e">
        <f>IF(OR(OR($A376="",$D376=""),W376=""),"",W376-(INT($Y376/18)+IF(INDEX('Tournament Setup'!$AU:$AU,MATCH($A376,'Tournament Setup'!$A:$A,0))&lt;=MOD($Y376,18),1,0)))</f>
      </c>
    </row>
    <row r="377">
      <c r="X377" t="e">
        <f>IF(OR($A377="",$D377=""),"",SUM(F377:W377))</f>
      </c>
      <c r="Y377" t="e">
        <f>IF(OR($A377="",$D377=""),"",IF(INDEX('Tournament Setup'!$F:$F,MATCH($A377,'Tournament Setup'!$A:$A,0))="Net",ROUND(($E377-_xlfn.MINIFS($E$2:$E$401,$A$2:$A$401,$A377,$B$2:$B$401,$B377))*INDEX('Tournament Setup'!$G:$G,MATCH($A377,'Tournament Setup'!$A:$A,0))/100,0),0))</f>
      </c>
      <c r="Z377" t="e">
        <f>IF(OR(OR($A377="",$D377=""),F377=""),"",F377-(INT($Y377/18)+IF(INDEX('Tournament Setup'!$AD:$AD,MATCH($A377,'Tournament Setup'!$A:$A,0))&lt;=MOD($Y377,18),1,0)))</f>
      </c>
      <c r="AA377" t="e">
        <f>IF(OR(OR($A377="",$D377=""),G377=""),"",G377-(INT($Y377/18)+IF(INDEX('Tournament Setup'!$AE:$AE,MATCH($A377,'Tournament Setup'!$A:$A,0))&lt;=MOD($Y377,18),1,0)))</f>
      </c>
      <c r="AB377" t="e">
        <f>IF(OR(OR($A377="",$D377=""),H377=""),"",H377-(INT($Y377/18)+IF(INDEX('Tournament Setup'!$AF:$AF,MATCH($A377,'Tournament Setup'!$A:$A,0))&lt;=MOD($Y377,18),1,0)))</f>
      </c>
      <c r="AC377" t="e">
        <f>IF(OR(OR($A377="",$D377=""),I377=""),"",I377-(INT($Y377/18)+IF(INDEX('Tournament Setup'!$AG:$AG,MATCH($A377,'Tournament Setup'!$A:$A,0))&lt;=MOD($Y377,18),1,0)))</f>
      </c>
      <c r="AD377" t="e">
        <f>IF(OR(OR($A377="",$D377=""),J377=""),"",J377-(INT($Y377/18)+IF(INDEX('Tournament Setup'!$AH:$AH,MATCH($A377,'Tournament Setup'!$A:$A,0))&lt;=MOD($Y377,18),1,0)))</f>
      </c>
      <c r="AE377" t="e">
        <f>IF(OR(OR($A377="",$D377=""),K377=""),"",K377-(INT($Y377/18)+IF(INDEX('Tournament Setup'!$AI:$AI,MATCH($A377,'Tournament Setup'!$A:$A,0))&lt;=MOD($Y377,18),1,0)))</f>
      </c>
      <c r="AF377" t="e">
        <f>IF(OR(OR($A377="",$D377=""),L377=""),"",L377-(INT($Y377/18)+IF(INDEX('Tournament Setup'!$AJ:$AJ,MATCH($A377,'Tournament Setup'!$A:$A,0))&lt;=MOD($Y377,18),1,0)))</f>
      </c>
      <c r="AG377" t="e">
        <f>IF(OR(OR($A377="",$D377=""),M377=""),"",M377-(INT($Y377/18)+IF(INDEX('Tournament Setup'!$AK:$AK,MATCH($A377,'Tournament Setup'!$A:$A,0))&lt;=MOD($Y377,18),1,0)))</f>
      </c>
      <c r="AH377" t="e">
        <f>IF(OR(OR($A377="",$D377=""),N377=""),"",N377-(INT($Y377/18)+IF(INDEX('Tournament Setup'!$AL:$AL,MATCH($A377,'Tournament Setup'!$A:$A,0))&lt;=MOD($Y377,18),1,0)))</f>
      </c>
      <c r="AI377" t="e">
        <f>IF(OR(OR($A377="",$D377=""),O377=""),"",O377-(INT($Y377/18)+IF(INDEX('Tournament Setup'!$AM:$AM,MATCH($A377,'Tournament Setup'!$A:$A,0))&lt;=MOD($Y377,18),1,0)))</f>
      </c>
      <c r="AJ377" t="e">
        <f>IF(OR(OR($A377="",$D377=""),P377=""),"",P377-(INT($Y377/18)+IF(INDEX('Tournament Setup'!$AN:$AN,MATCH($A377,'Tournament Setup'!$A:$A,0))&lt;=MOD($Y377,18),1,0)))</f>
      </c>
      <c r="AK377" t="e">
        <f>IF(OR(OR($A377="",$D377=""),Q377=""),"",Q377-(INT($Y377/18)+IF(INDEX('Tournament Setup'!$AO:$AO,MATCH($A377,'Tournament Setup'!$A:$A,0))&lt;=MOD($Y377,18),1,0)))</f>
      </c>
      <c r="AL377" t="e">
        <f>IF(OR(OR($A377="",$D377=""),R377=""),"",R377-(INT($Y377/18)+IF(INDEX('Tournament Setup'!$AP:$AP,MATCH($A377,'Tournament Setup'!$A:$A,0))&lt;=MOD($Y377,18),1,0)))</f>
      </c>
      <c r="AM377" t="e">
        <f>IF(OR(OR($A377="",$D377=""),S377=""),"",S377-(INT($Y377/18)+IF(INDEX('Tournament Setup'!$AQ:$AQ,MATCH($A377,'Tournament Setup'!$A:$A,0))&lt;=MOD($Y377,18),1,0)))</f>
      </c>
      <c r="AN377" t="e">
        <f>IF(OR(OR($A377="",$D377=""),T377=""),"",T377-(INT($Y377/18)+IF(INDEX('Tournament Setup'!$AR:$AR,MATCH($A377,'Tournament Setup'!$A:$A,0))&lt;=MOD($Y377,18),1,0)))</f>
      </c>
      <c r="AO377" t="e">
        <f>IF(OR(OR($A377="",$D377=""),U377=""),"",U377-(INT($Y377/18)+IF(INDEX('Tournament Setup'!$AS:$AS,MATCH($A377,'Tournament Setup'!$A:$A,0))&lt;=MOD($Y377,18),1,0)))</f>
      </c>
      <c r="AP377" t="e">
        <f>IF(OR(OR($A377="",$D377=""),V377=""),"",V377-(INT($Y377/18)+IF(INDEX('Tournament Setup'!$AT:$AT,MATCH($A377,'Tournament Setup'!$A:$A,0))&lt;=MOD($Y377,18),1,0)))</f>
      </c>
      <c r="AQ377" t="e">
        <f>IF(OR(OR($A377="",$D377=""),W377=""),"",W377-(INT($Y377/18)+IF(INDEX('Tournament Setup'!$AU:$AU,MATCH($A377,'Tournament Setup'!$A:$A,0))&lt;=MOD($Y377,18),1,0)))</f>
      </c>
    </row>
    <row r="378">
      <c r="X378" t="e">
        <f>IF(OR($A378="",$D378=""),"",SUM(F378:W378))</f>
      </c>
      <c r="Y378" t="e">
        <f>IF(OR($A378="",$D378=""),"",IF(INDEX('Tournament Setup'!$F:$F,MATCH($A378,'Tournament Setup'!$A:$A,0))="Net",ROUND(($E378-_xlfn.MINIFS($E$2:$E$401,$A$2:$A$401,$A378,$B$2:$B$401,$B378))*INDEX('Tournament Setup'!$G:$G,MATCH($A378,'Tournament Setup'!$A:$A,0))/100,0),0))</f>
      </c>
      <c r="Z378" t="e">
        <f>IF(OR(OR($A378="",$D378=""),F378=""),"",F378-(INT($Y378/18)+IF(INDEX('Tournament Setup'!$AD:$AD,MATCH($A378,'Tournament Setup'!$A:$A,0))&lt;=MOD($Y378,18),1,0)))</f>
      </c>
      <c r="AA378" t="e">
        <f>IF(OR(OR($A378="",$D378=""),G378=""),"",G378-(INT($Y378/18)+IF(INDEX('Tournament Setup'!$AE:$AE,MATCH($A378,'Tournament Setup'!$A:$A,0))&lt;=MOD($Y378,18),1,0)))</f>
      </c>
      <c r="AB378" t="e">
        <f>IF(OR(OR($A378="",$D378=""),H378=""),"",H378-(INT($Y378/18)+IF(INDEX('Tournament Setup'!$AF:$AF,MATCH($A378,'Tournament Setup'!$A:$A,0))&lt;=MOD($Y378,18),1,0)))</f>
      </c>
      <c r="AC378" t="e">
        <f>IF(OR(OR($A378="",$D378=""),I378=""),"",I378-(INT($Y378/18)+IF(INDEX('Tournament Setup'!$AG:$AG,MATCH($A378,'Tournament Setup'!$A:$A,0))&lt;=MOD($Y378,18),1,0)))</f>
      </c>
      <c r="AD378" t="e">
        <f>IF(OR(OR($A378="",$D378=""),J378=""),"",J378-(INT($Y378/18)+IF(INDEX('Tournament Setup'!$AH:$AH,MATCH($A378,'Tournament Setup'!$A:$A,0))&lt;=MOD($Y378,18),1,0)))</f>
      </c>
      <c r="AE378" t="e">
        <f>IF(OR(OR($A378="",$D378=""),K378=""),"",K378-(INT($Y378/18)+IF(INDEX('Tournament Setup'!$AI:$AI,MATCH($A378,'Tournament Setup'!$A:$A,0))&lt;=MOD($Y378,18),1,0)))</f>
      </c>
      <c r="AF378" t="e">
        <f>IF(OR(OR($A378="",$D378=""),L378=""),"",L378-(INT($Y378/18)+IF(INDEX('Tournament Setup'!$AJ:$AJ,MATCH($A378,'Tournament Setup'!$A:$A,0))&lt;=MOD($Y378,18),1,0)))</f>
      </c>
      <c r="AG378" t="e">
        <f>IF(OR(OR($A378="",$D378=""),M378=""),"",M378-(INT($Y378/18)+IF(INDEX('Tournament Setup'!$AK:$AK,MATCH($A378,'Tournament Setup'!$A:$A,0))&lt;=MOD($Y378,18),1,0)))</f>
      </c>
      <c r="AH378" t="e">
        <f>IF(OR(OR($A378="",$D378=""),N378=""),"",N378-(INT($Y378/18)+IF(INDEX('Tournament Setup'!$AL:$AL,MATCH($A378,'Tournament Setup'!$A:$A,0))&lt;=MOD($Y378,18),1,0)))</f>
      </c>
      <c r="AI378" t="e">
        <f>IF(OR(OR($A378="",$D378=""),O378=""),"",O378-(INT($Y378/18)+IF(INDEX('Tournament Setup'!$AM:$AM,MATCH($A378,'Tournament Setup'!$A:$A,0))&lt;=MOD($Y378,18),1,0)))</f>
      </c>
      <c r="AJ378" t="e">
        <f>IF(OR(OR($A378="",$D378=""),P378=""),"",P378-(INT($Y378/18)+IF(INDEX('Tournament Setup'!$AN:$AN,MATCH($A378,'Tournament Setup'!$A:$A,0))&lt;=MOD($Y378,18),1,0)))</f>
      </c>
      <c r="AK378" t="e">
        <f>IF(OR(OR($A378="",$D378=""),Q378=""),"",Q378-(INT($Y378/18)+IF(INDEX('Tournament Setup'!$AO:$AO,MATCH($A378,'Tournament Setup'!$A:$A,0))&lt;=MOD($Y378,18),1,0)))</f>
      </c>
      <c r="AL378" t="e">
        <f>IF(OR(OR($A378="",$D378=""),R378=""),"",R378-(INT($Y378/18)+IF(INDEX('Tournament Setup'!$AP:$AP,MATCH($A378,'Tournament Setup'!$A:$A,0))&lt;=MOD($Y378,18),1,0)))</f>
      </c>
      <c r="AM378" t="e">
        <f>IF(OR(OR($A378="",$D378=""),S378=""),"",S378-(INT($Y378/18)+IF(INDEX('Tournament Setup'!$AQ:$AQ,MATCH($A378,'Tournament Setup'!$A:$A,0))&lt;=MOD($Y378,18),1,0)))</f>
      </c>
      <c r="AN378" t="e">
        <f>IF(OR(OR($A378="",$D378=""),T378=""),"",T378-(INT($Y378/18)+IF(INDEX('Tournament Setup'!$AR:$AR,MATCH($A378,'Tournament Setup'!$A:$A,0))&lt;=MOD($Y378,18),1,0)))</f>
      </c>
      <c r="AO378" t="e">
        <f>IF(OR(OR($A378="",$D378=""),U378=""),"",U378-(INT($Y378/18)+IF(INDEX('Tournament Setup'!$AS:$AS,MATCH($A378,'Tournament Setup'!$A:$A,0))&lt;=MOD($Y378,18),1,0)))</f>
      </c>
      <c r="AP378" t="e">
        <f>IF(OR(OR($A378="",$D378=""),V378=""),"",V378-(INT($Y378/18)+IF(INDEX('Tournament Setup'!$AT:$AT,MATCH($A378,'Tournament Setup'!$A:$A,0))&lt;=MOD($Y378,18),1,0)))</f>
      </c>
      <c r="AQ378" t="e">
        <f>IF(OR(OR($A378="",$D378=""),W378=""),"",W378-(INT($Y378/18)+IF(INDEX('Tournament Setup'!$AU:$AU,MATCH($A378,'Tournament Setup'!$A:$A,0))&lt;=MOD($Y378,18),1,0)))</f>
      </c>
    </row>
    <row r="379">
      <c r="X379" t="e">
        <f>IF(OR($A379="",$D379=""),"",SUM(F379:W379))</f>
      </c>
      <c r="Y379" t="e">
        <f>IF(OR($A379="",$D379=""),"",IF(INDEX('Tournament Setup'!$F:$F,MATCH($A379,'Tournament Setup'!$A:$A,0))="Net",ROUND(($E379-_xlfn.MINIFS($E$2:$E$401,$A$2:$A$401,$A379,$B$2:$B$401,$B379))*INDEX('Tournament Setup'!$G:$G,MATCH($A379,'Tournament Setup'!$A:$A,0))/100,0),0))</f>
      </c>
      <c r="Z379" t="e">
        <f>IF(OR(OR($A379="",$D379=""),F379=""),"",F379-(INT($Y379/18)+IF(INDEX('Tournament Setup'!$AD:$AD,MATCH($A379,'Tournament Setup'!$A:$A,0))&lt;=MOD($Y379,18),1,0)))</f>
      </c>
      <c r="AA379" t="e">
        <f>IF(OR(OR($A379="",$D379=""),G379=""),"",G379-(INT($Y379/18)+IF(INDEX('Tournament Setup'!$AE:$AE,MATCH($A379,'Tournament Setup'!$A:$A,0))&lt;=MOD($Y379,18),1,0)))</f>
      </c>
      <c r="AB379" t="e">
        <f>IF(OR(OR($A379="",$D379=""),H379=""),"",H379-(INT($Y379/18)+IF(INDEX('Tournament Setup'!$AF:$AF,MATCH($A379,'Tournament Setup'!$A:$A,0))&lt;=MOD($Y379,18),1,0)))</f>
      </c>
      <c r="AC379" t="e">
        <f>IF(OR(OR($A379="",$D379=""),I379=""),"",I379-(INT($Y379/18)+IF(INDEX('Tournament Setup'!$AG:$AG,MATCH($A379,'Tournament Setup'!$A:$A,0))&lt;=MOD($Y379,18),1,0)))</f>
      </c>
      <c r="AD379" t="e">
        <f>IF(OR(OR($A379="",$D379=""),J379=""),"",J379-(INT($Y379/18)+IF(INDEX('Tournament Setup'!$AH:$AH,MATCH($A379,'Tournament Setup'!$A:$A,0))&lt;=MOD($Y379,18),1,0)))</f>
      </c>
      <c r="AE379" t="e">
        <f>IF(OR(OR($A379="",$D379=""),K379=""),"",K379-(INT($Y379/18)+IF(INDEX('Tournament Setup'!$AI:$AI,MATCH($A379,'Tournament Setup'!$A:$A,0))&lt;=MOD($Y379,18),1,0)))</f>
      </c>
      <c r="AF379" t="e">
        <f>IF(OR(OR($A379="",$D379=""),L379=""),"",L379-(INT($Y379/18)+IF(INDEX('Tournament Setup'!$AJ:$AJ,MATCH($A379,'Tournament Setup'!$A:$A,0))&lt;=MOD($Y379,18),1,0)))</f>
      </c>
      <c r="AG379" t="e">
        <f>IF(OR(OR($A379="",$D379=""),M379=""),"",M379-(INT($Y379/18)+IF(INDEX('Tournament Setup'!$AK:$AK,MATCH($A379,'Tournament Setup'!$A:$A,0))&lt;=MOD($Y379,18),1,0)))</f>
      </c>
      <c r="AH379" t="e">
        <f>IF(OR(OR($A379="",$D379=""),N379=""),"",N379-(INT($Y379/18)+IF(INDEX('Tournament Setup'!$AL:$AL,MATCH($A379,'Tournament Setup'!$A:$A,0))&lt;=MOD($Y379,18),1,0)))</f>
      </c>
      <c r="AI379" t="e">
        <f>IF(OR(OR($A379="",$D379=""),O379=""),"",O379-(INT($Y379/18)+IF(INDEX('Tournament Setup'!$AM:$AM,MATCH($A379,'Tournament Setup'!$A:$A,0))&lt;=MOD($Y379,18),1,0)))</f>
      </c>
      <c r="AJ379" t="e">
        <f>IF(OR(OR($A379="",$D379=""),P379=""),"",P379-(INT($Y379/18)+IF(INDEX('Tournament Setup'!$AN:$AN,MATCH($A379,'Tournament Setup'!$A:$A,0))&lt;=MOD($Y379,18),1,0)))</f>
      </c>
      <c r="AK379" t="e">
        <f>IF(OR(OR($A379="",$D379=""),Q379=""),"",Q379-(INT($Y379/18)+IF(INDEX('Tournament Setup'!$AO:$AO,MATCH($A379,'Tournament Setup'!$A:$A,0))&lt;=MOD($Y379,18),1,0)))</f>
      </c>
      <c r="AL379" t="e">
        <f>IF(OR(OR($A379="",$D379=""),R379=""),"",R379-(INT($Y379/18)+IF(INDEX('Tournament Setup'!$AP:$AP,MATCH($A379,'Tournament Setup'!$A:$A,0))&lt;=MOD($Y379,18),1,0)))</f>
      </c>
      <c r="AM379" t="e">
        <f>IF(OR(OR($A379="",$D379=""),S379=""),"",S379-(INT($Y379/18)+IF(INDEX('Tournament Setup'!$AQ:$AQ,MATCH($A379,'Tournament Setup'!$A:$A,0))&lt;=MOD($Y379,18),1,0)))</f>
      </c>
      <c r="AN379" t="e">
        <f>IF(OR(OR($A379="",$D379=""),T379=""),"",T379-(INT($Y379/18)+IF(INDEX('Tournament Setup'!$AR:$AR,MATCH($A379,'Tournament Setup'!$A:$A,0))&lt;=MOD($Y379,18),1,0)))</f>
      </c>
      <c r="AO379" t="e">
        <f>IF(OR(OR($A379="",$D379=""),U379=""),"",U379-(INT($Y379/18)+IF(INDEX('Tournament Setup'!$AS:$AS,MATCH($A379,'Tournament Setup'!$A:$A,0))&lt;=MOD($Y379,18),1,0)))</f>
      </c>
      <c r="AP379" t="e">
        <f>IF(OR(OR($A379="",$D379=""),V379=""),"",V379-(INT($Y379/18)+IF(INDEX('Tournament Setup'!$AT:$AT,MATCH($A379,'Tournament Setup'!$A:$A,0))&lt;=MOD($Y379,18),1,0)))</f>
      </c>
      <c r="AQ379" t="e">
        <f>IF(OR(OR($A379="",$D379=""),W379=""),"",W379-(INT($Y379/18)+IF(INDEX('Tournament Setup'!$AU:$AU,MATCH($A379,'Tournament Setup'!$A:$A,0))&lt;=MOD($Y379,18),1,0)))</f>
      </c>
    </row>
    <row r="380">
      <c r="X380" t="e">
        <f>IF(OR($A380="",$D380=""),"",SUM(F380:W380))</f>
      </c>
      <c r="Y380" t="e">
        <f>IF(OR($A380="",$D380=""),"",IF(INDEX('Tournament Setup'!$F:$F,MATCH($A380,'Tournament Setup'!$A:$A,0))="Net",ROUND(($E380-_xlfn.MINIFS($E$2:$E$401,$A$2:$A$401,$A380,$B$2:$B$401,$B380))*INDEX('Tournament Setup'!$G:$G,MATCH($A380,'Tournament Setup'!$A:$A,0))/100,0),0))</f>
      </c>
      <c r="Z380" t="e">
        <f>IF(OR(OR($A380="",$D380=""),F380=""),"",F380-(INT($Y380/18)+IF(INDEX('Tournament Setup'!$AD:$AD,MATCH($A380,'Tournament Setup'!$A:$A,0))&lt;=MOD($Y380,18),1,0)))</f>
      </c>
      <c r="AA380" t="e">
        <f>IF(OR(OR($A380="",$D380=""),G380=""),"",G380-(INT($Y380/18)+IF(INDEX('Tournament Setup'!$AE:$AE,MATCH($A380,'Tournament Setup'!$A:$A,0))&lt;=MOD($Y380,18),1,0)))</f>
      </c>
      <c r="AB380" t="e">
        <f>IF(OR(OR($A380="",$D380=""),H380=""),"",H380-(INT($Y380/18)+IF(INDEX('Tournament Setup'!$AF:$AF,MATCH($A380,'Tournament Setup'!$A:$A,0))&lt;=MOD($Y380,18),1,0)))</f>
      </c>
      <c r="AC380" t="e">
        <f>IF(OR(OR($A380="",$D380=""),I380=""),"",I380-(INT($Y380/18)+IF(INDEX('Tournament Setup'!$AG:$AG,MATCH($A380,'Tournament Setup'!$A:$A,0))&lt;=MOD($Y380,18),1,0)))</f>
      </c>
      <c r="AD380" t="e">
        <f>IF(OR(OR($A380="",$D380=""),J380=""),"",J380-(INT($Y380/18)+IF(INDEX('Tournament Setup'!$AH:$AH,MATCH($A380,'Tournament Setup'!$A:$A,0))&lt;=MOD($Y380,18),1,0)))</f>
      </c>
      <c r="AE380" t="e">
        <f>IF(OR(OR($A380="",$D380=""),K380=""),"",K380-(INT($Y380/18)+IF(INDEX('Tournament Setup'!$AI:$AI,MATCH($A380,'Tournament Setup'!$A:$A,0))&lt;=MOD($Y380,18),1,0)))</f>
      </c>
      <c r="AF380" t="e">
        <f>IF(OR(OR($A380="",$D380=""),L380=""),"",L380-(INT($Y380/18)+IF(INDEX('Tournament Setup'!$AJ:$AJ,MATCH($A380,'Tournament Setup'!$A:$A,0))&lt;=MOD($Y380,18),1,0)))</f>
      </c>
      <c r="AG380" t="e">
        <f>IF(OR(OR($A380="",$D380=""),M380=""),"",M380-(INT($Y380/18)+IF(INDEX('Tournament Setup'!$AK:$AK,MATCH($A380,'Tournament Setup'!$A:$A,0))&lt;=MOD($Y380,18),1,0)))</f>
      </c>
      <c r="AH380" t="e">
        <f>IF(OR(OR($A380="",$D380=""),N380=""),"",N380-(INT($Y380/18)+IF(INDEX('Tournament Setup'!$AL:$AL,MATCH($A380,'Tournament Setup'!$A:$A,0))&lt;=MOD($Y380,18),1,0)))</f>
      </c>
      <c r="AI380" t="e">
        <f>IF(OR(OR($A380="",$D380=""),O380=""),"",O380-(INT($Y380/18)+IF(INDEX('Tournament Setup'!$AM:$AM,MATCH($A380,'Tournament Setup'!$A:$A,0))&lt;=MOD($Y380,18),1,0)))</f>
      </c>
      <c r="AJ380" t="e">
        <f>IF(OR(OR($A380="",$D380=""),P380=""),"",P380-(INT($Y380/18)+IF(INDEX('Tournament Setup'!$AN:$AN,MATCH($A380,'Tournament Setup'!$A:$A,0))&lt;=MOD($Y380,18),1,0)))</f>
      </c>
      <c r="AK380" t="e">
        <f>IF(OR(OR($A380="",$D380=""),Q380=""),"",Q380-(INT($Y380/18)+IF(INDEX('Tournament Setup'!$AO:$AO,MATCH($A380,'Tournament Setup'!$A:$A,0))&lt;=MOD($Y380,18),1,0)))</f>
      </c>
      <c r="AL380" t="e">
        <f>IF(OR(OR($A380="",$D380=""),R380=""),"",R380-(INT($Y380/18)+IF(INDEX('Tournament Setup'!$AP:$AP,MATCH($A380,'Tournament Setup'!$A:$A,0))&lt;=MOD($Y380,18),1,0)))</f>
      </c>
      <c r="AM380" t="e">
        <f>IF(OR(OR($A380="",$D380=""),S380=""),"",S380-(INT($Y380/18)+IF(INDEX('Tournament Setup'!$AQ:$AQ,MATCH($A380,'Tournament Setup'!$A:$A,0))&lt;=MOD($Y380,18),1,0)))</f>
      </c>
      <c r="AN380" t="e">
        <f>IF(OR(OR($A380="",$D380=""),T380=""),"",T380-(INT($Y380/18)+IF(INDEX('Tournament Setup'!$AR:$AR,MATCH($A380,'Tournament Setup'!$A:$A,0))&lt;=MOD($Y380,18),1,0)))</f>
      </c>
      <c r="AO380" t="e">
        <f>IF(OR(OR($A380="",$D380=""),U380=""),"",U380-(INT($Y380/18)+IF(INDEX('Tournament Setup'!$AS:$AS,MATCH($A380,'Tournament Setup'!$A:$A,0))&lt;=MOD($Y380,18),1,0)))</f>
      </c>
      <c r="AP380" t="e">
        <f>IF(OR(OR($A380="",$D380=""),V380=""),"",V380-(INT($Y380/18)+IF(INDEX('Tournament Setup'!$AT:$AT,MATCH($A380,'Tournament Setup'!$A:$A,0))&lt;=MOD($Y380,18),1,0)))</f>
      </c>
      <c r="AQ380" t="e">
        <f>IF(OR(OR($A380="",$D380=""),W380=""),"",W380-(INT($Y380/18)+IF(INDEX('Tournament Setup'!$AU:$AU,MATCH($A380,'Tournament Setup'!$A:$A,0))&lt;=MOD($Y380,18),1,0)))</f>
      </c>
    </row>
    <row r="381">
      <c r="X381" t="e">
        <f>IF(OR($A381="",$D381=""),"",SUM(F381:W381))</f>
      </c>
      <c r="Y381" t="e">
        <f>IF(OR($A381="",$D381=""),"",IF(INDEX('Tournament Setup'!$F:$F,MATCH($A381,'Tournament Setup'!$A:$A,0))="Net",ROUND(($E381-_xlfn.MINIFS($E$2:$E$401,$A$2:$A$401,$A381,$B$2:$B$401,$B381))*INDEX('Tournament Setup'!$G:$G,MATCH($A381,'Tournament Setup'!$A:$A,0))/100,0),0))</f>
      </c>
      <c r="Z381" t="e">
        <f>IF(OR(OR($A381="",$D381=""),F381=""),"",F381-(INT($Y381/18)+IF(INDEX('Tournament Setup'!$AD:$AD,MATCH($A381,'Tournament Setup'!$A:$A,0))&lt;=MOD($Y381,18),1,0)))</f>
      </c>
      <c r="AA381" t="e">
        <f>IF(OR(OR($A381="",$D381=""),G381=""),"",G381-(INT($Y381/18)+IF(INDEX('Tournament Setup'!$AE:$AE,MATCH($A381,'Tournament Setup'!$A:$A,0))&lt;=MOD($Y381,18),1,0)))</f>
      </c>
      <c r="AB381" t="e">
        <f>IF(OR(OR($A381="",$D381=""),H381=""),"",H381-(INT($Y381/18)+IF(INDEX('Tournament Setup'!$AF:$AF,MATCH($A381,'Tournament Setup'!$A:$A,0))&lt;=MOD($Y381,18),1,0)))</f>
      </c>
      <c r="AC381" t="e">
        <f>IF(OR(OR($A381="",$D381=""),I381=""),"",I381-(INT($Y381/18)+IF(INDEX('Tournament Setup'!$AG:$AG,MATCH($A381,'Tournament Setup'!$A:$A,0))&lt;=MOD($Y381,18),1,0)))</f>
      </c>
      <c r="AD381" t="e">
        <f>IF(OR(OR($A381="",$D381=""),J381=""),"",J381-(INT($Y381/18)+IF(INDEX('Tournament Setup'!$AH:$AH,MATCH($A381,'Tournament Setup'!$A:$A,0))&lt;=MOD($Y381,18),1,0)))</f>
      </c>
      <c r="AE381" t="e">
        <f>IF(OR(OR($A381="",$D381=""),K381=""),"",K381-(INT($Y381/18)+IF(INDEX('Tournament Setup'!$AI:$AI,MATCH($A381,'Tournament Setup'!$A:$A,0))&lt;=MOD($Y381,18),1,0)))</f>
      </c>
      <c r="AF381" t="e">
        <f>IF(OR(OR($A381="",$D381=""),L381=""),"",L381-(INT($Y381/18)+IF(INDEX('Tournament Setup'!$AJ:$AJ,MATCH($A381,'Tournament Setup'!$A:$A,0))&lt;=MOD($Y381,18),1,0)))</f>
      </c>
      <c r="AG381" t="e">
        <f>IF(OR(OR($A381="",$D381=""),M381=""),"",M381-(INT($Y381/18)+IF(INDEX('Tournament Setup'!$AK:$AK,MATCH($A381,'Tournament Setup'!$A:$A,0))&lt;=MOD($Y381,18),1,0)))</f>
      </c>
      <c r="AH381" t="e">
        <f>IF(OR(OR($A381="",$D381=""),N381=""),"",N381-(INT($Y381/18)+IF(INDEX('Tournament Setup'!$AL:$AL,MATCH($A381,'Tournament Setup'!$A:$A,0))&lt;=MOD($Y381,18),1,0)))</f>
      </c>
      <c r="AI381" t="e">
        <f>IF(OR(OR($A381="",$D381=""),O381=""),"",O381-(INT($Y381/18)+IF(INDEX('Tournament Setup'!$AM:$AM,MATCH($A381,'Tournament Setup'!$A:$A,0))&lt;=MOD($Y381,18),1,0)))</f>
      </c>
      <c r="AJ381" t="e">
        <f>IF(OR(OR($A381="",$D381=""),P381=""),"",P381-(INT($Y381/18)+IF(INDEX('Tournament Setup'!$AN:$AN,MATCH($A381,'Tournament Setup'!$A:$A,0))&lt;=MOD($Y381,18),1,0)))</f>
      </c>
      <c r="AK381" t="e">
        <f>IF(OR(OR($A381="",$D381=""),Q381=""),"",Q381-(INT($Y381/18)+IF(INDEX('Tournament Setup'!$AO:$AO,MATCH($A381,'Tournament Setup'!$A:$A,0))&lt;=MOD($Y381,18),1,0)))</f>
      </c>
      <c r="AL381" t="e">
        <f>IF(OR(OR($A381="",$D381=""),R381=""),"",R381-(INT($Y381/18)+IF(INDEX('Tournament Setup'!$AP:$AP,MATCH($A381,'Tournament Setup'!$A:$A,0))&lt;=MOD($Y381,18),1,0)))</f>
      </c>
      <c r="AM381" t="e">
        <f>IF(OR(OR($A381="",$D381=""),S381=""),"",S381-(INT($Y381/18)+IF(INDEX('Tournament Setup'!$AQ:$AQ,MATCH($A381,'Tournament Setup'!$A:$A,0))&lt;=MOD($Y381,18),1,0)))</f>
      </c>
      <c r="AN381" t="e">
        <f>IF(OR(OR($A381="",$D381=""),T381=""),"",T381-(INT($Y381/18)+IF(INDEX('Tournament Setup'!$AR:$AR,MATCH($A381,'Tournament Setup'!$A:$A,0))&lt;=MOD($Y381,18),1,0)))</f>
      </c>
      <c r="AO381" t="e">
        <f>IF(OR(OR($A381="",$D381=""),U381=""),"",U381-(INT($Y381/18)+IF(INDEX('Tournament Setup'!$AS:$AS,MATCH($A381,'Tournament Setup'!$A:$A,0))&lt;=MOD($Y381,18),1,0)))</f>
      </c>
      <c r="AP381" t="e">
        <f>IF(OR(OR($A381="",$D381=""),V381=""),"",V381-(INT($Y381/18)+IF(INDEX('Tournament Setup'!$AT:$AT,MATCH($A381,'Tournament Setup'!$A:$A,0))&lt;=MOD($Y381,18),1,0)))</f>
      </c>
      <c r="AQ381" t="e">
        <f>IF(OR(OR($A381="",$D381=""),W381=""),"",W381-(INT($Y381/18)+IF(INDEX('Tournament Setup'!$AU:$AU,MATCH($A381,'Tournament Setup'!$A:$A,0))&lt;=MOD($Y381,18),1,0)))</f>
      </c>
    </row>
    <row r="382">
      <c r="X382" t="e">
        <f>IF(OR($A382="",$D382=""),"",SUM(F382:W382))</f>
      </c>
      <c r="Y382" t="e">
        <f>IF(OR($A382="",$D382=""),"",IF(INDEX('Tournament Setup'!$F:$F,MATCH($A382,'Tournament Setup'!$A:$A,0))="Net",ROUND(($E382-_xlfn.MINIFS($E$2:$E$401,$A$2:$A$401,$A382,$B$2:$B$401,$B382))*INDEX('Tournament Setup'!$G:$G,MATCH($A382,'Tournament Setup'!$A:$A,0))/100,0),0))</f>
      </c>
      <c r="Z382" t="e">
        <f>IF(OR(OR($A382="",$D382=""),F382=""),"",F382-(INT($Y382/18)+IF(INDEX('Tournament Setup'!$AD:$AD,MATCH($A382,'Tournament Setup'!$A:$A,0))&lt;=MOD($Y382,18),1,0)))</f>
      </c>
      <c r="AA382" t="e">
        <f>IF(OR(OR($A382="",$D382=""),G382=""),"",G382-(INT($Y382/18)+IF(INDEX('Tournament Setup'!$AE:$AE,MATCH($A382,'Tournament Setup'!$A:$A,0))&lt;=MOD($Y382,18),1,0)))</f>
      </c>
      <c r="AB382" t="e">
        <f>IF(OR(OR($A382="",$D382=""),H382=""),"",H382-(INT($Y382/18)+IF(INDEX('Tournament Setup'!$AF:$AF,MATCH($A382,'Tournament Setup'!$A:$A,0))&lt;=MOD($Y382,18),1,0)))</f>
      </c>
      <c r="AC382" t="e">
        <f>IF(OR(OR($A382="",$D382=""),I382=""),"",I382-(INT($Y382/18)+IF(INDEX('Tournament Setup'!$AG:$AG,MATCH($A382,'Tournament Setup'!$A:$A,0))&lt;=MOD($Y382,18),1,0)))</f>
      </c>
      <c r="AD382" t="e">
        <f>IF(OR(OR($A382="",$D382=""),J382=""),"",J382-(INT($Y382/18)+IF(INDEX('Tournament Setup'!$AH:$AH,MATCH($A382,'Tournament Setup'!$A:$A,0))&lt;=MOD($Y382,18),1,0)))</f>
      </c>
      <c r="AE382" t="e">
        <f>IF(OR(OR($A382="",$D382=""),K382=""),"",K382-(INT($Y382/18)+IF(INDEX('Tournament Setup'!$AI:$AI,MATCH($A382,'Tournament Setup'!$A:$A,0))&lt;=MOD($Y382,18),1,0)))</f>
      </c>
      <c r="AF382" t="e">
        <f>IF(OR(OR($A382="",$D382=""),L382=""),"",L382-(INT($Y382/18)+IF(INDEX('Tournament Setup'!$AJ:$AJ,MATCH($A382,'Tournament Setup'!$A:$A,0))&lt;=MOD($Y382,18),1,0)))</f>
      </c>
      <c r="AG382" t="e">
        <f>IF(OR(OR($A382="",$D382=""),M382=""),"",M382-(INT($Y382/18)+IF(INDEX('Tournament Setup'!$AK:$AK,MATCH($A382,'Tournament Setup'!$A:$A,0))&lt;=MOD($Y382,18),1,0)))</f>
      </c>
      <c r="AH382" t="e">
        <f>IF(OR(OR($A382="",$D382=""),N382=""),"",N382-(INT($Y382/18)+IF(INDEX('Tournament Setup'!$AL:$AL,MATCH($A382,'Tournament Setup'!$A:$A,0))&lt;=MOD($Y382,18),1,0)))</f>
      </c>
      <c r="AI382" t="e">
        <f>IF(OR(OR($A382="",$D382=""),O382=""),"",O382-(INT($Y382/18)+IF(INDEX('Tournament Setup'!$AM:$AM,MATCH($A382,'Tournament Setup'!$A:$A,0))&lt;=MOD($Y382,18),1,0)))</f>
      </c>
      <c r="AJ382" t="e">
        <f>IF(OR(OR($A382="",$D382=""),P382=""),"",P382-(INT($Y382/18)+IF(INDEX('Tournament Setup'!$AN:$AN,MATCH($A382,'Tournament Setup'!$A:$A,0))&lt;=MOD($Y382,18),1,0)))</f>
      </c>
      <c r="AK382" t="e">
        <f>IF(OR(OR($A382="",$D382=""),Q382=""),"",Q382-(INT($Y382/18)+IF(INDEX('Tournament Setup'!$AO:$AO,MATCH($A382,'Tournament Setup'!$A:$A,0))&lt;=MOD($Y382,18),1,0)))</f>
      </c>
      <c r="AL382" t="e">
        <f>IF(OR(OR($A382="",$D382=""),R382=""),"",R382-(INT($Y382/18)+IF(INDEX('Tournament Setup'!$AP:$AP,MATCH($A382,'Tournament Setup'!$A:$A,0))&lt;=MOD($Y382,18),1,0)))</f>
      </c>
      <c r="AM382" t="e">
        <f>IF(OR(OR($A382="",$D382=""),S382=""),"",S382-(INT($Y382/18)+IF(INDEX('Tournament Setup'!$AQ:$AQ,MATCH($A382,'Tournament Setup'!$A:$A,0))&lt;=MOD($Y382,18),1,0)))</f>
      </c>
      <c r="AN382" t="e">
        <f>IF(OR(OR($A382="",$D382=""),T382=""),"",T382-(INT($Y382/18)+IF(INDEX('Tournament Setup'!$AR:$AR,MATCH($A382,'Tournament Setup'!$A:$A,0))&lt;=MOD($Y382,18),1,0)))</f>
      </c>
      <c r="AO382" t="e">
        <f>IF(OR(OR($A382="",$D382=""),U382=""),"",U382-(INT($Y382/18)+IF(INDEX('Tournament Setup'!$AS:$AS,MATCH($A382,'Tournament Setup'!$A:$A,0))&lt;=MOD($Y382,18),1,0)))</f>
      </c>
      <c r="AP382" t="e">
        <f>IF(OR(OR($A382="",$D382=""),V382=""),"",V382-(INT($Y382/18)+IF(INDEX('Tournament Setup'!$AT:$AT,MATCH($A382,'Tournament Setup'!$A:$A,0))&lt;=MOD($Y382,18),1,0)))</f>
      </c>
      <c r="AQ382" t="e">
        <f>IF(OR(OR($A382="",$D382=""),W382=""),"",W382-(INT($Y382/18)+IF(INDEX('Tournament Setup'!$AU:$AU,MATCH($A382,'Tournament Setup'!$A:$A,0))&lt;=MOD($Y382,18),1,0)))</f>
      </c>
    </row>
    <row r="383">
      <c r="X383" t="e">
        <f>IF(OR($A383="",$D383=""),"",SUM(F383:W383))</f>
      </c>
      <c r="Y383" t="e">
        <f>IF(OR($A383="",$D383=""),"",IF(INDEX('Tournament Setup'!$F:$F,MATCH($A383,'Tournament Setup'!$A:$A,0))="Net",ROUND(($E383-_xlfn.MINIFS($E$2:$E$401,$A$2:$A$401,$A383,$B$2:$B$401,$B383))*INDEX('Tournament Setup'!$G:$G,MATCH($A383,'Tournament Setup'!$A:$A,0))/100,0),0))</f>
      </c>
      <c r="Z383" t="e">
        <f>IF(OR(OR($A383="",$D383=""),F383=""),"",F383-(INT($Y383/18)+IF(INDEX('Tournament Setup'!$AD:$AD,MATCH($A383,'Tournament Setup'!$A:$A,0))&lt;=MOD($Y383,18),1,0)))</f>
      </c>
      <c r="AA383" t="e">
        <f>IF(OR(OR($A383="",$D383=""),G383=""),"",G383-(INT($Y383/18)+IF(INDEX('Tournament Setup'!$AE:$AE,MATCH($A383,'Tournament Setup'!$A:$A,0))&lt;=MOD($Y383,18),1,0)))</f>
      </c>
      <c r="AB383" t="e">
        <f>IF(OR(OR($A383="",$D383=""),H383=""),"",H383-(INT($Y383/18)+IF(INDEX('Tournament Setup'!$AF:$AF,MATCH($A383,'Tournament Setup'!$A:$A,0))&lt;=MOD($Y383,18),1,0)))</f>
      </c>
      <c r="AC383" t="e">
        <f>IF(OR(OR($A383="",$D383=""),I383=""),"",I383-(INT($Y383/18)+IF(INDEX('Tournament Setup'!$AG:$AG,MATCH($A383,'Tournament Setup'!$A:$A,0))&lt;=MOD($Y383,18),1,0)))</f>
      </c>
      <c r="AD383" t="e">
        <f>IF(OR(OR($A383="",$D383=""),J383=""),"",J383-(INT($Y383/18)+IF(INDEX('Tournament Setup'!$AH:$AH,MATCH($A383,'Tournament Setup'!$A:$A,0))&lt;=MOD($Y383,18),1,0)))</f>
      </c>
      <c r="AE383" t="e">
        <f>IF(OR(OR($A383="",$D383=""),K383=""),"",K383-(INT($Y383/18)+IF(INDEX('Tournament Setup'!$AI:$AI,MATCH($A383,'Tournament Setup'!$A:$A,0))&lt;=MOD($Y383,18),1,0)))</f>
      </c>
      <c r="AF383" t="e">
        <f>IF(OR(OR($A383="",$D383=""),L383=""),"",L383-(INT($Y383/18)+IF(INDEX('Tournament Setup'!$AJ:$AJ,MATCH($A383,'Tournament Setup'!$A:$A,0))&lt;=MOD($Y383,18),1,0)))</f>
      </c>
      <c r="AG383" t="e">
        <f>IF(OR(OR($A383="",$D383=""),M383=""),"",M383-(INT($Y383/18)+IF(INDEX('Tournament Setup'!$AK:$AK,MATCH($A383,'Tournament Setup'!$A:$A,0))&lt;=MOD($Y383,18),1,0)))</f>
      </c>
      <c r="AH383" t="e">
        <f>IF(OR(OR($A383="",$D383=""),N383=""),"",N383-(INT($Y383/18)+IF(INDEX('Tournament Setup'!$AL:$AL,MATCH($A383,'Tournament Setup'!$A:$A,0))&lt;=MOD($Y383,18),1,0)))</f>
      </c>
      <c r="AI383" t="e">
        <f>IF(OR(OR($A383="",$D383=""),O383=""),"",O383-(INT($Y383/18)+IF(INDEX('Tournament Setup'!$AM:$AM,MATCH($A383,'Tournament Setup'!$A:$A,0))&lt;=MOD($Y383,18),1,0)))</f>
      </c>
      <c r="AJ383" t="e">
        <f>IF(OR(OR($A383="",$D383=""),P383=""),"",P383-(INT($Y383/18)+IF(INDEX('Tournament Setup'!$AN:$AN,MATCH($A383,'Tournament Setup'!$A:$A,0))&lt;=MOD($Y383,18),1,0)))</f>
      </c>
      <c r="AK383" t="e">
        <f>IF(OR(OR($A383="",$D383=""),Q383=""),"",Q383-(INT($Y383/18)+IF(INDEX('Tournament Setup'!$AO:$AO,MATCH($A383,'Tournament Setup'!$A:$A,0))&lt;=MOD($Y383,18),1,0)))</f>
      </c>
      <c r="AL383" t="e">
        <f>IF(OR(OR($A383="",$D383=""),R383=""),"",R383-(INT($Y383/18)+IF(INDEX('Tournament Setup'!$AP:$AP,MATCH($A383,'Tournament Setup'!$A:$A,0))&lt;=MOD($Y383,18),1,0)))</f>
      </c>
      <c r="AM383" t="e">
        <f>IF(OR(OR($A383="",$D383=""),S383=""),"",S383-(INT($Y383/18)+IF(INDEX('Tournament Setup'!$AQ:$AQ,MATCH($A383,'Tournament Setup'!$A:$A,0))&lt;=MOD($Y383,18),1,0)))</f>
      </c>
      <c r="AN383" t="e">
        <f>IF(OR(OR($A383="",$D383=""),T383=""),"",T383-(INT($Y383/18)+IF(INDEX('Tournament Setup'!$AR:$AR,MATCH($A383,'Tournament Setup'!$A:$A,0))&lt;=MOD($Y383,18),1,0)))</f>
      </c>
      <c r="AO383" t="e">
        <f>IF(OR(OR($A383="",$D383=""),U383=""),"",U383-(INT($Y383/18)+IF(INDEX('Tournament Setup'!$AS:$AS,MATCH($A383,'Tournament Setup'!$A:$A,0))&lt;=MOD($Y383,18),1,0)))</f>
      </c>
      <c r="AP383" t="e">
        <f>IF(OR(OR($A383="",$D383=""),V383=""),"",V383-(INT($Y383/18)+IF(INDEX('Tournament Setup'!$AT:$AT,MATCH($A383,'Tournament Setup'!$A:$A,0))&lt;=MOD($Y383,18),1,0)))</f>
      </c>
      <c r="AQ383" t="e">
        <f>IF(OR(OR($A383="",$D383=""),W383=""),"",W383-(INT($Y383/18)+IF(INDEX('Tournament Setup'!$AU:$AU,MATCH($A383,'Tournament Setup'!$A:$A,0))&lt;=MOD($Y383,18),1,0)))</f>
      </c>
    </row>
    <row r="384">
      <c r="X384" t="e">
        <f>IF(OR($A384="",$D384=""),"",SUM(F384:W384))</f>
      </c>
      <c r="Y384" t="e">
        <f>IF(OR($A384="",$D384=""),"",IF(INDEX('Tournament Setup'!$F:$F,MATCH($A384,'Tournament Setup'!$A:$A,0))="Net",ROUND(($E384-_xlfn.MINIFS($E$2:$E$401,$A$2:$A$401,$A384,$B$2:$B$401,$B384))*INDEX('Tournament Setup'!$G:$G,MATCH($A384,'Tournament Setup'!$A:$A,0))/100,0),0))</f>
      </c>
      <c r="Z384" t="e">
        <f>IF(OR(OR($A384="",$D384=""),F384=""),"",F384-(INT($Y384/18)+IF(INDEX('Tournament Setup'!$AD:$AD,MATCH($A384,'Tournament Setup'!$A:$A,0))&lt;=MOD($Y384,18),1,0)))</f>
      </c>
      <c r="AA384" t="e">
        <f>IF(OR(OR($A384="",$D384=""),G384=""),"",G384-(INT($Y384/18)+IF(INDEX('Tournament Setup'!$AE:$AE,MATCH($A384,'Tournament Setup'!$A:$A,0))&lt;=MOD($Y384,18),1,0)))</f>
      </c>
      <c r="AB384" t="e">
        <f>IF(OR(OR($A384="",$D384=""),H384=""),"",H384-(INT($Y384/18)+IF(INDEX('Tournament Setup'!$AF:$AF,MATCH($A384,'Tournament Setup'!$A:$A,0))&lt;=MOD($Y384,18),1,0)))</f>
      </c>
      <c r="AC384" t="e">
        <f>IF(OR(OR($A384="",$D384=""),I384=""),"",I384-(INT($Y384/18)+IF(INDEX('Tournament Setup'!$AG:$AG,MATCH($A384,'Tournament Setup'!$A:$A,0))&lt;=MOD($Y384,18),1,0)))</f>
      </c>
      <c r="AD384" t="e">
        <f>IF(OR(OR($A384="",$D384=""),J384=""),"",J384-(INT($Y384/18)+IF(INDEX('Tournament Setup'!$AH:$AH,MATCH($A384,'Tournament Setup'!$A:$A,0))&lt;=MOD($Y384,18),1,0)))</f>
      </c>
      <c r="AE384" t="e">
        <f>IF(OR(OR($A384="",$D384=""),K384=""),"",K384-(INT($Y384/18)+IF(INDEX('Tournament Setup'!$AI:$AI,MATCH($A384,'Tournament Setup'!$A:$A,0))&lt;=MOD($Y384,18),1,0)))</f>
      </c>
      <c r="AF384" t="e">
        <f>IF(OR(OR($A384="",$D384=""),L384=""),"",L384-(INT($Y384/18)+IF(INDEX('Tournament Setup'!$AJ:$AJ,MATCH($A384,'Tournament Setup'!$A:$A,0))&lt;=MOD($Y384,18),1,0)))</f>
      </c>
      <c r="AG384" t="e">
        <f>IF(OR(OR($A384="",$D384=""),M384=""),"",M384-(INT($Y384/18)+IF(INDEX('Tournament Setup'!$AK:$AK,MATCH($A384,'Tournament Setup'!$A:$A,0))&lt;=MOD($Y384,18),1,0)))</f>
      </c>
      <c r="AH384" t="e">
        <f>IF(OR(OR($A384="",$D384=""),N384=""),"",N384-(INT($Y384/18)+IF(INDEX('Tournament Setup'!$AL:$AL,MATCH($A384,'Tournament Setup'!$A:$A,0))&lt;=MOD($Y384,18),1,0)))</f>
      </c>
      <c r="AI384" t="e">
        <f>IF(OR(OR($A384="",$D384=""),O384=""),"",O384-(INT($Y384/18)+IF(INDEX('Tournament Setup'!$AM:$AM,MATCH($A384,'Tournament Setup'!$A:$A,0))&lt;=MOD($Y384,18),1,0)))</f>
      </c>
      <c r="AJ384" t="e">
        <f>IF(OR(OR($A384="",$D384=""),P384=""),"",P384-(INT($Y384/18)+IF(INDEX('Tournament Setup'!$AN:$AN,MATCH($A384,'Tournament Setup'!$A:$A,0))&lt;=MOD($Y384,18),1,0)))</f>
      </c>
      <c r="AK384" t="e">
        <f>IF(OR(OR($A384="",$D384=""),Q384=""),"",Q384-(INT($Y384/18)+IF(INDEX('Tournament Setup'!$AO:$AO,MATCH($A384,'Tournament Setup'!$A:$A,0))&lt;=MOD($Y384,18),1,0)))</f>
      </c>
      <c r="AL384" t="e">
        <f>IF(OR(OR($A384="",$D384=""),R384=""),"",R384-(INT($Y384/18)+IF(INDEX('Tournament Setup'!$AP:$AP,MATCH($A384,'Tournament Setup'!$A:$A,0))&lt;=MOD($Y384,18),1,0)))</f>
      </c>
      <c r="AM384" t="e">
        <f>IF(OR(OR($A384="",$D384=""),S384=""),"",S384-(INT($Y384/18)+IF(INDEX('Tournament Setup'!$AQ:$AQ,MATCH($A384,'Tournament Setup'!$A:$A,0))&lt;=MOD($Y384,18),1,0)))</f>
      </c>
      <c r="AN384" t="e">
        <f>IF(OR(OR($A384="",$D384=""),T384=""),"",T384-(INT($Y384/18)+IF(INDEX('Tournament Setup'!$AR:$AR,MATCH($A384,'Tournament Setup'!$A:$A,0))&lt;=MOD($Y384,18),1,0)))</f>
      </c>
      <c r="AO384" t="e">
        <f>IF(OR(OR($A384="",$D384=""),U384=""),"",U384-(INT($Y384/18)+IF(INDEX('Tournament Setup'!$AS:$AS,MATCH($A384,'Tournament Setup'!$A:$A,0))&lt;=MOD($Y384,18),1,0)))</f>
      </c>
      <c r="AP384" t="e">
        <f>IF(OR(OR($A384="",$D384=""),V384=""),"",V384-(INT($Y384/18)+IF(INDEX('Tournament Setup'!$AT:$AT,MATCH($A384,'Tournament Setup'!$A:$A,0))&lt;=MOD($Y384,18),1,0)))</f>
      </c>
      <c r="AQ384" t="e">
        <f>IF(OR(OR($A384="",$D384=""),W384=""),"",W384-(INT($Y384/18)+IF(INDEX('Tournament Setup'!$AU:$AU,MATCH($A384,'Tournament Setup'!$A:$A,0))&lt;=MOD($Y384,18),1,0)))</f>
      </c>
    </row>
    <row r="385">
      <c r="X385" t="e">
        <f>IF(OR($A385="",$D385=""),"",SUM(F385:W385))</f>
      </c>
      <c r="Y385" t="e">
        <f>IF(OR($A385="",$D385=""),"",IF(INDEX('Tournament Setup'!$F:$F,MATCH($A385,'Tournament Setup'!$A:$A,0))="Net",ROUND(($E385-_xlfn.MINIFS($E$2:$E$401,$A$2:$A$401,$A385,$B$2:$B$401,$B385))*INDEX('Tournament Setup'!$G:$G,MATCH($A385,'Tournament Setup'!$A:$A,0))/100,0),0))</f>
      </c>
      <c r="Z385" t="e">
        <f>IF(OR(OR($A385="",$D385=""),F385=""),"",F385-(INT($Y385/18)+IF(INDEX('Tournament Setup'!$AD:$AD,MATCH($A385,'Tournament Setup'!$A:$A,0))&lt;=MOD($Y385,18),1,0)))</f>
      </c>
      <c r="AA385" t="e">
        <f>IF(OR(OR($A385="",$D385=""),G385=""),"",G385-(INT($Y385/18)+IF(INDEX('Tournament Setup'!$AE:$AE,MATCH($A385,'Tournament Setup'!$A:$A,0))&lt;=MOD($Y385,18),1,0)))</f>
      </c>
      <c r="AB385" t="e">
        <f>IF(OR(OR($A385="",$D385=""),H385=""),"",H385-(INT($Y385/18)+IF(INDEX('Tournament Setup'!$AF:$AF,MATCH($A385,'Tournament Setup'!$A:$A,0))&lt;=MOD($Y385,18),1,0)))</f>
      </c>
      <c r="AC385" t="e">
        <f>IF(OR(OR($A385="",$D385=""),I385=""),"",I385-(INT($Y385/18)+IF(INDEX('Tournament Setup'!$AG:$AG,MATCH($A385,'Tournament Setup'!$A:$A,0))&lt;=MOD($Y385,18),1,0)))</f>
      </c>
      <c r="AD385" t="e">
        <f>IF(OR(OR($A385="",$D385=""),J385=""),"",J385-(INT($Y385/18)+IF(INDEX('Tournament Setup'!$AH:$AH,MATCH($A385,'Tournament Setup'!$A:$A,0))&lt;=MOD($Y385,18),1,0)))</f>
      </c>
      <c r="AE385" t="e">
        <f>IF(OR(OR($A385="",$D385=""),K385=""),"",K385-(INT($Y385/18)+IF(INDEX('Tournament Setup'!$AI:$AI,MATCH($A385,'Tournament Setup'!$A:$A,0))&lt;=MOD($Y385,18),1,0)))</f>
      </c>
      <c r="AF385" t="e">
        <f>IF(OR(OR($A385="",$D385=""),L385=""),"",L385-(INT($Y385/18)+IF(INDEX('Tournament Setup'!$AJ:$AJ,MATCH($A385,'Tournament Setup'!$A:$A,0))&lt;=MOD($Y385,18),1,0)))</f>
      </c>
      <c r="AG385" t="e">
        <f>IF(OR(OR($A385="",$D385=""),M385=""),"",M385-(INT($Y385/18)+IF(INDEX('Tournament Setup'!$AK:$AK,MATCH($A385,'Tournament Setup'!$A:$A,0))&lt;=MOD($Y385,18),1,0)))</f>
      </c>
      <c r="AH385" t="e">
        <f>IF(OR(OR($A385="",$D385=""),N385=""),"",N385-(INT($Y385/18)+IF(INDEX('Tournament Setup'!$AL:$AL,MATCH($A385,'Tournament Setup'!$A:$A,0))&lt;=MOD($Y385,18),1,0)))</f>
      </c>
      <c r="AI385" t="e">
        <f>IF(OR(OR($A385="",$D385=""),O385=""),"",O385-(INT($Y385/18)+IF(INDEX('Tournament Setup'!$AM:$AM,MATCH($A385,'Tournament Setup'!$A:$A,0))&lt;=MOD($Y385,18),1,0)))</f>
      </c>
      <c r="AJ385" t="e">
        <f>IF(OR(OR($A385="",$D385=""),P385=""),"",P385-(INT($Y385/18)+IF(INDEX('Tournament Setup'!$AN:$AN,MATCH($A385,'Tournament Setup'!$A:$A,0))&lt;=MOD($Y385,18),1,0)))</f>
      </c>
      <c r="AK385" t="e">
        <f>IF(OR(OR($A385="",$D385=""),Q385=""),"",Q385-(INT($Y385/18)+IF(INDEX('Tournament Setup'!$AO:$AO,MATCH($A385,'Tournament Setup'!$A:$A,0))&lt;=MOD($Y385,18),1,0)))</f>
      </c>
      <c r="AL385" t="e">
        <f>IF(OR(OR($A385="",$D385=""),R385=""),"",R385-(INT($Y385/18)+IF(INDEX('Tournament Setup'!$AP:$AP,MATCH($A385,'Tournament Setup'!$A:$A,0))&lt;=MOD($Y385,18),1,0)))</f>
      </c>
      <c r="AM385" t="e">
        <f>IF(OR(OR($A385="",$D385=""),S385=""),"",S385-(INT($Y385/18)+IF(INDEX('Tournament Setup'!$AQ:$AQ,MATCH($A385,'Tournament Setup'!$A:$A,0))&lt;=MOD($Y385,18),1,0)))</f>
      </c>
      <c r="AN385" t="e">
        <f>IF(OR(OR($A385="",$D385=""),T385=""),"",T385-(INT($Y385/18)+IF(INDEX('Tournament Setup'!$AR:$AR,MATCH($A385,'Tournament Setup'!$A:$A,0))&lt;=MOD($Y385,18),1,0)))</f>
      </c>
      <c r="AO385" t="e">
        <f>IF(OR(OR($A385="",$D385=""),U385=""),"",U385-(INT($Y385/18)+IF(INDEX('Tournament Setup'!$AS:$AS,MATCH($A385,'Tournament Setup'!$A:$A,0))&lt;=MOD($Y385,18),1,0)))</f>
      </c>
      <c r="AP385" t="e">
        <f>IF(OR(OR($A385="",$D385=""),V385=""),"",V385-(INT($Y385/18)+IF(INDEX('Tournament Setup'!$AT:$AT,MATCH($A385,'Tournament Setup'!$A:$A,0))&lt;=MOD($Y385,18),1,0)))</f>
      </c>
      <c r="AQ385" t="e">
        <f>IF(OR(OR($A385="",$D385=""),W385=""),"",W385-(INT($Y385/18)+IF(INDEX('Tournament Setup'!$AU:$AU,MATCH($A385,'Tournament Setup'!$A:$A,0))&lt;=MOD($Y385,18),1,0)))</f>
      </c>
    </row>
    <row r="386">
      <c r="X386" t="e">
        <f>IF(OR($A386="",$D386=""),"",SUM(F386:W386))</f>
      </c>
      <c r="Y386" t="e">
        <f>IF(OR($A386="",$D386=""),"",IF(INDEX('Tournament Setup'!$F:$F,MATCH($A386,'Tournament Setup'!$A:$A,0))="Net",ROUND(($E386-_xlfn.MINIFS($E$2:$E$401,$A$2:$A$401,$A386,$B$2:$B$401,$B386))*INDEX('Tournament Setup'!$G:$G,MATCH($A386,'Tournament Setup'!$A:$A,0))/100,0),0))</f>
      </c>
      <c r="Z386" t="e">
        <f>IF(OR(OR($A386="",$D386=""),F386=""),"",F386-(INT($Y386/18)+IF(INDEX('Tournament Setup'!$AD:$AD,MATCH($A386,'Tournament Setup'!$A:$A,0))&lt;=MOD($Y386,18),1,0)))</f>
      </c>
      <c r="AA386" t="e">
        <f>IF(OR(OR($A386="",$D386=""),G386=""),"",G386-(INT($Y386/18)+IF(INDEX('Tournament Setup'!$AE:$AE,MATCH($A386,'Tournament Setup'!$A:$A,0))&lt;=MOD($Y386,18),1,0)))</f>
      </c>
      <c r="AB386" t="e">
        <f>IF(OR(OR($A386="",$D386=""),H386=""),"",H386-(INT($Y386/18)+IF(INDEX('Tournament Setup'!$AF:$AF,MATCH($A386,'Tournament Setup'!$A:$A,0))&lt;=MOD($Y386,18),1,0)))</f>
      </c>
      <c r="AC386" t="e">
        <f>IF(OR(OR($A386="",$D386=""),I386=""),"",I386-(INT($Y386/18)+IF(INDEX('Tournament Setup'!$AG:$AG,MATCH($A386,'Tournament Setup'!$A:$A,0))&lt;=MOD($Y386,18),1,0)))</f>
      </c>
      <c r="AD386" t="e">
        <f>IF(OR(OR($A386="",$D386=""),J386=""),"",J386-(INT($Y386/18)+IF(INDEX('Tournament Setup'!$AH:$AH,MATCH($A386,'Tournament Setup'!$A:$A,0))&lt;=MOD($Y386,18),1,0)))</f>
      </c>
      <c r="AE386" t="e">
        <f>IF(OR(OR($A386="",$D386=""),K386=""),"",K386-(INT($Y386/18)+IF(INDEX('Tournament Setup'!$AI:$AI,MATCH($A386,'Tournament Setup'!$A:$A,0))&lt;=MOD($Y386,18),1,0)))</f>
      </c>
      <c r="AF386" t="e">
        <f>IF(OR(OR($A386="",$D386=""),L386=""),"",L386-(INT($Y386/18)+IF(INDEX('Tournament Setup'!$AJ:$AJ,MATCH($A386,'Tournament Setup'!$A:$A,0))&lt;=MOD($Y386,18),1,0)))</f>
      </c>
      <c r="AG386" t="e">
        <f>IF(OR(OR($A386="",$D386=""),M386=""),"",M386-(INT($Y386/18)+IF(INDEX('Tournament Setup'!$AK:$AK,MATCH($A386,'Tournament Setup'!$A:$A,0))&lt;=MOD($Y386,18),1,0)))</f>
      </c>
      <c r="AH386" t="e">
        <f>IF(OR(OR($A386="",$D386=""),N386=""),"",N386-(INT($Y386/18)+IF(INDEX('Tournament Setup'!$AL:$AL,MATCH($A386,'Tournament Setup'!$A:$A,0))&lt;=MOD($Y386,18),1,0)))</f>
      </c>
      <c r="AI386" t="e">
        <f>IF(OR(OR($A386="",$D386=""),O386=""),"",O386-(INT($Y386/18)+IF(INDEX('Tournament Setup'!$AM:$AM,MATCH($A386,'Tournament Setup'!$A:$A,0))&lt;=MOD($Y386,18),1,0)))</f>
      </c>
      <c r="AJ386" t="e">
        <f>IF(OR(OR($A386="",$D386=""),P386=""),"",P386-(INT($Y386/18)+IF(INDEX('Tournament Setup'!$AN:$AN,MATCH($A386,'Tournament Setup'!$A:$A,0))&lt;=MOD($Y386,18),1,0)))</f>
      </c>
      <c r="AK386" t="e">
        <f>IF(OR(OR($A386="",$D386=""),Q386=""),"",Q386-(INT($Y386/18)+IF(INDEX('Tournament Setup'!$AO:$AO,MATCH($A386,'Tournament Setup'!$A:$A,0))&lt;=MOD($Y386,18),1,0)))</f>
      </c>
      <c r="AL386" t="e">
        <f>IF(OR(OR($A386="",$D386=""),R386=""),"",R386-(INT($Y386/18)+IF(INDEX('Tournament Setup'!$AP:$AP,MATCH($A386,'Tournament Setup'!$A:$A,0))&lt;=MOD($Y386,18),1,0)))</f>
      </c>
      <c r="AM386" t="e">
        <f>IF(OR(OR($A386="",$D386=""),S386=""),"",S386-(INT($Y386/18)+IF(INDEX('Tournament Setup'!$AQ:$AQ,MATCH($A386,'Tournament Setup'!$A:$A,0))&lt;=MOD($Y386,18),1,0)))</f>
      </c>
      <c r="AN386" t="e">
        <f>IF(OR(OR($A386="",$D386=""),T386=""),"",T386-(INT($Y386/18)+IF(INDEX('Tournament Setup'!$AR:$AR,MATCH($A386,'Tournament Setup'!$A:$A,0))&lt;=MOD($Y386,18),1,0)))</f>
      </c>
      <c r="AO386" t="e">
        <f>IF(OR(OR($A386="",$D386=""),U386=""),"",U386-(INT($Y386/18)+IF(INDEX('Tournament Setup'!$AS:$AS,MATCH($A386,'Tournament Setup'!$A:$A,0))&lt;=MOD($Y386,18),1,0)))</f>
      </c>
      <c r="AP386" t="e">
        <f>IF(OR(OR($A386="",$D386=""),V386=""),"",V386-(INT($Y386/18)+IF(INDEX('Tournament Setup'!$AT:$AT,MATCH($A386,'Tournament Setup'!$A:$A,0))&lt;=MOD($Y386,18),1,0)))</f>
      </c>
      <c r="AQ386" t="e">
        <f>IF(OR(OR($A386="",$D386=""),W386=""),"",W386-(INT($Y386/18)+IF(INDEX('Tournament Setup'!$AU:$AU,MATCH($A386,'Tournament Setup'!$A:$A,0))&lt;=MOD($Y386,18),1,0)))</f>
      </c>
    </row>
    <row r="387">
      <c r="X387" t="e">
        <f>IF(OR($A387="",$D387=""),"",SUM(F387:W387))</f>
      </c>
      <c r="Y387" t="e">
        <f>IF(OR($A387="",$D387=""),"",IF(INDEX('Tournament Setup'!$F:$F,MATCH($A387,'Tournament Setup'!$A:$A,0))="Net",ROUND(($E387-_xlfn.MINIFS($E$2:$E$401,$A$2:$A$401,$A387,$B$2:$B$401,$B387))*INDEX('Tournament Setup'!$G:$G,MATCH($A387,'Tournament Setup'!$A:$A,0))/100,0),0))</f>
      </c>
      <c r="Z387" t="e">
        <f>IF(OR(OR($A387="",$D387=""),F387=""),"",F387-(INT($Y387/18)+IF(INDEX('Tournament Setup'!$AD:$AD,MATCH($A387,'Tournament Setup'!$A:$A,0))&lt;=MOD($Y387,18),1,0)))</f>
      </c>
      <c r="AA387" t="e">
        <f>IF(OR(OR($A387="",$D387=""),G387=""),"",G387-(INT($Y387/18)+IF(INDEX('Tournament Setup'!$AE:$AE,MATCH($A387,'Tournament Setup'!$A:$A,0))&lt;=MOD($Y387,18),1,0)))</f>
      </c>
      <c r="AB387" t="e">
        <f>IF(OR(OR($A387="",$D387=""),H387=""),"",H387-(INT($Y387/18)+IF(INDEX('Tournament Setup'!$AF:$AF,MATCH($A387,'Tournament Setup'!$A:$A,0))&lt;=MOD($Y387,18),1,0)))</f>
      </c>
      <c r="AC387" t="e">
        <f>IF(OR(OR($A387="",$D387=""),I387=""),"",I387-(INT($Y387/18)+IF(INDEX('Tournament Setup'!$AG:$AG,MATCH($A387,'Tournament Setup'!$A:$A,0))&lt;=MOD($Y387,18),1,0)))</f>
      </c>
      <c r="AD387" t="e">
        <f>IF(OR(OR($A387="",$D387=""),J387=""),"",J387-(INT($Y387/18)+IF(INDEX('Tournament Setup'!$AH:$AH,MATCH($A387,'Tournament Setup'!$A:$A,0))&lt;=MOD($Y387,18),1,0)))</f>
      </c>
      <c r="AE387" t="e">
        <f>IF(OR(OR($A387="",$D387=""),K387=""),"",K387-(INT($Y387/18)+IF(INDEX('Tournament Setup'!$AI:$AI,MATCH($A387,'Tournament Setup'!$A:$A,0))&lt;=MOD($Y387,18),1,0)))</f>
      </c>
      <c r="AF387" t="e">
        <f>IF(OR(OR($A387="",$D387=""),L387=""),"",L387-(INT($Y387/18)+IF(INDEX('Tournament Setup'!$AJ:$AJ,MATCH($A387,'Tournament Setup'!$A:$A,0))&lt;=MOD($Y387,18),1,0)))</f>
      </c>
      <c r="AG387" t="e">
        <f>IF(OR(OR($A387="",$D387=""),M387=""),"",M387-(INT($Y387/18)+IF(INDEX('Tournament Setup'!$AK:$AK,MATCH($A387,'Tournament Setup'!$A:$A,0))&lt;=MOD($Y387,18),1,0)))</f>
      </c>
      <c r="AH387" t="e">
        <f>IF(OR(OR($A387="",$D387=""),N387=""),"",N387-(INT($Y387/18)+IF(INDEX('Tournament Setup'!$AL:$AL,MATCH($A387,'Tournament Setup'!$A:$A,0))&lt;=MOD($Y387,18),1,0)))</f>
      </c>
      <c r="AI387" t="e">
        <f>IF(OR(OR($A387="",$D387=""),O387=""),"",O387-(INT($Y387/18)+IF(INDEX('Tournament Setup'!$AM:$AM,MATCH($A387,'Tournament Setup'!$A:$A,0))&lt;=MOD($Y387,18),1,0)))</f>
      </c>
      <c r="AJ387" t="e">
        <f>IF(OR(OR($A387="",$D387=""),P387=""),"",P387-(INT($Y387/18)+IF(INDEX('Tournament Setup'!$AN:$AN,MATCH($A387,'Tournament Setup'!$A:$A,0))&lt;=MOD($Y387,18),1,0)))</f>
      </c>
      <c r="AK387" t="e">
        <f>IF(OR(OR($A387="",$D387=""),Q387=""),"",Q387-(INT($Y387/18)+IF(INDEX('Tournament Setup'!$AO:$AO,MATCH($A387,'Tournament Setup'!$A:$A,0))&lt;=MOD($Y387,18),1,0)))</f>
      </c>
      <c r="AL387" t="e">
        <f>IF(OR(OR($A387="",$D387=""),R387=""),"",R387-(INT($Y387/18)+IF(INDEX('Tournament Setup'!$AP:$AP,MATCH($A387,'Tournament Setup'!$A:$A,0))&lt;=MOD($Y387,18),1,0)))</f>
      </c>
      <c r="AM387" t="e">
        <f>IF(OR(OR($A387="",$D387=""),S387=""),"",S387-(INT($Y387/18)+IF(INDEX('Tournament Setup'!$AQ:$AQ,MATCH($A387,'Tournament Setup'!$A:$A,0))&lt;=MOD($Y387,18),1,0)))</f>
      </c>
      <c r="AN387" t="e">
        <f>IF(OR(OR($A387="",$D387=""),T387=""),"",T387-(INT($Y387/18)+IF(INDEX('Tournament Setup'!$AR:$AR,MATCH($A387,'Tournament Setup'!$A:$A,0))&lt;=MOD($Y387,18),1,0)))</f>
      </c>
      <c r="AO387" t="e">
        <f>IF(OR(OR($A387="",$D387=""),U387=""),"",U387-(INT($Y387/18)+IF(INDEX('Tournament Setup'!$AS:$AS,MATCH($A387,'Tournament Setup'!$A:$A,0))&lt;=MOD($Y387,18),1,0)))</f>
      </c>
      <c r="AP387" t="e">
        <f>IF(OR(OR($A387="",$D387=""),V387=""),"",V387-(INT($Y387/18)+IF(INDEX('Tournament Setup'!$AT:$AT,MATCH($A387,'Tournament Setup'!$A:$A,0))&lt;=MOD($Y387,18),1,0)))</f>
      </c>
      <c r="AQ387" t="e">
        <f>IF(OR(OR($A387="",$D387=""),W387=""),"",W387-(INT($Y387/18)+IF(INDEX('Tournament Setup'!$AU:$AU,MATCH($A387,'Tournament Setup'!$A:$A,0))&lt;=MOD($Y387,18),1,0)))</f>
      </c>
    </row>
    <row r="388">
      <c r="X388" t="e">
        <f>IF(OR($A388="",$D388=""),"",SUM(F388:W388))</f>
      </c>
      <c r="Y388" t="e">
        <f>IF(OR($A388="",$D388=""),"",IF(INDEX('Tournament Setup'!$F:$F,MATCH($A388,'Tournament Setup'!$A:$A,0))="Net",ROUND(($E388-_xlfn.MINIFS($E$2:$E$401,$A$2:$A$401,$A388,$B$2:$B$401,$B388))*INDEX('Tournament Setup'!$G:$G,MATCH($A388,'Tournament Setup'!$A:$A,0))/100,0),0))</f>
      </c>
      <c r="Z388" t="e">
        <f>IF(OR(OR($A388="",$D388=""),F388=""),"",F388-(INT($Y388/18)+IF(INDEX('Tournament Setup'!$AD:$AD,MATCH($A388,'Tournament Setup'!$A:$A,0))&lt;=MOD($Y388,18),1,0)))</f>
      </c>
      <c r="AA388" t="e">
        <f>IF(OR(OR($A388="",$D388=""),G388=""),"",G388-(INT($Y388/18)+IF(INDEX('Tournament Setup'!$AE:$AE,MATCH($A388,'Tournament Setup'!$A:$A,0))&lt;=MOD($Y388,18),1,0)))</f>
      </c>
      <c r="AB388" t="e">
        <f>IF(OR(OR($A388="",$D388=""),H388=""),"",H388-(INT($Y388/18)+IF(INDEX('Tournament Setup'!$AF:$AF,MATCH($A388,'Tournament Setup'!$A:$A,0))&lt;=MOD($Y388,18),1,0)))</f>
      </c>
      <c r="AC388" t="e">
        <f>IF(OR(OR($A388="",$D388=""),I388=""),"",I388-(INT($Y388/18)+IF(INDEX('Tournament Setup'!$AG:$AG,MATCH($A388,'Tournament Setup'!$A:$A,0))&lt;=MOD($Y388,18),1,0)))</f>
      </c>
      <c r="AD388" t="e">
        <f>IF(OR(OR($A388="",$D388=""),J388=""),"",J388-(INT($Y388/18)+IF(INDEX('Tournament Setup'!$AH:$AH,MATCH($A388,'Tournament Setup'!$A:$A,0))&lt;=MOD($Y388,18),1,0)))</f>
      </c>
      <c r="AE388" t="e">
        <f>IF(OR(OR($A388="",$D388=""),K388=""),"",K388-(INT($Y388/18)+IF(INDEX('Tournament Setup'!$AI:$AI,MATCH($A388,'Tournament Setup'!$A:$A,0))&lt;=MOD($Y388,18),1,0)))</f>
      </c>
      <c r="AF388" t="e">
        <f>IF(OR(OR($A388="",$D388=""),L388=""),"",L388-(INT($Y388/18)+IF(INDEX('Tournament Setup'!$AJ:$AJ,MATCH($A388,'Tournament Setup'!$A:$A,0))&lt;=MOD($Y388,18),1,0)))</f>
      </c>
      <c r="AG388" t="e">
        <f>IF(OR(OR($A388="",$D388=""),M388=""),"",M388-(INT($Y388/18)+IF(INDEX('Tournament Setup'!$AK:$AK,MATCH($A388,'Tournament Setup'!$A:$A,0))&lt;=MOD($Y388,18),1,0)))</f>
      </c>
      <c r="AH388" t="e">
        <f>IF(OR(OR($A388="",$D388=""),N388=""),"",N388-(INT($Y388/18)+IF(INDEX('Tournament Setup'!$AL:$AL,MATCH($A388,'Tournament Setup'!$A:$A,0))&lt;=MOD($Y388,18),1,0)))</f>
      </c>
      <c r="AI388" t="e">
        <f>IF(OR(OR($A388="",$D388=""),O388=""),"",O388-(INT($Y388/18)+IF(INDEX('Tournament Setup'!$AM:$AM,MATCH($A388,'Tournament Setup'!$A:$A,0))&lt;=MOD($Y388,18),1,0)))</f>
      </c>
      <c r="AJ388" t="e">
        <f>IF(OR(OR($A388="",$D388=""),P388=""),"",P388-(INT($Y388/18)+IF(INDEX('Tournament Setup'!$AN:$AN,MATCH($A388,'Tournament Setup'!$A:$A,0))&lt;=MOD($Y388,18),1,0)))</f>
      </c>
      <c r="AK388" t="e">
        <f>IF(OR(OR($A388="",$D388=""),Q388=""),"",Q388-(INT($Y388/18)+IF(INDEX('Tournament Setup'!$AO:$AO,MATCH($A388,'Tournament Setup'!$A:$A,0))&lt;=MOD($Y388,18),1,0)))</f>
      </c>
      <c r="AL388" t="e">
        <f>IF(OR(OR($A388="",$D388=""),R388=""),"",R388-(INT($Y388/18)+IF(INDEX('Tournament Setup'!$AP:$AP,MATCH($A388,'Tournament Setup'!$A:$A,0))&lt;=MOD($Y388,18),1,0)))</f>
      </c>
      <c r="AM388" t="e">
        <f>IF(OR(OR($A388="",$D388=""),S388=""),"",S388-(INT($Y388/18)+IF(INDEX('Tournament Setup'!$AQ:$AQ,MATCH($A388,'Tournament Setup'!$A:$A,0))&lt;=MOD($Y388,18),1,0)))</f>
      </c>
      <c r="AN388" t="e">
        <f>IF(OR(OR($A388="",$D388=""),T388=""),"",T388-(INT($Y388/18)+IF(INDEX('Tournament Setup'!$AR:$AR,MATCH($A388,'Tournament Setup'!$A:$A,0))&lt;=MOD($Y388,18),1,0)))</f>
      </c>
      <c r="AO388" t="e">
        <f>IF(OR(OR($A388="",$D388=""),U388=""),"",U388-(INT($Y388/18)+IF(INDEX('Tournament Setup'!$AS:$AS,MATCH($A388,'Tournament Setup'!$A:$A,0))&lt;=MOD($Y388,18),1,0)))</f>
      </c>
      <c r="AP388" t="e">
        <f>IF(OR(OR($A388="",$D388=""),V388=""),"",V388-(INT($Y388/18)+IF(INDEX('Tournament Setup'!$AT:$AT,MATCH($A388,'Tournament Setup'!$A:$A,0))&lt;=MOD($Y388,18),1,0)))</f>
      </c>
      <c r="AQ388" t="e">
        <f>IF(OR(OR($A388="",$D388=""),W388=""),"",W388-(INT($Y388/18)+IF(INDEX('Tournament Setup'!$AU:$AU,MATCH($A388,'Tournament Setup'!$A:$A,0))&lt;=MOD($Y388,18),1,0)))</f>
      </c>
    </row>
    <row r="389">
      <c r="X389" t="e">
        <f>IF(OR($A389="",$D389=""),"",SUM(F389:W389))</f>
      </c>
      <c r="Y389" t="e">
        <f>IF(OR($A389="",$D389=""),"",IF(INDEX('Tournament Setup'!$F:$F,MATCH($A389,'Tournament Setup'!$A:$A,0))="Net",ROUND(($E389-_xlfn.MINIFS($E$2:$E$401,$A$2:$A$401,$A389,$B$2:$B$401,$B389))*INDEX('Tournament Setup'!$G:$G,MATCH($A389,'Tournament Setup'!$A:$A,0))/100,0),0))</f>
      </c>
      <c r="Z389" t="e">
        <f>IF(OR(OR($A389="",$D389=""),F389=""),"",F389-(INT($Y389/18)+IF(INDEX('Tournament Setup'!$AD:$AD,MATCH($A389,'Tournament Setup'!$A:$A,0))&lt;=MOD($Y389,18),1,0)))</f>
      </c>
      <c r="AA389" t="e">
        <f>IF(OR(OR($A389="",$D389=""),G389=""),"",G389-(INT($Y389/18)+IF(INDEX('Tournament Setup'!$AE:$AE,MATCH($A389,'Tournament Setup'!$A:$A,0))&lt;=MOD($Y389,18),1,0)))</f>
      </c>
      <c r="AB389" t="e">
        <f>IF(OR(OR($A389="",$D389=""),H389=""),"",H389-(INT($Y389/18)+IF(INDEX('Tournament Setup'!$AF:$AF,MATCH($A389,'Tournament Setup'!$A:$A,0))&lt;=MOD($Y389,18),1,0)))</f>
      </c>
      <c r="AC389" t="e">
        <f>IF(OR(OR($A389="",$D389=""),I389=""),"",I389-(INT($Y389/18)+IF(INDEX('Tournament Setup'!$AG:$AG,MATCH($A389,'Tournament Setup'!$A:$A,0))&lt;=MOD($Y389,18),1,0)))</f>
      </c>
      <c r="AD389" t="e">
        <f>IF(OR(OR($A389="",$D389=""),J389=""),"",J389-(INT($Y389/18)+IF(INDEX('Tournament Setup'!$AH:$AH,MATCH($A389,'Tournament Setup'!$A:$A,0))&lt;=MOD($Y389,18),1,0)))</f>
      </c>
      <c r="AE389" t="e">
        <f>IF(OR(OR($A389="",$D389=""),K389=""),"",K389-(INT($Y389/18)+IF(INDEX('Tournament Setup'!$AI:$AI,MATCH($A389,'Tournament Setup'!$A:$A,0))&lt;=MOD($Y389,18),1,0)))</f>
      </c>
      <c r="AF389" t="e">
        <f>IF(OR(OR($A389="",$D389=""),L389=""),"",L389-(INT($Y389/18)+IF(INDEX('Tournament Setup'!$AJ:$AJ,MATCH($A389,'Tournament Setup'!$A:$A,0))&lt;=MOD($Y389,18),1,0)))</f>
      </c>
      <c r="AG389" t="e">
        <f>IF(OR(OR($A389="",$D389=""),M389=""),"",M389-(INT($Y389/18)+IF(INDEX('Tournament Setup'!$AK:$AK,MATCH($A389,'Tournament Setup'!$A:$A,0))&lt;=MOD($Y389,18),1,0)))</f>
      </c>
      <c r="AH389" t="e">
        <f>IF(OR(OR($A389="",$D389=""),N389=""),"",N389-(INT($Y389/18)+IF(INDEX('Tournament Setup'!$AL:$AL,MATCH($A389,'Tournament Setup'!$A:$A,0))&lt;=MOD($Y389,18),1,0)))</f>
      </c>
      <c r="AI389" t="e">
        <f>IF(OR(OR($A389="",$D389=""),O389=""),"",O389-(INT($Y389/18)+IF(INDEX('Tournament Setup'!$AM:$AM,MATCH($A389,'Tournament Setup'!$A:$A,0))&lt;=MOD($Y389,18),1,0)))</f>
      </c>
      <c r="AJ389" t="e">
        <f>IF(OR(OR($A389="",$D389=""),P389=""),"",P389-(INT($Y389/18)+IF(INDEX('Tournament Setup'!$AN:$AN,MATCH($A389,'Tournament Setup'!$A:$A,0))&lt;=MOD($Y389,18),1,0)))</f>
      </c>
      <c r="AK389" t="e">
        <f>IF(OR(OR($A389="",$D389=""),Q389=""),"",Q389-(INT($Y389/18)+IF(INDEX('Tournament Setup'!$AO:$AO,MATCH($A389,'Tournament Setup'!$A:$A,0))&lt;=MOD($Y389,18),1,0)))</f>
      </c>
      <c r="AL389" t="e">
        <f>IF(OR(OR($A389="",$D389=""),R389=""),"",R389-(INT($Y389/18)+IF(INDEX('Tournament Setup'!$AP:$AP,MATCH($A389,'Tournament Setup'!$A:$A,0))&lt;=MOD($Y389,18),1,0)))</f>
      </c>
      <c r="AM389" t="e">
        <f>IF(OR(OR($A389="",$D389=""),S389=""),"",S389-(INT($Y389/18)+IF(INDEX('Tournament Setup'!$AQ:$AQ,MATCH($A389,'Tournament Setup'!$A:$A,0))&lt;=MOD($Y389,18),1,0)))</f>
      </c>
      <c r="AN389" t="e">
        <f>IF(OR(OR($A389="",$D389=""),T389=""),"",T389-(INT($Y389/18)+IF(INDEX('Tournament Setup'!$AR:$AR,MATCH($A389,'Tournament Setup'!$A:$A,0))&lt;=MOD($Y389,18),1,0)))</f>
      </c>
      <c r="AO389" t="e">
        <f>IF(OR(OR($A389="",$D389=""),U389=""),"",U389-(INT($Y389/18)+IF(INDEX('Tournament Setup'!$AS:$AS,MATCH($A389,'Tournament Setup'!$A:$A,0))&lt;=MOD($Y389,18),1,0)))</f>
      </c>
      <c r="AP389" t="e">
        <f>IF(OR(OR($A389="",$D389=""),V389=""),"",V389-(INT($Y389/18)+IF(INDEX('Tournament Setup'!$AT:$AT,MATCH($A389,'Tournament Setup'!$A:$A,0))&lt;=MOD($Y389,18),1,0)))</f>
      </c>
      <c r="AQ389" t="e">
        <f>IF(OR(OR($A389="",$D389=""),W389=""),"",W389-(INT($Y389/18)+IF(INDEX('Tournament Setup'!$AU:$AU,MATCH($A389,'Tournament Setup'!$A:$A,0))&lt;=MOD($Y389,18),1,0)))</f>
      </c>
    </row>
    <row r="390">
      <c r="X390" t="e">
        <f>IF(OR($A390="",$D390=""),"",SUM(F390:W390))</f>
      </c>
      <c r="Y390" t="e">
        <f>IF(OR($A390="",$D390=""),"",IF(INDEX('Tournament Setup'!$F:$F,MATCH($A390,'Tournament Setup'!$A:$A,0))="Net",ROUND(($E390-_xlfn.MINIFS($E$2:$E$401,$A$2:$A$401,$A390,$B$2:$B$401,$B390))*INDEX('Tournament Setup'!$G:$G,MATCH($A390,'Tournament Setup'!$A:$A,0))/100,0),0))</f>
      </c>
      <c r="Z390" t="e">
        <f>IF(OR(OR($A390="",$D390=""),F390=""),"",F390-(INT($Y390/18)+IF(INDEX('Tournament Setup'!$AD:$AD,MATCH($A390,'Tournament Setup'!$A:$A,0))&lt;=MOD($Y390,18),1,0)))</f>
      </c>
      <c r="AA390" t="e">
        <f>IF(OR(OR($A390="",$D390=""),G390=""),"",G390-(INT($Y390/18)+IF(INDEX('Tournament Setup'!$AE:$AE,MATCH($A390,'Tournament Setup'!$A:$A,0))&lt;=MOD($Y390,18),1,0)))</f>
      </c>
      <c r="AB390" t="e">
        <f>IF(OR(OR($A390="",$D390=""),H390=""),"",H390-(INT($Y390/18)+IF(INDEX('Tournament Setup'!$AF:$AF,MATCH($A390,'Tournament Setup'!$A:$A,0))&lt;=MOD($Y390,18),1,0)))</f>
      </c>
      <c r="AC390" t="e">
        <f>IF(OR(OR($A390="",$D390=""),I390=""),"",I390-(INT($Y390/18)+IF(INDEX('Tournament Setup'!$AG:$AG,MATCH($A390,'Tournament Setup'!$A:$A,0))&lt;=MOD($Y390,18),1,0)))</f>
      </c>
      <c r="AD390" t="e">
        <f>IF(OR(OR($A390="",$D390=""),J390=""),"",J390-(INT($Y390/18)+IF(INDEX('Tournament Setup'!$AH:$AH,MATCH($A390,'Tournament Setup'!$A:$A,0))&lt;=MOD($Y390,18),1,0)))</f>
      </c>
      <c r="AE390" t="e">
        <f>IF(OR(OR($A390="",$D390=""),K390=""),"",K390-(INT($Y390/18)+IF(INDEX('Tournament Setup'!$AI:$AI,MATCH($A390,'Tournament Setup'!$A:$A,0))&lt;=MOD($Y390,18),1,0)))</f>
      </c>
      <c r="AF390" t="e">
        <f>IF(OR(OR($A390="",$D390=""),L390=""),"",L390-(INT($Y390/18)+IF(INDEX('Tournament Setup'!$AJ:$AJ,MATCH($A390,'Tournament Setup'!$A:$A,0))&lt;=MOD($Y390,18),1,0)))</f>
      </c>
      <c r="AG390" t="e">
        <f>IF(OR(OR($A390="",$D390=""),M390=""),"",M390-(INT($Y390/18)+IF(INDEX('Tournament Setup'!$AK:$AK,MATCH($A390,'Tournament Setup'!$A:$A,0))&lt;=MOD($Y390,18),1,0)))</f>
      </c>
      <c r="AH390" t="e">
        <f>IF(OR(OR($A390="",$D390=""),N390=""),"",N390-(INT($Y390/18)+IF(INDEX('Tournament Setup'!$AL:$AL,MATCH($A390,'Tournament Setup'!$A:$A,0))&lt;=MOD($Y390,18),1,0)))</f>
      </c>
      <c r="AI390" t="e">
        <f>IF(OR(OR($A390="",$D390=""),O390=""),"",O390-(INT($Y390/18)+IF(INDEX('Tournament Setup'!$AM:$AM,MATCH($A390,'Tournament Setup'!$A:$A,0))&lt;=MOD($Y390,18),1,0)))</f>
      </c>
      <c r="AJ390" t="e">
        <f>IF(OR(OR($A390="",$D390=""),P390=""),"",P390-(INT($Y390/18)+IF(INDEX('Tournament Setup'!$AN:$AN,MATCH($A390,'Tournament Setup'!$A:$A,0))&lt;=MOD($Y390,18),1,0)))</f>
      </c>
      <c r="AK390" t="e">
        <f>IF(OR(OR($A390="",$D390=""),Q390=""),"",Q390-(INT($Y390/18)+IF(INDEX('Tournament Setup'!$AO:$AO,MATCH($A390,'Tournament Setup'!$A:$A,0))&lt;=MOD($Y390,18),1,0)))</f>
      </c>
      <c r="AL390" t="e">
        <f>IF(OR(OR($A390="",$D390=""),R390=""),"",R390-(INT($Y390/18)+IF(INDEX('Tournament Setup'!$AP:$AP,MATCH($A390,'Tournament Setup'!$A:$A,0))&lt;=MOD($Y390,18),1,0)))</f>
      </c>
      <c r="AM390" t="e">
        <f>IF(OR(OR($A390="",$D390=""),S390=""),"",S390-(INT($Y390/18)+IF(INDEX('Tournament Setup'!$AQ:$AQ,MATCH($A390,'Tournament Setup'!$A:$A,0))&lt;=MOD($Y390,18),1,0)))</f>
      </c>
      <c r="AN390" t="e">
        <f>IF(OR(OR($A390="",$D390=""),T390=""),"",T390-(INT($Y390/18)+IF(INDEX('Tournament Setup'!$AR:$AR,MATCH($A390,'Tournament Setup'!$A:$A,0))&lt;=MOD($Y390,18),1,0)))</f>
      </c>
      <c r="AO390" t="e">
        <f>IF(OR(OR($A390="",$D390=""),U390=""),"",U390-(INT($Y390/18)+IF(INDEX('Tournament Setup'!$AS:$AS,MATCH($A390,'Tournament Setup'!$A:$A,0))&lt;=MOD($Y390,18),1,0)))</f>
      </c>
      <c r="AP390" t="e">
        <f>IF(OR(OR($A390="",$D390=""),V390=""),"",V390-(INT($Y390/18)+IF(INDEX('Tournament Setup'!$AT:$AT,MATCH($A390,'Tournament Setup'!$A:$A,0))&lt;=MOD($Y390,18),1,0)))</f>
      </c>
      <c r="AQ390" t="e">
        <f>IF(OR(OR($A390="",$D390=""),W390=""),"",W390-(INT($Y390/18)+IF(INDEX('Tournament Setup'!$AU:$AU,MATCH($A390,'Tournament Setup'!$A:$A,0))&lt;=MOD($Y390,18),1,0)))</f>
      </c>
    </row>
    <row r="391">
      <c r="X391" t="e">
        <f>IF(OR($A391="",$D391=""),"",SUM(F391:W391))</f>
      </c>
      <c r="Y391" t="e">
        <f>IF(OR($A391="",$D391=""),"",IF(INDEX('Tournament Setup'!$F:$F,MATCH($A391,'Tournament Setup'!$A:$A,0))="Net",ROUND(($E391-_xlfn.MINIFS($E$2:$E$401,$A$2:$A$401,$A391,$B$2:$B$401,$B391))*INDEX('Tournament Setup'!$G:$G,MATCH($A391,'Tournament Setup'!$A:$A,0))/100,0),0))</f>
      </c>
      <c r="Z391" t="e">
        <f>IF(OR(OR($A391="",$D391=""),F391=""),"",F391-(INT($Y391/18)+IF(INDEX('Tournament Setup'!$AD:$AD,MATCH($A391,'Tournament Setup'!$A:$A,0))&lt;=MOD($Y391,18),1,0)))</f>
      </c>
      <c r="AA391" t="e">
        <f>IF(OR(OR($A391="",$D391=""),G391=""),"",G391-(INT($Y391/18)+IF(INDEX('Tournament Setup'!$AE:$AE,MATCH($A391,'Tournament Setup'!$A:$A,0))&lt;=MOD($Y391,18),1,0)))</f>
      </c>
      <c r="AB391" t="e">
        <f>IF(OR(OR($A391="",$D391=""),H391=""),"",H391-(INT($Y391/18)+IF(INDEX('Tournament Setup'!$AF:$AF,MATCH($A391,'Tournament Setup'!$A:$A,0))&lt;=MOD($Y391,18),1,0)))</f>
      </c>
      <c r="AC391" t="e">
        <f>IF(OR(OR($A391="",$D391=""),I391=""),"",I391-(INT($Y391/18)+IF(INDEX('Tournament Setup'!$AG:$AG,MATCH($A391,'Tournament Setup'!$A:$A,0))&lt;=MOD($Y391,18),1,0)))</f>
      </c>
      <c r="AD391" t="e">
        <f>IF(OR(OR($A391="",$D391=""),J391=""),"",J391-(INT($Y391/18)+IF(INDEX('Tournament Setup'!$AH:$AH,MATCH($A391,'Tournament Setup'!$A:$A,0))&lt;=MOD($Y391,18),1,0)))</f>
      </c>
      <c r="AE391" t="e">
        <f>IF(OR(OR($A391="",$D391=""),K391=""),"",K391-(INT($Y391/18)+IF(INDEX('Tournament Setup'!$AI:$AI,MATCH($A391,'Tournament Setup'!$A:$A,0))&lt;=MOD($Y391,18),1,0)))</f>
      </c>
      <c r="AF391" t="e">
        <f>IF(OR(OR($A391="",$D391=""),L391=""),"",L391-(INT($Y391/18)+IF(INDEX('Tournament Setup'!$AJ:$AJ,MATCH($A391,'Tournament Setup'!$A:$A,0))&lt;=MOD($Y391,18),1,0)))</f>
      </c>
      <c r="AG391" t="e">
        <f>IF(OR(OR($A391="",$D391=""),M391=""),"",M391-(INT($Y391/18)+IF(INDEX('Tournament Setup'!$AK:$AK,MATCH($A391,'Tournament Setup'!$A:$A,0))&lt;=MOD($Y391,18),1,0)))</f>
      </c>
      <c r="AH391" t="e">
        <f>IF(OR(OR($A391="",$D391=""),N391=""),"",N391-(INT($Y391/18)+IF(INDEX('Tournament Setup'!$AL:$AL,MATCH($A391,'Tournament Setup'!$A:$A,0))&lt;=MOD($Y391,18),1,0)))</f>
      </c>
      <c r="AI391" t="e">
        <f>IF(OR(OR($A391="",$D391=""),O391=""),"",O391-(INT($Y391/18)+IF(INDEX('Tournament Setup'!$AM:$AM,MATCH($A391,'Tournament Setup'!$A:$A,0))&lt;=MOD($Y391,18),1,0)))</f>
      </c>
      <c r="AJ391" t="e">
        <f>IF(OR(OR($A391="",$D391=""),P391=""),"",P391-(INT($Y391/18)+IF(INDEX('Tournament Setup'!$AN:$AN,MATCH($A391,'Tournament Setup'!$A:$A,0))&lt;=MOD($Y391,18),1,0)))</f>
      </c>
      <c r="AK391" t="e">
        <f>IF(OR(OR($A391="",$D391=""),Q391=""),"",Q391-(INT($Y391/18)+IF(INDEX('Tournament Setup'!$AO:$AO,MATCH($A391,'Tournament Setup'!$A:$A,0))&lt;=MOD($Y391,18),1,0)))</f>
      </c>
      <c r="AL391" t="e">
        <f>IF(OR(OR($A391="",$D391=""),R391=""),"",R391-(INT($Y391/18)+IF(INDEX('Tournament Setup'!$AP:$AP,MATCH($A391,'Tournament Setup'!$A:$A,0))&lt;=MOD($Y391,18),1,0)))</f>
      </c>
      <c r="AM391" t="e">
        <f>IF(OR(OR($A391="",$D391=""),S391=""),"",S391-(INT($Y391/18)+IF(INDEX('Tournament Setup'!$AQ:$AQ,MATCH($A391,'Tournament Setup'!$A:$A,0))&lt;=MOD($Y391,18),1,0)))</f>
      </c>
      <c r="AN391" t="e">
        <f>IF(OR(OR($A391="",$D391=""),T391=""),"",T391-(INT($Y391/18)+IF(INDEX('Tournament Setup'!$AR:$AR,MATCH($A391,'Tournament Setup'!$A:$A,0))&lt;=MOD($Y391,18),1,0)))</f>
      </c>
      <c r="AO391" t="e">
        <f>IF(OR(OR($A391="",$D391=""),U391=""),"",U391-(INT($Y391/18)+IF(INDEX('Tournament Setup'!$AS:$AS,MATCH($A391,'Tournament Setup'!$A:$A,0))&lt;=MOD($Y391,18),1,0)))</f>
      </c>
      <c r="AP391" t="e">
        <f>IF(OR(OR($A391="",$D391=""),V391=""),"",V391-(INT($Y391/18)+IF(INDEX('Tournament Setup'!$AT:$AT,MATCH($A391,'Tournament Setup'!$A:$A,0))&lt;=MOD($Y391,18),1,0)))</f>
      </c>
      <c r="AQ391" t="e">
        <f>IF(OR(OR($A391="",$D391=""),W391=""),"",W391-(INT($Y391/18)+IF(INDEX('Tournament Setup'!$AU:$AU,MATCH($A391,'Tournament Setup'!$A:$A,0))&lt;=MOD($Y391,18),1,0)))</f>
      </c>
    </row>
    <row r="392">
      <c r="X392" t="e">
        <f>IF(OR($A392="",$D392=""),"",SUM(F392:W392))</f>
      </c>
      <c r="Y392" t="e">
        <f>IF(OR($A392="",$D392=""),"",IF(INDEX('Tournament Setup'!$F:$F,MATCH($A392,'Tournament Setup'!$A:$A,0))="Net",ROUND(($E392-_xlfn.MINIFS($E$2:$E$401,$A$2:$A$401,$A392,$B$2:$B$401,$B392))*INDEX('Tournament Setup'!$G:$G,MATCH($A392,'Tournament Setup'!$A:$A,0))/100,0),0))</f>
      </c>
      <c r="Z392" t="e">
        <f>IF(OR(OR($A392="",$D392=""),F392=""),"",F392-(INT($Y392/18)+IF(INDEX('Tournament Setup'!$AD:$AD,MATCH($A392,'Tournament Setup'!$A:$A,0))&lt;=MOD($Y392,18),1,0)))</f>
      </c>
      <c r="AA392" t="e">
        <f>IF(OR(OR($A392="",$D392=""),G392=""),"",G392-(INT($Y392/18)+IF(INDEX('Tournament Setup'!$AE:$AE,MATCH($A392,'Tournament Setup'!$A:$A,0))&lt;=MOD($Y392,18),1,0)))</f>
      </c>
      <c r="AB392" t="e">
        <f>IF(OR(OR($A392="",$D392=""),H392=""),"",H392-(INT($Y392/18)+IF(INDEX('Tournament Setup'!$AF:$AF,MATCH($A392,'Tournament Setup'!$A:$A,0))&lt;=MOD($Y392,18),1,0)))</f>
      </c>
      <c r="AC392" t="e">
        <f>IF(OR(OR($A392="",$D392=""),I392=""),"",I392-(INT($Y392/18)+IF(INDEX('Tournament Setup'!$AG:$AG,MATCH($A392,'Tournament Setup'!$A:$A,0))&lt;=MOD($Y392,18),1,0)))</f>
      </c>
      <c r="AD392" t="e">
        <f>IF(OR(OR($A392="",$D392=""),J392=""),"",J392-(INT($Y392/18)+IF(INDEX('Tournament Setup'!$AH:$AH,MATCH($A392,'Tournament Setup'!$A:$A,0))&lt;=MOD($Y392,18),1,0)))</f>
      </c>
      <c r="AE392" t="e">
        <f>IF(OR(OR($A392="",$D392=""),K392=""),"",K392-(INT($Y392/18)+IF(INDEX('Tournament Setup'!$AI:$AI,MATCH($A392,'Tournament Setup'!$A:$A,0))&lt;=MOD($Y392,18),1,0)))</f>
      </c>
      <c r="AF392" t="e">
        <f>IF(OR(OR($A392="",$D392=""),L392=""),"",L392-(INT($Y392/18)+IF(INDEX('Tournament Setup'!$AJ:$AJ,MATCH($A392,'Tournament Setup'!$A:$A,0))&lt;=MOD($Y392,18),1,0)))</f>
      </c>
      <c r="AG392" t="e">
        <f>IF(OR(OR($A392="",$D392=""),M392=""),"",M392-(INT($Y392/18)+IF(INDEX('Tournament Setup'!$AK:$AK,MATCH($A392,'Tournament Setup'!$A:$A,0))&lt;=MOD($Y392,18),1,0)))</f>
      </c>
      <c r="AH392" t="e">
        <f>IF(OR(OR($A392="",$D392=""),N392=""),"",N392-(INT($Y392/18)+IF(INDEX('Tournament Setup'!$AL:$AL,MATCH($A392,'Tournament Setup'!$A:$A,0))&lt;=MOD($Y392,18),1,0)))</f>
      </c>
      <c r="AI392" t="e">
        <f>IF(OR(OR($A392="",$D392=""),O392=""),"",O392-(INT($Y392/18)+IF(INDEX('Tournament Setup'!$AM:$AM,MATCH($A392,'Tournament Setup'!$A:$A,0))&lt;=MOD($Y392,18),1,0)))</f>
      </c>
      <c r="AJ392" t="e">
        <f>IF(OR(OR($A392="",$D392=""),P392=""),"",P392-(INT($Y392/18)+IF(INDEX('Tournament Setup'!$AN:$AN,MATCH($A392,'Tournament Setup'!$A:$A,0))&lt;=MOD($Y392,18),1,0)))</f>
      </c>
      <c r="AK392" t="e">
        <f>IF(OR(OR($A392="",$D392=""),Q392=""),"",Q392-(INT($Y392/18)+IF(INDEX('Tournament Setup'!$AO:$AO,MATCH($A392,'Tournament Setup'!$A:$A,0))&lt;=MOD($Y392,18),1,0)))</f>
      </c>
      <c r="AL392" t="e">
        <f>IF(OR(OR($A392="",$D392=""),R392=""),"",R392-(INT($Y392/18)+IF(INDEX('Tournament Setup'!$AP:$AP,MATCH($A392,'Tournament Setup'!$A:$A,0))&lt;=MOD($Y392,18),1,0)))</f>
      </c>
      <c r="AM392" t="e">
        <f>IF(OR(OR($A392="",$D392=""),S392=""),"",S392-(INT($Y392/18)+IF(INDEX('Tournament Setup'!$AQ:$AQ,MATCH($A392,'Tournament Setup'!$A:$A,0))&lt;=MOD($Y392,18),1,0)))</f>
      </c>
      <c r="AN392" t="e">
        <f>IF(OR(OR($A392="",$D392=""),T392=""),"",T392-(INT($Y392/18)+IF(INDEX('Tournament Setup'!$AR:$AR,MATCH($A392,'Tournament Setup'!$A:$A,0))&lt;=MOD($Y392,18),1,0)))</f>
      </c>
      <c r="AO392" t="e">
        <f>IF(OR(OR($A392="",$D392=""),U392=""),"",U392-(INT($Y392/18)+IF(INDEX('Tournament Setup'!$AS:$AS,MATCH($A392,'Tournament Setup'!$A:$A,0))&lt;=MOD($Y392,18),1,0)))</f>
      </c>
      <c r="AP392" t="e">
        <f>IF(OR(OR($A392="",$D392=""),V392=""),"",V392-(INT($Y392/18)+IF(INDEX('Tournament Setup'!$AT:$AT,MATCH($A392,'Tournament Setup'!$A:$A,0))&lt;=MOD($Y392,18),1,0)))</f>
      </c>
      <c r="AQ392" t="e">
        <f>IF(OR(OR($A392="",$D392=""),W392=""),"",W392-(INT($Y392/18)+IF(INDEX('Tournament Setup'!$AU:$AU,MATCH($A392,'Tournament Setup'!$A:$A,0))&lt;=MOD($Y392,18),1,0)))</f>
      </c>
    </row>
    <row r="393">
      <c r="X393" t="e">
        <f>IF(OR($A393="",$D393=""),"",SUM(F393:W393))</f>
      </c>
      <c r="Y393" t="e">
        <f>IF(OR($A393="",$D393=""),"",IF(INDEX('Tournament Setup'!$F:$F,MATCH($A393,'Tournament Setup'!$A:$A,0))="Net",ROUND(($E393-_xlfn.MINIFS($E$2:$E$401,$A$2:$A$401,$A393,$B$2:$B$401,$B393))*INDEX('Tournament Setup'!$G:$G,MATCH($A393,'Tournament Setup'!$A:$A,0))/100,0),0))</f>
      </c>
      <c r="Z393" t="e">
        <f>IF(OR(OR($A393="",$D393=""),F393=""),"",F393-(INT($Y393/18)+IF(INDEX('Tournament Setup'!$AD:$AD,MATCH($A393,'Tournament Setup'!$A:$A,0))&lt;=MOD($Y393,18),1,0)))</f>
      </c>
      <c r="AA393" t="e">
        <f>IF(OR(OR($A393="",$D393=""),G393=""),"",G393-(INT($Y393/18)+IF(INDEX('Tournament Setup'!$AE:$AE,MATCH($A393,'Tournament Setup'!$A:$A,0))&lt;=MOD($Y393,18),1,0)))</f>
      </c>
      <c r="AB393" t="e">
        <f>IF(OR(OR($A393="",$D393=""),H393=""),"",H393-(INT($Y393/18)+IF(INDEX('Tournament Setup'!$AF:$AF,MATCH($A393,'Tournament Setup'!$A:$A,0))&lt;=MOD($Y393,18),1,0)))</f>
      </c>
      <c r="AC393" t="e">
        <f>IF(OR(OR($A393="",$D393=""),I393=""),"",I393-(INT($Y393/18)+IF(INDEX('Tournament Setup'!$AG:$AG,MATCH($A393,'Tournament Setup'!$A:$A,0))&lt;=MOD($Y393,18),1,0)))</f>
      </c>
      <c r="AD393" t="e">
        <f>IF(OR(OR($A393="",$D393=""),J393=""),"",J393-(INT($Y393/18)+IF(INDEX('Tournament Setup'!$AH:$AH,MATCH($A393,'Tournament Setup'!$A:$A,0))&lt;=MOD($Y393,18),1,0)))</f>
      </c>
      <c r="AE393" t="e">
        <f>IF(OR(OR($A393="",$D393=""),K393=""),"",K393-(INT($Y393/18)+IF(INDEX('Tournament Setup'!$AI:$AI,MATCH($A393,'Tournament Setup'!$A:$A,0))&lt;=MOD($Y393,18),1,0)))</f>
      </c>
      <c r="AF393" t="e">
        <f>IF(OR(OR($A393="",$D393=""),L393=""),"",L393-(INT($Y393/18)+IF(INDEX('Tournament Setup'!$AJ:$AJ,MATCH($A393,'Tournament Setup'!$A:$A,0))&lt;=MOD($Y393,18),1,0)))</f>
      </c>
      <c r="AG393" t="e">
        <f>IF(OR(OR($A393="",$D393=""),M393=""),"",M393-(INT($Y393/18)+IF(INDEX('Tournament Setup'!$AK:$AK,MATCH($A393,'Tournament Setup'!$A:$A,0))&lt;=MOD($Y393,18),1,0)))</f>
      </c>
      <c r="AH393" t="e">
        <f>IF(OR(OR($A393="",$D393=""),N393=""),"",N393-(INT($Y393/18)+IF(INDEX('Tournament Setup'!$AL:$AL,MATCH($A393,'Tournament Setup'!$A:$A,0))&lt;=MOD($Y393,18),1,0)))</f>
      </c>
      <c r="AI393" t="e">
        <f>IF(OR(OR($A393="",$D393=""),O393=""),"",O393-(INT($Y393/18)+IF(INDEX('Tournament Setup'!$AM:$AM,MATCH($A393,'Tournament Setup'!$A:$A,0))&lt;=MOD($Y393,18),1,0)))</f>
      </c>
      <c r="AJ393" t="e">
        <f>IF(OR(OR($A393="",$D393=""),P393=""),"",P393-(INT($Y393/18)+IF(INDEX('Tournament Setup'!$AN:$AN,MATCH($A393,'Tournament Setup'!$A:$A,0))&lt;=MOD($Y393,18),1,0)))</f>
      </c>
      <c r="AK393" t="e">
        <f>IF(OR(OR($A393="",$D393=""),Q393=""),"",Q393-(INT($Y393/18)+IF(INDEX('Tournament Setup'!$AO:$AO,MATCH($A393,'Tournament Setup'!$A:$A,0))&lt;=MOD($Y393,18),1,0)))</f>
      </c>
      <c r="AL393" t="e">
        <f>IF(OR(OR($A393="",$D393=""),R393=""),"",R393-(INT($Y393/18)+IF(INDEX('Tournament Setup'!$AP:$AP,MATCH($A393,'Tournament Setup'!$A:$A,0))&lt;=MOD($Y393,18),1,0)))</f>
      </c>
      <c r="AM393" t="e">
        <f>IF(OR(OR($A393="",$D393=""),S393=""),"",S393-(INT($Y393/18)+IF(INDEX('Tournament Setup'!$AQ:$AQ,MATCH($A393,'Tournament Setup'!$A:$A,0))&lt;=MOD($Y393,18),1,0)))</f>
      </c>
      <c r="AN393" t="e">
        <f>IF(OR(OR($A393="",$D393=""),T393=""),"",T393-(INT($Y393/18)+IF(INDEX('Tournament Setup'!$AR:$AR,MATCH($A393,'Tournament Setup'!$A:$A,0))&lt;=MOD($Y393,18),1,0)))</f>
      </c>
      <c r="AO393" t="e">
        <f>IF(OR(OR($A393="",$D393=""),U393=""),"",U393-(INT($Y393/18)+IF(INDEX('Tournament Setup'!$AS:$AS,MATCH($A393,'Tournament Setup'!$A:$A,0))&lt;=MOD($Y393,18),1,0)))</f>
      </c>
      <c r="AP393" t="e">
        <f>IF(OR(OR($A393="",$D393=""),V393=""),"",V393-(INT($Y393/18)+IF(INDEX('Tournament Setup'!$AT:$AT,MATCH($A393,'Tournament Setup'!$A:$A,0))&lt;=MOD($Y393,18),1,0)))</f>
      </c>
      <c r="AQ393" t="e">
        <f>IF(OR(OR($A393="",$D393=""),W393=""),"",W393-(INT($Y393/18)+IF(INDEX('Tournament Setup'!$AU:$AU,MATCH($A393,'Tournament Setup'!$A:$A,0))&lt;=MOD($Y393,18),1,0)))</f>
      </c>
    </row>
    <row r="394">
      <c r="X394" t="e">
        <f>IF(OR($A394="",$D394=""),"",SUM(F394:W394))</f>
      </c>
      <c r="Y394" t="e">
        <f>IF(OR($A394="",$D394=""),"",IF(INDEX('Tournament Setup'!$F:$F,MATCH($A394,'Tournament Setup'!$A:$A,0))="Net",ROUND(($E394-_xlfn.MINIFS($E$2:$E$401,$A$2:$A$401,$A394,$B$2:$B$401,$B394))*INDEX('Tournament Setup'!$G:$G,MATCH($A394,'Tournament Setup'!$A:$A,0))/100,0),0))</f>
      </c>
      <c r="Z394" t="e">
        <f>IF(OR(OR($A394="",$D394=""),F394=""),"",F394-(INT($Y394/18)+IF(INDEX('Tournament Setup'!$AD:$AD,MATCH($A394,'Tournament Setup'!$A:$A,0))&lt;=MOD($Y394,18),1,0)))</f>
      </c>
      <c r="AA394" t="e">
        <f>IF(OR(OR($A394="",$D394=""),G394=""),"",G394-(INT($Y394/18)+IF(INDEX('Tournament Setup'!$AE:$AE,MATCH($A394,'Tournament Setup'!$A:$A,0))&lt;=MOD($Y394,18),1,0)))</f>
      </c>
      <c r="AB394" t="e">
        <f>IF(OR(OR($A394="",$D394=""),H394=""),"",H394-(INT($Y394/18)+IF(INDEX('Tournament Setup'!$AF:$AF,MATCH($A394,'Tournament Setup'!$A:$A,0))&lt;=MOD($Y394,18),1,0)))</f>
      </c>
      <c r="AC394" t="e">
        <f>IF(OR(OR($A394="",$D394=""),I394=""),"",I394-(INT($Y394/18)+IF(INDEX('Tournament Setup'!$AG:$AG,MATCH($A394,'Tournament Setup'!$A:$A,0))&lt;=MOD($Y394,18),1,0)))</f>
      </c>
      <c r="AD394" t="e">
        <f>IF(OR(OR($A394="",$D394=""),J394=""),"",J394-(INT($Y394/18)+IF(INDEX('Tournament Setup'!$AH:$AH,MATCH($A394,'Tournament Setup'!$A:$A,0))&lt;=MOD($Y394,18),1,0)))</f>
      </c>
      <c r="AE394" t="e">
        <f>IF(OR(OR($A394="",$D394=""),K394=""),"",K394-(INT($Y394/18)+IF(INDEX('Tournament Setup'!$AI:$AI,MATCH($A394,'Tournament Setup'!$A:$A,0))&lt;=MOD($Y394,18),1,0)))</f>
      </c>
      <c r="AF394" t="e">
        <f>IF(OR(OR($A394="",$D394=""),L394=""),"",L394-(INT($Y394/18)+IF(INDEX('Tournament Setup'!$AJ:$AJ,MATCH($A394,'Tournament Setup'!$A:$A,0))&lt;=MOD($Y394,18),1,0)))</f>
      </c>
      <c r="AG394" t="e">
        <f>IF(OR(OR($A394="",$D394=""),M394=""),"",M394-(INT($Y394/18)+IF(INDEX('Tournament Setup'!$AK:$AK,MATCH($A394,'Tournament Setup'!$A:$A,0))&lt;=MOD($Y394,18),1,0)))</f>
      </c>
      <c r="AH394" t="e">
        <f>IF(OR(OR($A394="",$D394=""),N394=""),"",N394-(INT($Y394/18)+IF(INDEX('Tournament Setup'!$AL:$AL,MATCH($A394,'Tournament Setup'!$A:$A,0))&lt;=MOD($Y394,18),1,0)))</f>
      </c>
      <c r="AI394" t="e">
        <f>IF(OR(OR($A394="",$D394=""),O394=""),"",O394-(INT($Y394/18)+IF(INDEX('Tournament Setup'!$AM:$AM,MATCH($A394,'Tournament Setup'!$A:$A,0))&lt;=MOD($Y394,18),1,0)))</f>
      </c>
      <c r="AJ394" t="e">
        <f>IF(OR(OR($A394="",$D394=""),P394=""),"",P394-(INT($Y394/18)+IF(INDEX('Tournament Setup'!$AN:$AN,MATCH($A394,'Tournament Setup'!$A:$A,0))&lt;=MOD($Y394,18),1,0)))</f>
      </c>
      <c r="AK394" t="e">
        <f>IF(OR(OR($A394="",$D394=""),Q394=""),"",Q394-(INT($Y394/18)+IF(INDEX('Tournament Setup'!$AO:$AO,MATCH($A394,'Tournament Setup'!$A:$A,0))&lt;=MOD($Y394,18),1,0)))</f>
      </c>
      <c r="AL394" t="e">
        <f>IF(OR(OR($A394="",$D394=""),R394=""),"",R394-(INT($Y394/18)+IF(INDEX('Tournament Setup'!$AP:$AP,MATCH($A394,'Tournament Setup'!$A:$A,0))&lt;=MOD($Y394,18),1,0)))</f>
      </c>
      <c r="AM394" t="e">
        <f>IF(OR(OR($A394="",$D394=""),S394=""),"",S394-(INT($Y394/18)+IF(INDEX('Tournament Setup'!$AQ:$AQ,MATCH($A394,'Tournament Setup'!$A:$A,0))&lt;=MOD($Y394,18),1,0)))</f>
      </c>
      <c r="AN394" t="e">
        <f>IF(OR(OR($A394="",$D394=""),T394=""),"",T394-(INT($Y394/18)+IF(INDEX('Tournament Setup'!$AR:$AR,MATCH($A394,'Tournament Setup'!$A:$A,0))&lt;=MOD($Y394,18),1,0)))</f>
      </c>
      <c r="AO394" t="e">
        <f>IF(OR(OR($A394="",$D394=""),U394=""),"",U394-(INT($Y394/18)+IF(INDEX('Tournament Setup'!$AS:$AS,MATCH($A394,'Tournament Setup'!$A:$A,0))&lt;=MOD($Y394,18),1,0)))</f>
      </c>
      <c r="AP394" t="e">
        <f>IF(OR(OR($A394="",$D394=""),V394=""),"",V394-(INT($Y394/18)+IF(INDEX('Tournament Setup'!$AT:$AT,MATCH($A394,'Tournament Setup'!$A:$A,0))&lt;=MOD($Y394,18),1,0)))</f>
      </c>
      <c r="AQ394" t="e">
        <f>IF(OR(OR($A394="",$D394=""),W394=""),"",W394-(INT($Y394/18)+IF(INDEX('Tournament Setup'!$AU:$AU,MATCH($A394,'Tournament Setup'!$A:$A,0))&lt;=MOD($Y394,18),1,0)))</f>
      </c>
    </row>
    <row r="395">
      <c r="X395" t="e">
        <f>IF(OR($A395="",$D395=""),"",SUM(F395:W395))</f>
      </c>
      <c r="Y395" t="e">
        <f>IF(OR($A395="",$D395=""),"",IF(INDEX('Tournament Setup'!$F:$F,MATCH($A395,'Tournament Setup'!$A:$A,0))="Net",ROUND(($E395-_xlfn.MINIFS($E$2:$E$401,$A$2:$A$401,$A395,$B$2:$B$401,$B395))*INDEX('Tournament Setup'!$G:$G,MATCH($A395,'Tournament Setup'!$A:$A,0))/100,0),0))</f>
      </c>
      <c r="Z395" t="e">
        <f>IF(OR(OR($A395="",$D395=""),F395=""),"",F395-(INT($Y395/18)+IF(INDEX('Tournament Setup'!$AD:$AD,MATCH($A395,'Tournament Setup'!$A:$A,0))&lt;=MOD($Y395,18),1,0)))</f>
      </c>
      <c r="AA395" t="e">
        <f>IF(OR(OR($A395="",$D395=""),G395=""),"",G395-(INT($Y395/18)+IF(INDEX('Tournament Setup'!$AE:$AE,MATCH($A395,'Tournament Setup'!$A:$A,0))&lt;=MOD($Y395,18),1,0)))</f>
      </c>
      <c r="AB395" t="e">
        <f>IF(OR(OR($A395="",$D395=""),H395=""),"",H395-(INT($Y395/18)+IF(INDEX('Tournament Setup'!$AF:$AF,MATCH($A395,'Tournament Setup'!$A:$A,0))&lt;=MOD($Y395,18),1,0)))</f>
      </c>
      <c r="AC395" t="e">
        <f>IF(OR(OR($A395="",$D395=""),I395=""),"",I395-(INT($Y395/18)+IF(INDEX('Tournament Setup'!$AG:$AG,MATCH($A395,'Tournament Setup'!$A:$A,0))&lt;=MOD($Y395,18),1,0)))</f>
      </c>
      <c r="AD395" t="e">
        <f>IF(OR(OR($A395="",$D395=""),J395=""),"",J395-(INT($Y395/18)+IF(INDEX('Tournament Setup'!$AH:$AH,MATCH($A395,'Tournament Setup'!$A:$A,0))&lt;=MOD($Y395,18),1,0)))</f>
      </c>
      <c r="AE395" t="e">
        <f>IF(OR(OR($A395="",$D395=""),K395=""),"",K395-(INT($Y395/18)+IF(INDEX('Tournament Setup'!$AI:$AI,MATCH($A395,'Tournament Setup'!$A:$A,0))&lt;=MOD($Y395,18),1,0)))</f>
      </c>
      <c r="AF395" t="e">
        <f>IF(OR(OR($A395="",$D395=""),L395=""),"",L395-(INT($Y395/18)+IF(INDEX('Tournament Setup'!$AJ:$AJ,MATCH($A395,'Tournament Setup'!$A:$A,0))&lt;=MOD($Y395,18),1,0)))</f>
      </c>
      <c r="AG395" t="e">
        <f>IF(OR(OR($A395="",$D395=""),M395=""),"",M395-(INT($Y395/18)+IF(INDEX('Tournament Setup'!$AK:$AK,MATCH($A395,'Tournament Setup'!$A:$A,0))&lt;=MOD($Y395,18),1,0)))</f>
      </c>
      <c r="AH395" t="e">
        <f>IF(OR(OR($A395="",$D395=""),N395=""),"",N395-(INT($Y395/18)+IF(INDEX('Tournament Setup'!$AL:$AL,MATCH($A395,'Tournament Setup'!$A:$A,0))&lt;=MOD($Y395,18),1,0)))</f>
      </c>
      <c r="AI395" t="e">
        <f>IF(OR(OR($A395="",$D395=""),O395=""),"",O395-(INT($Y395/18)+IF(INDEX('Tournament Setup'!$AM:$AM,MATCH($A395,'Tournament Setup'!$A:$A,0))&lt;=MOD($Y395,18),1,0)))</f>
      </c>
      <c r="AJ395" t="e">
        <f>IF(OR(OR($A395="",$D395=""),P395=""),"",P395-(INT($Y395/18)+IF(INDEX('Tournament Setup'!$AN:$AN,MATCH($A395,'Tournament Setup'!$A:$A,0))&lt;=MOD($Y395,18),1,0)))</f>
      </c>
      <c r="AK395" t="e">
        <f>IF(OR(OR($A395="",$D395=""),Q395=""),"",Q395-(INT($Y395/18)+IF(INDEX('Tournament Setup'!$AO:$AO,MATCH($A395,'Tournament Setup'!$A:$A,0))&lt;=MOD($Y395,18),1,0)))</f>
      </c>
      <c r="AL395" t="e">
        <f>IF(OR(OR($A395="",$D395=""),R395=""),"",R395-(INT($Y395/18)+IF(INDEX('Tournament Setup'!$AP:$AP,MATCH($A395,'Tournament Setup'!$A:$A,0))&lt;=MOD($Y395,18),1,0)))</f>
      </c>
      <c r="AM395" t="e">
        <f>IF(OR(OR($A395="",$D395=""),S395=""),"",S395-(INT($Y395/18)+IF(INDEX('Tournament Setup'!$AQ:$AQ,MATCH($A395,'Tournament Setup'!$A:$A,0))&lt;=MOD($Y395,18),1,0)))</f>
      </c>
      <c r="AN395" t="e">
        <f>IF(OR(OR($A395="",$D395=""),T395=""),"",T395-(INT($Y395/18)+IF(INDEX('Tournament Setup'!$AR:$AR,MATCH($A395,'Tournament Setup'!$A:$A,0))&lt;=MOD($Y395,18),1,0)))</f>
      </c>
      <c r="AO395" t="e">
        <f>IF(OR(OR($A395="",$D395=""),U395=""),"",U395-(INT($Y395/18)+IF(INDEX('Tournament Setup'!$AS:$AS,MATCH($A395,'Tournament Setup'!$A:$A,0))&lt;=MOD($Y395,18),1,0)))</f>
      </c>
      <c r="AP395" t="e">
        <f>IF(OR(OR($A395="",$D395=""),V395=""),"",V395-(INT($Y395/18)+IF(INDEX('Tournament Setup'!$AT:$AT,MATCH($A395,'Tournament Setup'!$A:$A,0))&lt;=MOD($Y395,18),1,0)))</f>
      </c>
      <c r="AQ395" t="e">
        <f>IF(OR(OR($A395="",$D395=""),W395=""),"",W395-(INT($Y395/18)+IF(INDEX('Tournament Setup'!$AU:$AU,MATCH($A395,'Tournament Setup'!$A:$A,0))&lt;=MOD($Y395,18),1,0)))</f>
      </c>
    </row>
    <row r="396">
      <c r="X396" t="e">
        <f>IF(OR($A396="",$D396=""),"",SUM(F396:W396))</f>
      </c>
      <c r="Y396" t="e">
        <f>IF(OR($A396="",$D396=""),"",IF(INDEX('Tournament Setup'!$F:$F,MATCH($A396,'Tournament Setup'!$A:$A,0))="Net",ROUND(($E396-_xlfn.MINIFS($E$2:$E$401,$A$2:$A$401,$A396,$B$2:$B$401,$B396))*INDEX('Tournament Setup'!$G:$G,MATCH($A396,'Tournament Setup'!$A:$A,0))/100,0),0))</f>
      </c>
      <c r="Z396" t="e">
        <f>IF(OR(OR($A396="",$D396=""),F396=""),"",F396-(INT($Y396/18)+IF(INDEX('Tournament Setup'!$AD:$AD,MATCH($A396,'Tournament Setup'!$A:$A,0))&lt;=MOD($Y396,18),1,0)))</f>
      </c>
      <c r="AA396" t="e">
        <f>IF(OR(OR($A396="",$D396=""),G396=""),"",G396-(INT($Y396/18)+IF(INDEX('Tournament Setup'!$AE:$AE,MATCH($A396,'Tournament Setup'!$A:$A,0))&lt;=MOD($Y396,18),1,0)))</f>
      </c>
      <c r="AB396" t="e">
        <f>IF(OR(OR($A396="",$D396=""),H396=""),"",H396-(INT($Y396/18)+IF(INDEX('Tournament Setup'!$AF:$AF,MATCH($A396,'Tournament Setup'!$A:$A,0))&lt;=MOD($Y396,18),1,0)))</f>
      </c>
      <c r="AC396" t="e">
        <f>IF(OR(OR($A396="",$D396=""),I396=""),"",I396-(INT($Y396/18)+IF(INDEX('Tournament Setup'!$AG:$AG,MATCH($A396,'Tournament Setup'!$A:$A,0))&lt;=MOD($Y396,18),1,0)))</f>
      </c>
      <c r="AD396" t="e">
        <f>IF(OR(OR($A396="",$D396=""),J396=""),"",J396-(INT($Y396/18)+IF(INDEX('Tournament Setup'!$AH:$AH,MATCH($A396,'Tournament Setup'!$A:$A,0))&lt;=MOD($Y396,18),1,0)))</f>
      </c>
      <c r="AE396" t="e">
        <f>IF(OR(OR($A396="",$D396=""),K396=""),"",K396-(INT($Y396/18)+IF(INDEX('Tournament Setup'!$AI:$AI,MATCH($A396,'Tournament Setup'!$A:$A,0))&lt;=MOD($Y396,18),1,0)))</f>
      </c>
      <c r="AF396" t="e">
        <f>IF(OR(OR($A396="",$D396=""),L396=""),"",L396-(INT($Y396/18)+IF(INDEX('Tournament Setup'!$AJ:$AJ,MATCH($A396,'Tournament Setup'!$A:$A,0))&lt;=MOD($Y396,18),1,0)))</f>
      </c>
      <c r="AG396" t="e">
        <f>IF(OR(OR($A396="",$D396=""),M396=""),"",M396-(INT($Y396/18)+IF(INDEX('Tournament Setup'!$AK:$AK,MATCH($A396,'Tournament Setup'!$A:$A,0))&lt;=MOD($Y396,18),1,0)))</f>
      </c>
      <c r="AH396" t="e">
        <f>IF(OR(OR($A396="",$D396=""),N396=""),"",N396-(INT($Y396/18)+IF(INDEX('Tournament Setup'!$AL:$AL,MATCH($A396,'Tournament Setup'!$A:$A,0))&lt;=MOD($Y396,18),1,0)))</f>
      </c>
      <c r="AI396" t="e">
        <f>IF(OR(OR($A396="",$D396=""),O396=""),"",O396-(INT($Y396/18)+IF(INDEX('Tournament Setup'!$AM:$AM,MATCH($A396,'Tournament Setup'!$A:$A,0))&lt;=MOD($Y396,18),1,0)))</f>
      </c>
      <c r="AJ396" t="e">
        <f>IF(OR(OR($A396="",$D396=""),P396=""),"",P396-(INT($Y396/18)+IF(INDEX('Tournament Setup'!$AN:$AN,MATCH($A396,'Tournament Setup'!$A:$A,0))&lt;=MOD($Y396,18),1,0)))</f>
      </c>
      <c r="AK396" t="e">
        <f>IF(OR(OR($A396="",$D396=""),Q396=""),"",Q396-(INT($Y396/18)+IF(INDEX('Tournament Setup'!$AO:$AO,MATCH($A396,'Tournament Setup'!$A:$A,0))&lt;=MOD($Y396,18),1,0)))</f>
      </c>
      <c r="AL396" t="e">
        <f>IF(OR(OR($A396="",$D396=""),R396=""),"",R396-(INT($Y396/18)+IF(INDEX('Tournament Setup'!$AP:$AP,MATCH($A396,'Tournament Setup'!$A:$A,0))&lt;=MOD($Y396,18),1,0)))</f>
      </c>
      <c r="AM396" t="e">
        <f>IF(OR(OR($A396="",$D396=""),S396=""),"",S396-(INT($Y396/18)+IF(INDEX('Tournament Setup'!$AQ:$AQ,MATCH($A396,'Tournament Setup'!$A:$A,0))&lt;=MOD($Y396,18),1,0)))</f>
      </c>
      <c r="AN396" t="e">
        <f>IF(OR(OR($A396="",$D396=""),T396=""),"",T396-(INT($Y396/18)+IF(INDEX('Tournament Setup'!$AR:$AR,MATCH($A396,'Tournament Setup'!$A:$A,0))&lt;=MOD($Y396,18),1,0)))</f>
      </c>
      <c r="AO396" t="e">
        <f>IF(OR(OR($A396="",$D396=""),U396=""),"",U396-(INT($Y396/18)+IF(INDEX('Tournament Setup'!$AS:$AS,MATCH($A396,'Tournament Setup'!$A:$A,0))&lt;=MOD($Y396,18),1,0)))</f>
      </c>
      <c r="AP396" t="e">
        <f>IF(OR(OR($A396="",$D396=""),V396=""),"",V396-(INT($Y396/18)+IF(INDEX('Tournament Setup'!$AT:$AT,MATCH($A396,'Tournament Setup'!$A:$A,0))&lt;=MOD($Y396,18),1,0)))</f>
      </c>
      <c r="AQ396" t="e">
        <f>IF(OR(OR($A396="",$D396=""),W396=""),"",W396-(INT($Y396/18)+IF(INDEX('Tournament Setup'!$AU:$AU,MATCH($A396,'Tournament Setup'!$A:$A,0))&lt;=MOD($Y396,18),1,0)))</f>
      </c>
    </row>
    <row r="397">
      <c r="X397" t="e">
        <f>IF(OR($A397="",$D397=""),"",SUM(F397:W397))</f>
      </c>
      <c r="Y397" t="e">
        <f>IF(OR($A397="",$D397=""),"",IF(INDEX('Tournament Setup'!$F:$F,MATCH($A397,'Tournament Setup'!$A:$A,0))="Net",ROUND(($E397-_xlfn.MINIFS($E$2:$E$401,$A$2:$A$401,$A397,$B$2:$B$401,$B397))*INDEX('Tournament Setup'!$G:$G,MATCH($A397,'Tournament Setup'!$A:$A,0))/100,0),0))</f>
      </c>
      <c r="Z397" t="e">
        <f>IF(OR(OR($A397="",$D397=""),F397=""),"",F397-(INT($Y397/18)+IF(INDEX('Tournament Setup'!$AD:$AD,MATCH($A397,'Tournament Setup'!$A:$A,0))&lt;=MOD($Y397,18),1,0)))</f>
      </c>
      <c r="AA397" t="e">
        <f>IF(OR(OR($A397="",$D397=""),G397=""),"",G397-(INT($Y397/18)+IF(INDEX('Tournament Setup'!$AE:$AE,MATCH($A397,'Tournament Setup'!$A:$A,0))&lt;=MOD($Y397,18),1,0)))</f>
      </c>
      <c r="AB397" t="e">
        <f>IF(OR(OR($A397="",$D397=""),H397=""),"",H397-(INT($Y397/18)+IF(INDEX('Tournament Setup'!$AF:$AF,MATCH($A397,'Tournament Setup'!$A:$A,0))&lt;=MOD($Y397,18),1,0)))</f>
      </c>
      <c r="AC397" t="e">
        <f>IF(OR(OR($A397="",$D397=""),I397=""),"",I397-(INT($Y397/18)+IF(INDEX('Tournament Setup'!$AG:$AG,MATCH($A397,'Tournament Setup'!$A:$A,0))&lt;=MOD($Y397,18),1,0)))</f>
      </c>
      <c r="AD397" t="e">
        <f>IF(OR(OR($A397="",$D397=""),J397=""),"",J397-(INT($Y397/18)+IF(INDEX('Tournament Setup'!$AH:$AH,MATCH($A397,'Tournament Setup'!$A:$A,0))&lt;=MOD($Y397,18),1,0)))</f>
      </c>
      <c r="AE397" t="e">
        <f>IF(OR(OR($A397="",$D397=""),K397=""),"",K397-(INT($Y397/18)+IF(INDEX('Tournament Setup'!$AI:$AI,MATCH($A397,'Tournament Setup'!$A:$A,0))&lt;=MOD($Y397,18),1,0)))</f>
      </c>
      <c r="AF397" t="e">
        <f>IF(OR(OR($A397="",$D397=""),L397=""),"",L397-(INT($Y397/18)+IF(INDEX('Tournament Setup'!$AJ:$AJ,MATCH($A397,'Tournament Setup'!$A:$A,0))&lt;=MOD($Y397,18),1,0)))</f>
      </c>
      <c r="AG397" t="e">
        <f>IF(OR(OR($A397="",$D397=""),M397=""),"",M397-(INT($Y397/18)+IF(INDEX('Tournament Setup'!$AK:$AK,MATCH($A397,'Tournament Setup'!$A:$A,0))&lt;=MOD($Y397,18),1,0)))</f>
      </c>
      <c r="AH397" t="e">
        <f>IF(OR(OR($A397="",$D397=""),N397=""),"",N397-(INT($Y397/18)+IF(INDEX('Tournament Setup'!$AL:$AL,MATCH($A397,'Tournament Setup'!$A:$A,0))&lt;=MOD($Y397,18),1,0)))</f>
      </c>
      <c r="AI397" t="e">
        <f>IF(OR(OR($A397="",$D397=""),O397=""),"",O397-(INT($Y397/18)+IF(INDEX('Tournament Setup'!$AM:$AM,MATCH($A397,'Tournament Setup'!$A:$A,0))&lt;=MOD($Y397,18),1,0)))</f>
      </c>
      <c r="AJ397" t="e">
        <f>IF(OR(OR($A397="",$D397=""),P397=""),"",P397-(INT($Y397/18)+IF(INDEX('Tournament Setup'!$AN:$AN,MATCH($A397,'Tournament Setup'!$A:$A,0))&lt;=MOD($Y397,18),1,0)))</f>
      </c>
      <c r="AK397" t="e">
        <f>IF(OR(OR($A397="",$D397=""),Q397=""),"",Q397-(INT($Y397/18)+IF(INDEX('Tournament Setup'!$AO:$AO,MATCH($A397,'Tournament Setup'!$A:$A,0))&lt;=MOD($Y397,18),1,0)))</f>
      </c>
      <c r="AL397" t="e">
        <f>IF(OR(OR($A397="",$D397=""),R397=""),"",R397-(INT($Y397/18)+IF(INDEX('Tournament Setup'!$AP:$AP,MATCH($A397,'Tournament Setup'!$A:$A,0))&lt;=MOD($Y397,18),1,0)))</f>
      </c>
      <c r="AM397" t="e">
        <f>IF(OR(OR($A397="",$D397=""),S397=""),"",S397-(INT($Y397/18)+IF(INDEX('Tournament Setup'!$AQ:$AQ,MATCH($A397,'Tournament Setup'!$A:$A,0))&lt;=MOD($Y397,18),1,0)))</f>
      </c>
      <c r="AN397" t="e">
        <f>IF(OR(OR($A397="",$D397=""),T397=""),"",T397-(INT($Y397/18)+IF(INDEX('Tournament Setup'!$AR:$AR,MATCH($A397,'Tournament Setup'!$A:$A,0))&lt;=MOD($Y397,18),1,0)))</f>
      </c>
      <c r="AO397" t="e">
        <f>IF(OR(OR($A397="",$D397=""),U397=""),"",U397-(INT($Y397/18)+IF(INDEX('Tournament Setup'!$AS:$AS,MATCH($A397,'Tournament Setup'!$A:$A,0))&lt;=MOD($Y397,18),1,0)))</f>
      </c>
      <c r="AP397" t="e">
        <f>IF(OR(OR($A397="",$D397=""),V397=""),"",V397-(INT($Y397/18)+IF(INDEX('Tournament Setup'!$AT:$AT,MATCH($A397,'Tournament Setup'!$A:$A,0))&lt;=MOD($Y397,18),1,0)))</f>
      </c>
      <c r="AQ397" t="e">
        <f>IF(OR(OR($A397="",$D397=""),W397=""),"",W397-(INT($Y397/18)+IF(INDEX('Tournament Setup'!$AU:$AU,MATCH($A397,'Tournament Setup'!$A:$A,0))&lt;=MOD($Y397,18),1,0)))</f>
      </c>
    </row>
    <row r="398">
      <c r="X398" t="e">
        <f>IF(OR($A398="",$D398=""),"",SUM(F398:W398))</f>
      </c>
      <c r="Y398" t="e">
        <f>IF(OR($A398="",$D398=""),"",IF(INDEX('Tournament Setup'!$F:$F,MATCH($A398,'Tournament Setup'!$A:$A,0))="Net",ROUND(($E398-_xlfn.MINIFS($E$2:$E$401,$A$2:$A$401,$A398,$B$2:$B$401,$B398))*INDEX('Tournament Setup'!$G:$G,MATCH($A398,'Tournament Setup'!$A:$A,0))/100,0),0))</f>
      </c>
      <c r="Z398" t="e">
        <f>IF(OR(OR($A398="",$D398=""),F398=""),"",F398-(INT($Y398/18)+IF(INDEX('Tournament Setup'!$AD:$AD,MATCH($A398,'Tournament Setup'!$A:$A,0))&lt;=MOD($Y398,18),1,0)))</f>
      </c>
      <c r="AA398" t="e">
        <f>IF(OR(OR($A398="",$D398=""),G398=""),"",G398-(INT($Y398/18)+IF(INDEX('Tournament Setup'!$AE:$AE,MATCH($A398,'Tournament Setup'!$A:$A,0))&lt;=MOD($Y398,18),1,0)))</f>
      </c>
      <c r="AB398" t="e">
        <f>IF(OR(OR($A398="",$D398=""),H398=""),"",H398-(INT($Y398/18)+IF(INDEX('Tournament Setup'!$AF:$AF,MATCH($A398,'Tournament Setup'!$A:$A,0))&lt;=MOD($Y398,18),1,0)))</f>
      </c>
      <c r="AC398" t="e">
        <f>IF(OR(OR($A398="",$D398=""),I398=""),"",I398-(INT($Y398/18)+IF(INDEX('Tournament Setup'!$AG:$AG,MATCH($A398,'Tournament Setup'!$A:$A,0))&lt;=MOD($Y398,18),1,0)))</f>
      </c>
      <c r="AD398" t="e">
        <f>IF(OR(OR($A398="",$D398=""),J398=""),"",J398-(INT($Y398/18)+IF(INDEX('Tournament Setup'!$AH:$AH,MATCH($A398,'Tournament Setup'!$A:$A,0))&lt;=MOD($Y398,18),1,0)))</f>
      </c>
      <c r="AE398" t="e">
        <f>IF(OR(OR($A398="",$D398=""),K398=""),"",K398-(INT($Y398/18)+IF(INDEX('Tournament Setup'!$AI:$AI,MATCH($A398,'Tournament Setup'!$A:$A,0))&lt;=MOD($Y398,18),1,0)))</f>
      </c>
      <c r="AF398" t="e">
        <f>IF(OR(OR($A398="",$D398=""),L398=""),"",L398-(INT($Y398/18)+IF(INDEX('Tournament Setup'!$AJ:$AJ,MATCH($A398,'Tournament Setup'!$A:$A,0))&lt;=MOD($Y398,18),1,0)))</f>
      </c>
      <c r="AG398" t="e">
        <f>IF(OR(OR($A398="",$D398=""),M398=""),"",M398-(INT($Y398/18)+IF(INDEX('Tournament Setup'!$AK:$AK,MATCH($A398,'Tournament Setup'!$A:$A,0))&lt;=MOD($Y398,18),1,0)))</f>
      </c>
      <c r="AH398" t="e">
        <f>IF(OR(OR($A398="",$D398=""),N398=""),"",N398-(INT($Y398/18)+IF(INDEX('Tournament Setup'!$AL:$AL,MATCH($A398,'Tournament Setup'!$A:$A,0))&lt;=MOD($Y398,18),1,0)))</f>
      </c>
      <c r="AI398" t="e">
        <f>IF(OR(OR($A398="",$D398=""),O398=""),"",O398-(INT($Y398/18)+IF(INDEX('Tournament Setup'!$AM:$AM,MATCH($A398,'Tournament Setup'!$A:$A,0))&lt;=MOD($Y398,18),1,0)))</f>
      </c>
      <c r="AJ398" t="e">
        <f>IF(OR(OR($A398="",$D398=""),P398=""),"",P398-(INT($Y398/18)+IF(INDEX('Tournament Setup'!$AN:$AN,MATCH($A398,'Tournament Setup'!$A:$A,0))&lt;=MOD($Y398,18),1,0)))</f>
      </c>
      <c r="AK398" t="e">
        <f>IF(OR(OR($A398="",$D398=""),Q398=""),"",Q398-(INT($Y398/18)+IF(INDEX('Tournament Setup'!$AO:$AO,MATCH($A398,'Tournament Setup'!$A:$A,0))&lt;=MOD($Y398,18),1,0)))</f>
      </c>
      <c r="AL398" t="e">
        <f>IF(OR(OR($A398="",$D398=""),R398=""),"",R398-(INT($Y398/18)+IF(INDEX('Tournament Setup'!$AP:$AP,MATCH($A398,'Tournament Setup'!$A:$A,0))&lt;=MOD($Y398,18),1,0)))</f>
      </c>
      <c r="AM398" t="e">
        <f>IF(OR(OR($A398="",$D398=""),S398=""),"",S398-(INT($Y398/18)+IF(INDEX('Tournament Setup'!$AQ:$AQ,MATCH($A398,'Tournament Setup'!$A:$A,0))&lt;=MOD($Y398,18),1,0)))</f>
      </c>
      <c r="AN398" t="e">
        <f>IF(OR(OR($A398="",$D398=""),T398=""),"",T398-(INT($Y398/18)+IF(INDEX('Tournament Setup'!$AR:$AR,MATCH($A398,'Tournament Setup'!$A:$A,0))&lt;=MOD($Y398,18),1,0)))</f>
      </c>
      <c r="AO398" t="e">
        <f>IF(OR(OR($A398="",$D398=""),U398=""),"",U398-(INT($Y398/18)+IF(INDEX('Tournament Setup'!$AS:$AS,MATCH($A398,'Tournament Setup'!$A:$A,0))&lt;=MOD($Y398,18),1,0)))</f>
      </c>
      <c r="AP398" t="e">
        <f>IF(OR(OR($A398="",$D398=""),V398=""),"",V398-(INT($Y398/18)+IF(INDEX('Tournament Setup'!$AT:$AT,MATCH($A398,'Tournament Setup'!$A:$A,0))&lt;=MOD($Y398,18),1,0)))</f>
      </c>
      <c r="AQ398" t="e">
        <f>IF(OR(OR($A398="",$D398=""),W398=""),"",W398-(INT($Y398/18)+IF(INDEX('Tournament Setup'!$AU:$AU,MATCH($A398,'Tournament Setup'!$A:$A,0))&lt;=MOD($Y398,18),1,0)))</f>
      </c>
    </row>
    <row r="399">
      <c r="X399" t="e">
        <f>IF(OR($A399="",$D399=""),"",SUM(F399:W399))</f>
      </c>
      <c r="Y399" t="e">
        <f>IF(OR($A399="",$D399=""),"",IF(INDEX('Tournament Setup'!$F:$F,MATCH($A399,'Tournament Setup'!$A:$A,0))="Net",ROUND(($E399-_xlfn.MINIFS($E$2:$E$401,$A$2:$A$401,$A399,$B$2:$B$401,$B399))*INDEX('Tournament Setup'!$G:$G,MATCH($A399,'Tournament Setup'!$A:$A,0))/100,0),0))</f>
      </c>
      <c r="Z399" t="e">
        <f>IF(OR(OR($A399="",$D399=""),F399=""),"",F399-(INT($Y399/18)+IF(INDEX('Tournament Setup'!$AD:$AD,MATCH($A399,'Tournament Setup'!$A:$A,0))&lt;=MOD($Y399,18),1,0)))</f>
      </c>
      <c r="AA399" t="e">
        <f>IF(OR(OR($A399="",$D399=""),G399=""),"",G399-(INT($Y399/18)+IF(INDEX('Tournament Setup'!$AE:$AE,MATCH($A399,'Tournament Setup'!$A:$A,0))&lt;=MOD($Y399,18),1,0)))</f>
      </c>
      <c r="AB399" t="e">
        <f>IF(OR(OR($A399="",$D399=""),H399=""),"",H399-(INT($Y399/18)+IF(INDEX('Tournament Setup'!$AF:$AF,MATCH($A399,'Tournament Setup'!$A:$A,0))&lt;=MOD($Y399,18),1,0)))</f>
      </c>
      <c r="AC399" t="e">
        <f>IF(OR(OR($A399="",$D399=""),I399=""),"",I399-(INT($Y399/18)+IF(INDEX('Tournament Setup'!$AG:$AG,MATCH($A399,'Tournament Setup'!$A:$A,0))&lt;=MOD($Y399,18),1,0)))</f>
      </c>
      <c r="AD399" t="e">
        <f>IF(OR(OR($A399="",$D399=""),J399=""),"",J399-(INT($Y399/18)+IF(INDEX('Tournament Setup'!$AH:$AH,MATCH($A399,'Tournament Setup'!$A:$A,0))&lt;=MOD($Y399,18),1,0)))</f>
      </c>
      <c r="AE399" t="e">
        <f>IF(OR(OR($A399="",$D399=""),K399=""),"",K399-(INT($Y399/18)+IF(INDEX('Tournament Setup'!$AI:$AI,MATCH($A399,'Tournament Setup'!$A:$A,0))&lt;=MOD($Y399,18),1,0)))</f>
      </c>
      <c r="AF399" t="e">
        <f>IF(OR(OR($A399="",$D399=""),L399=""),"",L399-(INT($Y399/18)+IF(INDEX('Tournament Setup'!$AJ:$AJ,MATCH($A399,'Tournament Setup'!$A:$A,0))&lt;=MOD($Y399,18),1,0)))</f>
      </c>
      <c r="AG399" t="e">
        <f>IF(OR(OR($A399="",$D399=""),M399=""),"",M399-(INT($Y399/18)+IF(INDEX('Tournament Setup'!$AK:$AK,MATCH($A399,'Tournament Setup'!$A:$A,0))&lt;=MOD($Y399,18),1,0)))</f>
      </c>
      <c r="AH399" t="e">
        <f>IF(OR(OR($A399="",$D399=""),N399=""),"",N399-(INT($Y399/18)+IF(INDEX('Tournament Setup'!$AL:$AL,MATCH($A399,'Tournament Setup'!$A:$A,0))&lt;=MOD($Y399,18),1,0)))</f>
      </c>
      <c r="AI399" t="e">
        <f>IF(OR(OR($A399="",$D399=""),O399=""),"",O399-(INT($Y399/18)+IF(INDEX('Tournament Setup'!$AM:$AM,MATCH($A399,'Tournament Setup'!$A:$A,0))&lt;=MOD($Y399,18),1,0)))</f>
      </c>
      <c r="AJ399" t="e">
        <f>IF(OR(OR($A399="",$D399=""),P399=""),"",P399-(INT($Y399/18)+IF(INDEX('Tournament Setup'!$AN:$AN,MATCH($A399,'Tournament Setup'!$A:$A,0))&lt;=MOD($Y399,18),1,0)))</f>
      </c>
      <c r="AK399" t="e">
        <f>IF(OR(OR($A399="",$D399=""),Q399=""),"",Q399-(INT($Y399/18)+IF(INDEX('Tournament Setup'!$AO:$AO,MATCH($A399,'Tournament Setup'!$A:$A,0))&lt;=MOD($Y399,18),1,0)))</f>
      </c>
      <c r="AL399" t="e">
        <f>IF(OR(OR($A399="",$D399=""),R399=""),"",R399-(INT($Y399/18)+IF(INDEX('Tournament Setup'!$AP:$AP,MATCH($A399,'Tournament Setup'!$A:$A,0))&lt;=MOD($Y399,18),1,0)))</f>
      </c>
      <c r="AM399" t="e">
        <f>IF(OR(OR($A399="",$D399=""),S399=""),"",S399-(INT($Y399/18)+IF(INDEX('Tournament Setup'!$AQ:$AQ,MATCH($A399,'Tournament Setup'!$A:$A,0))&lt;=MOD($Y399,18),1,0)))</f>
      </c>
      <c r="AN399" t="e">
        <f>IF(OR(OR($A399="",$D399=""),T399=""),"",T399-(INT($Y399/18)+IF(INDEX('Tournament Setup'!$AR:$AR,MATCH($A399,'Tournament Setup'!$A:$A,0))&lt;=MOD($Y399,18),1,0)))</f>
      </c>
      <c r="AO399" t="e">
        <f>IF(OR(OR($A399="",$D399=""),U399=""),"",U399-(INT($Y399/18)+IF(INDEX('Tournament Setup'!$AS:$AS,MATCH($A399,'Tournament Setup'!$A:$A,0))&lt;=MOD($Y399,18),1,0)))</f>
      </c>
      <c r="AP399" t="e">
        <f>IF(OR(OR($A399="",$D399=""),V399=""),"",V399-(INT($Y399/18)+IF(INDEX('Tournament Setup'!$AT:$AT,MATCH($A399,'Tournament Setup'!$A:$A,0))&lt;=MOD($Y399,18),1,0)))</f>
      </c>
      <c r="AQ399" t="e">
        <f>IF(OR(OR($A399="",$D399=""),W399=""),"",W399-(INT($Y399/18)+IF(INDEX('Tournament Setup'!$AU:$AU,MATCH($A399,'Tournament Setup'!$A:$A,0))&lt;=MOD($Y399,18),1,0)))</f>
      </c>
    </row>
    <row r="400">
      <c r="X400" t="e">
        <f>IF(OR($A400="",$D400=""),"",SUM(F400:W400))</f>
      </c>
      <c r="Y400" t="e">
        <f>IF(OR($A400="",$D400=""),"",IF(INDEX('Tournament Setup'!$F:$F,MATCH($A400,'Tournament Setup'!$A:$A,0))="Net",ROUND(($E400-_xlfn.MINIFS($E$2:$E$401,$A$2:$A$401,$A400,$B$2:$B$401,$B400))*INDEX('Tournament Setup'!$G:$G,MATCH($A400,'Tournament Setup'!$A:$A,0))/100,0),0))</f>
      </c>
      <c r="Z400" t="e">
        <f>IF(OR(OR($A400="",$D400=""),F400=""),"",F400-(INT($Y400/18)+IF(INDEX('Tournament Setup'!$AD:$AD,MATCH($A400,'Tournament Setup'!$A:$A,0))&lt;=MOD($Y400,18),1,0)))</f>
      </c>
      <c r="AA400" t="e">
        <f>IF(OR(OR($A400="",$D400=""),G400=""),"",G400-(INT($Y400/18)+IF(INDEX('Tournament Setup'!$AE:$AE,MATCH($A400,'Tournament Setup'!$A:$A,0))&lt;=MOD($Y400,18),1,0)))</f>
      </c>
      <c r="AB400" t="e">
        <f>IF(OR(OR($A400="",$D400=""),H400=""),"",H400-(INT($Y400/18)+IF(INDEX('Tournament Setup'!$AF:$AF,MATCH($A400,'Tournament Setup'!$A:$A,0))&lt;=MOD($Y400,18),1,0)))</f>
      </c>
      <c r="AC400" t="e">
        <f>IF(OR(OR($A400="",$D400=""),I400=""),"",I400-(INT($Y400/18)+IF(INDEX('Tournament Setup'!$AG:$AG,MATCH($A400,'Tournament Setup'!$A:$A,0))&lt;=MOD($Y400,18),1,0)))</f>
      </c>
      <c r="AD400" t="e">
        <f>IF(OR(OR($A400="",$D400=""),J400=""),"",J400-(INT($Y400/18)+IF(INDEX('Tournament Setup'!$AH:$AH,MATCH($A400,'Tournament Setup'!$A:$A,0))&lt;=MOD($Y400,18),1,0)))</f>
      </c>
      <c r="AE400" t="e">
        <f>IF(OR(OR($A400="",$D400=""),K400=""),"",K400-(INT($Y400/18)+IF(INDEX('Tournament Setup'!$AI:$AI,MATCH($A400,'Tournament Setup'!$A:$A,0))&lt;=MOD($Y400,18),1,0)))</f>
      </c>
      <c r="AF400" t="e">
        <f>IF(OR(OR($A400="",$D400=""),L400=""),"",L400-(INT($Y400/18)+IF(INDEX('Tournament Setup'!$AJ:$AJ,MATCH($A400,'Tournament Setup'!$A:$A,0))&lt;=MOD($Y400,18),1,0)))</f>
      </c>
      <c r="AG400" t="e">
        <f>IF(OR(OR($A400="",$D400=""),M400=""),"",M400-(INT($Y400/18)+IF(INDEX('Tournament Setup'!$AK:$AK,MATCH($A400,'Tournament Setup'!$A:$A,0))&lt;=MOD($Y400,18),1,0)))</f>
      </c>
      <c r="AH400" t="e">
        <f>IF(OR(OR($A400="",$D400=""),N400=""),"",N400-(INT($Y400/18)+IF(INDEX('Tournament Setup'!$AL:$AL,MATCH($A400,'Tournament Setup'!$A:$A,0))&lt;=MOD($Y400,18),1,0)))</f>
      </c>
      <c r="AI400" t="e">
        <f>IF(OR(OR($A400="",$D400=""),O400=""),"",O400-(INT($Y400/18)+IF(INDEX('Tournament Setup'!$AM:$AM,MATCH($A400,'Tournament Setup'!$A:$A,0))&lt;=MOD($Y400,18),1,0)))</f>
      </c>
      <c r="AJ400" t="e">
        <f>IF(OR(OR($A400="",$D400=""),P400=""),"",P400-(INT($Y400/18)+IF(INDEX('Tournament Setup'!$AN:$AN,MATCH($A400,'Tournament Setup'!$A:$A,0))&lt;=MOD($Y400,18),1,0)))</f>
      </c>
      <c r="AK400" t="e">
        <f>IF(OR(OR($A400="",$D400=""),Q400=""),"",Q400-(INT($Y400/18)+IF(INDEX('Tournament Setup'!$AO:$AO,MATCH($A400,'Tournament Setup'!$A:$A,0))&lt;=MOD($Y400,18),1,0)))</f>
      </c>
      <c r="AL400" t="e">
        <f>IF(OR(OR($A400="",$D400=""),R400=""),"",R400-(INT($Y400/18)+IF(INDEX('Tournament Setup'!$AP:$AP,MATCH($A400,'Tournament Setup'!$A:$A,0))&lt;=MOD($Y400,18),1,0)))</f>
      </c>
      <c r="AM400" t="e">
        <f>IF(OR(OR($A400="",$D400=""),S400=""),"",S400-(INT($Y400/18)+IF(INDEX('Tournament Setup'!$AQ:$AQ,MATCH($A400,'Tournament Setup'!$A:$A,0))&lt;=MOD($Y400,18),1,0)))</f>
      </c>
      <c r="AN400" t="e">
        <f>IF(OR(OR($A400="",$D400=""),T400=""),"",T400-(INT($Y400/18)+IF(INDEX('Tournament Setup'!$AR:$AR,MATCH($A400,'Tournament Setup'!$A:$A,0))&lt;=MOD($Y400,18),1,0)))</f>
      </c>
      <c r="AO400" t="e">
        <f>IF(OR(OR($A400="",$D400=""),U400=""),"",U400-(INT($Y400/18)+IF(INDEX('Tournament Setup'!$AS:$AS,MATCH($A400,'Tournament Setup'!$A:$A,0))&lt;=MOD($Y400,18),1,0)))</f>
      </c>
      <c r="AP400" t="e">
        <f>IF(OR(OR($A400="",$D400=""),V400=""),"",V400-(INT($Y400/18)+IF(INDEX('Tournament Setup'!$AT:$AT,MATCH($A400,'Tournament Setup'!$A:$A,0))&lt;=MOD($Y400,18),1,0)))</f>
      </c>
      <c r="AQ400" t="e">
        <f>IF(OR(OR($A400="",$D400=""),W400=""),"",W400-(INT($Y400/18)+IF(INDEX('Tournament Setup'!$AU:$AU,MATCH($A400,'Tournament Setup'!$A:$A,0))&lt;=MOD($Y400,18),1,0)))</f>
      </c>
    </row>
    <row r="401">
      <c r="X401" t="e">
        <f>IF(OR($A401="",$D401=""),"",SUM(F401:W401))</f>
      </c>
      <c r="Y401" t="e">
        <f>IF(OR($A401="",$D401=""),"",IF(INDEX('Tournament Setup'!$F:$F,MATCH($A401,'Tournament Setup'!$A:$A,0))="Net",ROUND(($E401-_xlfn.MINIFS($E$2:$E$401,$A$2:$A$401,$A401,$B$2:$B$401,$B401))*INDEX('Tournament Setup'!$G:$G,MATCH($A401,'Tournament Setup'!$A:$A,0))/100,0),0))</f>
      </c>
      <c r="Z401" t="e">
        <f>IF(OR(OR($A401="",$D401=""),F401=""),"",F401-(INT($Y401/18)+IF(INDEX('Tournament Setup'!$AD:$AD,MATCH($A401,'Tournament Setup'!$A:$A,0))&lt;=MOD($Y401,18),1,0)))</f>
      </c>
      <c r="AA401" t="e">
        <f>IF(OR(OR($A401="",$D401=""),G401=""),"",G401-(INT($Y401/18)+IF(INDEX('Tournament Setup'!$AE:$AE,MATCH($A401,'Tournament Setup'!$A:$A,0))&lt;=MOD($Y401,18),1,0)))</f>
      </c>
      <c r="AB401" t="e">
        <f>IF(OR(OR($A401="",$D401=""),H401=""),"",H401-(INT($Y401/18)+IF(INDEX('Tournament Setup'!$AF:$AF,MATCH($A401,'Tournament Setup'!$A:$A,0))&lt;=MOD($Y401,18),1,0)))</f>
      </c>
      <c r="AC401" t="e">
        <f>IF(OR(OR($A401="",$D401=""),I401=""),"",I401-(INT($Y401/18)+IF(INDEX('Tournament Setup'!$AG:$AG,MATCH($A401,'Tournament Setup'!$A:$A,0))&lt;=MOD($Y401,18),1,0)))</f>
      </c>
      <c r="AD401" t="e">
        <f>IF(OR(OR($A401="",$D401=""),J401=""),"",J401-(INT($Y401/18)+IF(INDEX('Tournament Setup'!$AH:$AH,MATCH($A401,'Tournament Setup'!$A:$A,0))&lt;=MOD($Y401,18),1,0)))</f>
      </c>
      <c r="AE401" t="e">
        <f>IF(OR(OR($A401="",$D401=""),K401=""),"",K401-(INT($Y401/18)+IF(INDEX('Tournament Setup'!$AI:$AI,MATCH($A401,'Tournament Setup'!$A:$A,0))&lt;=MOD($Y401,18),1,0)))</f>
      </c>
      <c r="AF401" t="e">
        <f>IF(OR(OR($A401="",$D401=""),L401=""),"",L401-(INT($Y401/18)+IF(INDEX('Tournament Setup'!$AJ:$AJ,MATCH($A401,'Tournament Setup'!$A:$A,0))&lt;=MOD($Y401,18),1,0)))</f>
      </c>
      <c r="AG401" t="e">
        <f>IF(OR(OR($A401="",$D401=""),M401=""),"",M401-(INT($Y401/18)+IF(INDEX('Tournament Setup'!$AK:$AK,MATCH($A401,'Tournament Setup'!$A:$A,0))&lt;=MOD($Y401,18),1,0)))</f>
      </c>
      <c r="AH401" t="e">
        <f>IF(OR(OR($A401="",$D401=""),N401=""),"",N401-(INT($Y401/18)+IF(INDEX('Tournament Setup'!$AL:$AL,MATCH($A401,'Tournament Setup'!$A:$A,0))&lt;=MOD($Y401,18),1,0)))</f>
      </c>
      <c r="AI401" t="e">
        <f>IF(OR(OR($A401="",$D401=""),O401=""),"",O401-(INT($Y401/18)+IF(INDEX('Tournament Setup'!$AM:$AM,MATCH($A401,'Tournament Setup'!$A:$A,0))&lt;=MOD($Y401,18),1,0)))</f>
      </c>
      <c r="AJ401" t="e">
        <f>IF(OR(OR($A401="",$D401=""),P401=""),"",P401-(INT($Y401/18)+IF(INDEX('Tournament Setup'!$AN:$AN,MATCH($A401,'Tournament Setup'!$A:$A,0))&lt;=MOD($Y401,18),1,0)))</f>
      </c>
      <c r="AK401" t="e">
        <f>IF(OR(OR($A401="",$D401=""),Q401=""),"",Q401-(INT($Y401/18)+IF(INDEX('Tournament Setup'!$AO:$AO,MATCH($A401,'Tournament Setup'!$A:$A,0))&lt;=MOD($Y401,18),1,0)))</f>
      </c>
      <c r="AL401" t="e">
        <f>IF(OR(OR($A401="",$D401=""),R401=""),"",R401-(INT($Y401/18)+IF(INDEX('Tournament Setup'!$AP:$AP,MATCH($A401,'Tournament Setup'!$A:$A,0))&lt;=MOD($Y401,18),1,0)))</f>
      </c>
      <c r="AM401" t="e">
        <f>IF(OR(OR($A401="",$D401=""),S401=""),"",S401-(INT($Y401/18)+IF(INDEX('Tournament Setup'!$AQ:$AQ,MATCH($A401,'Tournament Setup'!$A:$A,0))&lt;=MOD($Y401,18),1,0)))</f>
      </c>
      <c r="AN401" t="e">
        <f>IF(OR(OR($A401="",$D401=""),T401=""),"",T401-(INT($Y401/18)+IF(INDEX('Tournament Setup'!$AR:$AR,MATCH($A401,'Tournament Setup'!$A:$A,0))&lt;=MOD($Y401,18),1,0)))</f>
      </c>
      <c r="AO401" t="e">
        <f>IF(OR(OR($A401="",$D401=""),U401=""),"",U401-(INT($Y401/18)+IF(INDEX('Tournament Setup'!$AS:$AS,MATCH($A401,'Tournament Setup'!$A:$A,0))&lt;=MOD($Y401,18),1,0)))</f>
      </c>
      <c r="AP401" t="e">
        <f>IF(OR(OR($A401="",$D401=""),V401=""),"",V401-(INT($Y401/18)+IF(INDEX('Tournament Setup'!$AT:$AT,MATCH($A401,'Tournament Setup'!$A:$A,0))&lt;=MOD($Y401,18),1,0)))</f>
      </c>
      <c r="AQ401" t="e">
        <f>IF(OR(OR($A401="",$D401=""),W401=""),"",W401-(INT($Y401/18)+IF(INDEX('Tournament Setup'!$AU:$AU,MATCH($A401,'Tournament Setup'!$A:$A,0))&lt;=MOD($Y401,18),1,0)))</f>
      </c>
    </row>
  </sheetData>
  <ignoredErrors>
    <ignoredError numberStoredAsText="1" sqref="A1:AQ4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M8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6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  <col min="35" max="35" width="7.83203125" customWidth="1"/>
    <col min="36" max="36" width="7.83203125" customWidth="1"/>
    <col min="37" max="37" width="7.83203125" customWidth="1"/>
    <col min="38" max="38" width="7.83203125" customWidth="1"/>
    <col min="39" max="39" width="7.83203125" customWidth="1"/>
    <col min="40" max="40" width="7.83203125" customWidth="1"/>
    <col min="41" max="41" width="7.83203125" customWidth="1"/>
    <col min="42" max="42" width="7.83203125" customWidth="1"/>
    <col min="43" max="43" width="7.83203125" customWidth="1"/>
    <col min="44" max="44" width="7.83203125" customWidth="1"/>
    <col min="45" max="45" width="7.83203125" customWidth="1"/>
    <col min="46" max="46" width="7.83203125" customWidth="1"/>
    <col min="47" max="47" width="7.83203125" customWidth="1"/>
    <col min="48" max="48" width="7.83203125" customWidth="1"/>
    <col min="49" max="49" width="7.83203125" customWidth="1"/>
    <col min="50" max="50" width="7.83203125" customWidth="1"/>
    <col min="51" max="51" width="7.83203125" customWidth="1"/>
    <col min="52" max="52" width="7.83203125" customWidth="1"/>
    <col min="53" max="53" width="7.83203125" customWidth="1"/>
    <col min="54" max="54" width="7.83203125" customWidth="1"/>
    <col min="55" max="55" width="7.83203125" customWidth="1"/>
    <col min="56" max="56" width="7.83203125" customWidth="1"/>
    <col min="57" max="57" width="7.83203125" customWidth="1"/>
    <col min="58" max="58" width="7.83203125" customWidth="1"/>
    <col min="59" max="59" width="7.83203125" customWidth="1"/>
    <col min="60" max="60" width="7.83203125" customWidth="1"/>
    <col min="61" max="61" width="7.83203125" customWidth="1"/>
    <col min="62" max="62" width="7.83203125" customWidth="1"/>
    <col min="63" max="63" width="7.83203125" customWidth="1"/>
    <col min="64" max="64" width="7.83203125" customWidth="1"/>
    <col min="65" max="65" width="7.83203125" customWidth="1"/>
  </cols>
  <sheetData>
    <row r="1">
      <c r="A1" t="str">
        <v>Round</v>
      </c>
      <c r="B1" t="str">
        <v>Match</v>
      </c>
      <c r="C1" t="str">
        <v>Team A</v>
      </c>
      <c r="D1" t="str">
        <v>Team B</v>
      </c>
      <c r="E1" t="str">
        <v>Result</v>
      </c>
      <c r="F1" t="str">
        <v>Team A Points</v>
      </c>
      <c r="G1" t="str">
        <v>Team B Points</v>
      </c>
      <c r="H1" t="str">
        <v>Front 9 (+ = Team A)</v>
      </c>
      <c r="I1" t="str">
        <v>Back 9 (+ = Team A)</v>
      </c>
      <c r="J1" t="str">
        <v>18 Holes (+ = Team A)</v>
      </c>
      <c r="K1" t="str">
        <v>Closed Out On Hole</v>
      </c>
      <c r="L1" t="str">
        <v>Hole 1 (+1 A / -1 B)</v>
      </c>
      <c r="M1" t="str">
        <v>Hole 2 (+1 A / -1 B)</v>
      </c>
      <c r="N1" t="str">
        <v>Hole 3 (+1 A / -1 B)</v>
      </c>
      <c r="O1" t="str">
        <v>Hole 4 (+1 A / -1 B)</v>
      </c>
      <c r="P1" t="str">
        <v>Hole 5 (+1 A / -1 B)</v>
      </c>
      <c r="Q1" t="str">
        <v>Hole 6 (+1 A / -1 B)</v>
      </c>
      <c r="R1" t="str">
        <v>Hole 7 (+1 A / -1 B)</v>
      </c>
      <c r="S1" t="str">
        <v>Hole 8 (+1 A / -1 B)</v>
      </c>
      <c r="T1" t="str">
        <v>Hole 9 (+1 A / -1 B)</v>
      </c>
      <c r="U1" t="str">
        <v>Hole 10 (+1 A / -1 B)</v>
      </c>
      <c r="V1" t="str">
        <v>Hole 11 (+1 A / -1 B)</v>
      </c>
      <c r="W1" t="str">
        <v>Hole 12 (+1 A / -1 B)</v>
      </c>
      <c r="X1" t="str">
        <v>Hole 13 (+1 A / -1 B)</v>
      </c>
      <c r="Y1" t="str">
        <v>Hole 14 (+1 A / -1 B)</v>
      </c>
      <c r="Z1" t="str">
        <v>Hole 15 (+1 A / -1 B)</v>
      </c>
      <c r="AA1" t="str">
        <v>Hole 16 (+1 A / -1 B)</v>
      </c>
      <c r="AB1" t="str">
        <v>Hole 17 (+1 A / -1 B)</v>
      </c>
      <c r="AC1" t="str">
        <v>Hole 18 (+1 A / -1 B)</v>
      </c>
      <c r="AD1" t="str">
        <v>After 1</v>
      </c>
      <c r="AE1" t="str">
        <v>After 2</v>
      </c>
      <c r="AF1" t="str">
        <v>After 3</v>
      </c>
      <c r="AG1" t="str">
        <v>After 4</v>
      </c>
      <c r="AH1" t="str">
        <v>After 5</v>
      </c>
      <c r="AI1" t="str">
        <v>After 6</v>
      </c>
      <c r="AJ1" t="str">
        <v>After 7</v>
      </c>
      <c r="AK1" t="str">
        <v>After 8</v>
      </c>
      <c r="AL1" t="str">
        <v>After 9</v>
      </c>
      <c r="AM1" t="str">
        <v>After 10</v>
      </c>
      <c r="AN1" t="str">
        <v>After 11</v>
      </c>
      <c r="AO1" t="str">
        <v>After 12</v>
      </c>
      <c r="AP1" t="str">
        <v>After 13</v>
      </c>
      <c r="AQ1" t="str">
        <v>After 14</v>
      </c>
      <c r="AR1" t="str">
        <v>After 15</v>
      </c>
      <c r="AS1" t="str">
        <v>After 16</v>
      </c>
      <c r="AT1" t="str">
        <v>After 17</v>
      </c>
      <c r="AU1" t="str">
        <v>After 18</v>
      </c>
      <c r="AV1" t="str">
        <v>Closed 1</v>
      </c>
      <c r="AW1" t="str">
        <v>Closed 2</v>
      </c>
      <c r="AX1" t="str">
        <v>Closed 3</v>
      </c>
      <c r="AY1" t="str">
        <v>Closed 4</v>
      </c>
      <c r="AZ1" t="str">
        <v>Closed 5</v>
      </c>
      <c r="BA1" t="str">
        <v>Closed 6</v>
      </c>
      <c r="BB1" t="str">
        <v>Closed 7</v>
      </c>
      <c r="BC1" t="str">
        <v>Closed 8</v>
      </c>
      <c r="BD1" t="str">
        <v>Closed 9</v>
      </c>
      <c r="BE1" t="str">
        <v>Closed 10</v>
      </c>
      <c r="BF1" t="str">
        <v>Closed 11</v>
      </c>
      <c r="BG1" t="str">
        <v>Closed 12</v>
      </c>
      <c r="BH1" t="str">
        <v>Closed 13</v>
      </c>
      <c r="BI1" t="str">
        <v>Closed 14</v>
      </c>
      <c r="BJ1" t="str">
        <v>Closed 15</v>
      </c>
      <c r="BK1" t="str">
        <v>Closed 16</v>
      </c>
      <c r="BL1" t="str">
        <v>Closed 17</v>
      </c>
      <c r="BM1" t="str">
        <v>Closed 18</v>
      </c>
    </row>
    <row r="2">
      <c r="A2">
        <v>1</v>
      </c>
      <c r="B2">
        <v>1</v>
      </c>
      <c r="C2" t="str">
        <f>IF($A2="","",INDEX('Tournament Setup'!$J:$J,MATCH($A2,'Tournament Setup'!$A:$A,0)))</f>
        <v/>
      </c>
      <c r="D2" t="str">
        <f>IF($A2="","",INDEX('Tournament Setup'!$K:$K,MATCH($A2,'Tournament Setup'!$A:$A,0)))</f>
        <v/>
      </c>
      <c r="E2" t="str">
        <f>IF($A2="","",IF(COUNT(L2:AC2)=0,"Not played",IF(AND($K2&gt;0,$K2&lt;18),IF(INDEX(AD2:AU2,1,$K2)&gt;0,$C2,$D2)&amp;" "&amp;ABS(INDEX(AD2:AU2,1,$K2))&amp;"&amp;"&amp;(18-$K2),IF($J2=0,"Halved (AS)",IF($J2&gt;0,$C2,$D2)&amp;" "&amp;ABS($J2)&amp;" UP"))))</f>
        <v/>
      </c>
      <c r="F2" t="e">
        <f>IF(OR($A2="",COUNT(L2:AC2)=0),"",INDEX('Tournament Setup'!$I:$I,MATCH($A2,'Tournament Setup'!$A:$A,0))*IF(INDEX('Tournament Setup'!$H:$H,MATCH($A2,'Tournament Setup'!$A:$A,0))="Yes",IF($H2&gt;0,1,IF($H2=0,0.5,0))+IF($I2&gt;0,1,IF($I2=0,0.5,0))+IF($J2&gt;0,1,IF($J2=0,0.5,0)),IF(IF(AND($K2&gt;0,$K2&lt;18),INDEX(AD2:AU2,1,$K2),$J2)&gt;0,1,IF(IF(AND($K2&gt;0,$K2&lt;18),INDEX(AD2:AU2,1,$K2),$J2)=0,0.5,0))))</f>
      </c>
      <c r="G2" t="e">
        <f>IF(OR($A2="",COUNT(L2:AC2)=0),"",INDEX('Tournament Setup'!$I:$I,MATCH($A2,'Tournament Setup'!$A:$A,0))*IF(INDEX('Tournament Setup'!$H:$H,MATCH($A2,'Tournament Setup'!$A:$A,0))="Yes",IF($H2&lt;0,1,IF($H2=0,0.5,0))+IF($I2&lt;0,1,IF($I2=0,0.5,0))+IF($J2&lt;0,1,IF($J2=0,0.5,0)),IF(IF(AND($K2&gt;0,$K2&lt;18),INDEX(AD2:AU2,1,$K2),$J2)&lt;0,1,IF(IF(AND($K2&gt;0,$K2&lt;18),INDEX(AD2:AU2,1,$K2),$J2)=0,0.5,0))))</f>
      </c>
      <c r="H2" t="e">
        <f>IF($A2="","",SUM(L2:T2))</f>
      </c>
      <c r="I2" t="e">
        <f>IF($A2="","",SUM(U2:AC2))</f>
      </c>
      <c r="J2" t="e">
        <f>IF($A2="","",SUM(L2:AC2))</f>
      </c>
      <c r="K2" t="e">
        <f>IF($A2="","",MIN(AV2:BM2))</f>
      </c>
      <c r="L2" t="e">
        <f>IF($A2="","",IF(COUNTIFS('Player Rounds'!$A$2:$A$401,$A2,'Player Rounds'!$B$2:$B$401,$B2,'Player Rounds'!$F$2:$F$401,"&gt;0")=0,"",SIGN(_xlfn.MINIFS('Player Rounds'!$Z$2:$Z$401,'Player Rounds'!$A$2:$A$401,$A2,'Player Rounds'!$B$2:$B$401,$B2,'Player Rounds'!$C$2:$C$401,$D2)-_xlfn.MINIFS('Player Rounds'!$Z$2:$Z$401,'Player Rounds'!$A$2:$A$401,$A2,'Player Rounds'!$B$2:$B$401,$B2,'Player Rounds'!$C$2:$C$401,$C2))))</f>
      </c>
      <c r="M2" t="e">
        <f>IF($A2="","",IF(COUNTIFS('Player Rounds'!$A$2:$A$401,$A2,'Player Rounds'!$B$2:$B$401,$B2,'Player Rounds'!$G$2:$G$401,"&gt;0")=0,"",SIGN(_xlfn.MINIFS('Player Rounds'!$AA$2:$AA$401,'Player Rounds'!$A$2:$A$401,$A2,'Player Rounds'!$B$2:$B$401,$B2,'Player Rounds'!$C$2:$C$401,$D2)-_xlfn.MINIFS('Player Rounds'!$AA$2:$AA$401,'Player Rounds'!$A$2:$A$401,$A2,'Player Rounds'!$B$2:$B$401,$B2,'Player Rounds'!$C$2:$C$401,$C2))))</f>
      </c>
      <c r="N2" t="e">
        <f>IF($A2="","",IF(COUNTIFS('Player Rounds'!$A$2:$A$401,$A2,'Player Rounds'!$B$2:$B$401,$B2,'Player Rounds'!$H$2:$H$401,"&gt;0")=0,"",SIGN(_xlfn.MINIFS('Player Rounds'!$AB$2:$AB$401,'Player Rounds'!$A$2:$A$401,$A2,'Player Rounds'!$B$2:$B$401,$B2,'Player Rounds'!$C$2:$C$401,$D2)-_xlfn.MINIFS('Player Rounds'!$AB$2:$AB$401,'Player Rounds'!$A$2:$A$401,$A2,'Player Rounds'!$B$2:$B$401,$B2,'Player Rounds'!$C$2:$C$401,$C2))))</f>
      </c>
      <c r="O2" t="e">
        <f>IF($A2="","",IF(COUNTIFS('Player Rounds'!$A$2:$A$401,$A2,'Player Rounds'!$B$2:$B$401,$B2,'Player Rounds'!$I$2:$I$401,"&gt;0")=0,"",SIGN(_xlfn.MINIFS('Player Rounds'!$AC$2:$AC$401,'Player Rounds'!$A$2:$A$401,$A2,'Player Rounds'!$B$2:$B$401,$B2,'Player Rounds'!$C$2:$C$401,$D2)-_xlfn.MINIFS('Player Rounds'!$AC$2:$AC$401,'Player Rounds'!$A$2:$A$401,$A2,'Player Rounds'!$B$2:$B$401,$B2,'Player Rounds'!$C$2:$C$401,$C2))))</f>
      </c>
      <c r="P2" t="e">
        <f>IF($A2="","",IF(COUNTIFS('Player Rounds'!$A$2:$A$401,$A2,'Player Rounds'!$B$2:$B$401,$B2,'Player Rounds'!$J$2:$J$401,"&gt;0")=0,"",SIGN(_xlfn.MINIFS('Player Rounds'!$AD$2:$AD$401,'Player Rounds'!$A$2:$A$401,$A2,'Player Rounds'!$B$2:$B$401,$B2,'Player Rounds'!$C$2:$C$401,$D2)-_xlfn.MINIFS('Player Rounds'!$AD$2:$AD$401,'Player Rounds'!$A$2:$A$401,$A2,'Player Rounds'!$B$2:$B$401,$B2,'Player Rounds'!$C$2:$C$401,$C2))))</f>
      </c>
      <c r="Q2" t="e">
        <f>IF($A2="","",IF(COUNTIFS('Player Rounds'!$A$2:$A$401,$A2,'Player Rounds'!$B$2:$B$401,$B2,'Player Rounds'!$K$2:$K$401,"&gt;0")=0,"",SIGN(_xlfn.MINIFS('Player Rounds'!$AE$2:$AE$401,'Player Rounds'!$A$2:$A$401,$A2,'Player Rounds'!$B$2:$B$401,$B2,'Player Rounds'!$C$2:$C$401,$D2)-_xlfn.MINIFS('Player Rounds'!$AE$2:$AE$401,'Player Rounds'!$A$2:$A$401,$A2,'Player Rounds'!$B$2:$B$401,$B2,'Player Rounds'!$C$2:$C$401,$C2))))</f>
      </c>
      <c r="R2" t="e">
        <f>IF($A2="","",IF(COUNTIFS('Player Rounds'!$A$2:$A$401,$A2,'Player Rounds'!$B$2:$B$401,$B2,'Player Rounds'!$L$2:$L$401,"&gt;0")=0,"",SIGN(_xlfn.MINIFS('Player Rounds'!$AF$2:$AF$401,'Player Rounds'!$A$2:$A$401,$A2,'Player Rounds'!$B$2:$B$401,$B2,'Player Rounds'!$C$2:$C$401,$D2)-_xlfn.MINIFS('Player Rounds'!$AF$2:$AF$401,'Player Rounds'!$A$2:$A$401,$A2,'Player Rounds'!$B$2:$B$401,$B2,'Player Rounds'!$C$2:$C$401,$C2))))</f>
      </c>
      <c r="S2" t="e">
        <f>IF($A2="","",IF(COUNTIFS('Player Rounds'!$A$2:$A$401,$A2,'Player Rounds'!$B$2:$B$401,$B2,'Player Rounds'!$M$2:$M$401,"&gt;0")=0,"",SIGN(_xlfn.MINIFS('Player Rounds'!$AG$2:$AG$401,'Player Rounds'!$A$2:$A$401,$A2,'Player Rounds'!$B$2:$B$401,$B2,'Player Rounds'!$C$2:$C$401,$D2)-_xlfn.MINIFS('Player Rounds'!$AG$2:$AG$401,'Player Rounds'!$A$2:$A$401,$A2,'Player Rounds'!$B$2:$B$401,$B2,'Player Rounds'!$C$2:$C$401,$C2))))</f>
      </c>
      <c r="T2" t="e">
        <f>IF($A2="","",IF(COUNTIFS('Player Rounds'!$A$2:$A$401,$A2,'Player Rounds'!$B$2:$B$401,$B2,'Player Rounds'!$N$2:$N$401,"&gt;0")=0,"",SIGN(_xlfn.MINIFS('Player Rounds'!$AH$2:$AH$401,'Player Rounds'!$A$2:$A$401,$A2,'Player Rounds'!$B$2:$B$401,$B2,'Player Rounds'!$C$2:$C$401,$D2)-_xlfn.MINIFS('Player Rounds'!$AH$2:$AH$401,'Player Rounds'!$A$2:$A$401,$A2,'Player Rounds'!$B$2:$B$401,$B2,'Player Rounds'!$C$2:$C$401,$C2))))</f>
      </c>
      <c r="U2" t="e">
        <f>IF($A2="","",IF(COUNTIFS('Player Rounds'!$A$2:$A$401,$A2,'Player Rounds'!$B$2:$B$401,$B2,'Player Rounds'!$O$2:$O$401,"&gt;0")=0,"",SIGN(_xlfn.MINIFS('Player Rounds'!$AI$2:$AI$401,'Player Rounds'!$A$2:$A$401,$A2,'Player Rounds'!$B$2:$B$401,$B2,'Player Rounds'!$C$2:$C$401,$D2)-_xlfn.MINIFS('Player Rounds'!$AI$2:$AI$401,'Player Rounds'!$A$2:$A$401,$A2,'Player Rounds'!$B$2:$B$401,$B2,'Player Rounds'!$C$2:$C$401,$C2))))</f>
      </c>
      <c r="V2" t="e">
        <f>IF($A2="","",IF(COUNTIFS('Player Rounds'!$A$2:$A$401,$A2,'Player Rounds'!$B$2:$B$401,$B2,'Player Rounds'!$P$2:$P$401,"&gt;0")=0,"",SIGN(_xlfn.MINIFS('Player Rounds'!$AJ$2:$AJ$401,'Player Rounds'!$A$2:$A$401,$A2,'Player Rounds'!$B$2:$B$401,$B2,'Player Rounds'!$C$2:$C$401,$D2)-_xlfn.MINIFS('Player Rounds'!$AJ$2:$AJ$401,'Player Rounds'!$A$2:$A$401,$A2,'Player Rounds'!$B$2:$B$401,$B2,'Player Rounds'!$C$2:$C$401,$C2))))</f>
      </c>
      <c r="W2" t="e">
        <f>IF($A2="","",IF(COUNTIFS('Player Rounds'!$A$2:$A$401,$A2,'Player Rounds'!$B$2:$B$401,$B2,'Player Rounds'!$Q$2:$Q$401,"&gt;0")=0,"",SIGN(_xlfn.MINIFS('Player Rounds'!$AK$2:$AK$401,'Player Rounds'!$A$2:$A$401,$A2,'Player Rounds'!$B$2:$B$401,$B2,'Player Rounds'!$C$2:$C$401,$D2)-_xlfn.MINIFS('Player Rounds'!$AK$2:$AK$401,'Player Rounds'!$A$2:$A$401,$A2,'Player Rounds'!$B$2:$B$401,$B2,'Player Rounds'!$C$2:$C$401,$C2))))</f>
      </c>
      <c r="X2" t="e">
        <f>IF($A2="","",IF(COUNTIFS('Player Rounds'!$A$2:$A$401,$A2,'Player Rounds'!$B$2:$B$401,$B2,'Player Rounds'!$R$2:$R$401,"&gt;0")=0,"",SIGN(_xlfn.MINIFS('Player Rounds'!$AL$2:$AL$401,'Player Rounds'!$A$2:$A$401,$A2,'Player Rounds'!$B$2:$B$401,$B2,'Player Rounds'!$C$2:$C$401,$D2)-_xlfn.MINIFS('Player Rounds'!$AL$2:$AL$401,'Player Rounds'!$A$2:$A$401,$A2,'Player Rounds'!$B$2:$B$401,$B2,'Player Rounds'!$C$2:$C$401,$C2))))</f>
      </c>
      <c r="Y2" t="e">
        <f>IF($A2="","",IF(COUNTIFS('Player Rounds'!$A$2:$A$401,$A2,'Player Rounds'!$B$2:$B$401,$B2,'Player Rounds'!$S$2:$S$401,"&gt;0")=0,"",SIGN(_xlfn.MINIFS('Player Rounds'!$AM$2:$AM$401,'Player Rounds'!$A$2:$A$401,$A2,'Player Rounds'!$B$2:$B$401,$B2,'Player Rounds'!$C$2:$C$401,$D2)-_xlfn.MINIFS('Player Rounds'!$AM$2:$AM$401,'Player Rounds'!$A$2:$A$401,$A2,'Player Rounds'!$B$2:$B$401,$B2,'Player Rounds'!$C$2:$C$401,$C2))))</f>
      </c>
      <c r="Z2" t="e">
        <f>IF($A2="","",IF(COUNTIFS('Player Rounds'!$A$2:$A$401,$A2,'Player Rounds'!$B$2:$B$401,$B2,'Player Rounds'!$T$2:$T$401,"&gt;0")=0,"",SIGN(_xlfn.MINIFS('Player Rounds'!$AN$2:$AN$401,'Player Rounds'!$A$2:$A$401,$A2,'Player Rounds'!$B$2:$B$401,$B2,'Player Rounds'!$C$2:$C$401,$D2)-_xlfn.MINIFS('Player Rounds'!$AN$2:$AN$401,'Player Rounds'!$A$2:$A$401,$A2,'Player Rounds'!$B$2:$B$401,$B2,'Player Rounds'!$C$2:$C$401,$C2))))</f>
      </c>
      <c r="AA2" t="e">
        <f>IF($A2="","",IF(COUNTIFS('Player Rounds'!$A$2:$A$401,$A2,'Player Rounds'!$B$2:$B$401,$B2,'Player Rounds'!$U$2:$U$401,"&gt;0")=0,"",SIGN(_xlfn.MINIFS('Player Rounds'!$AO$2:$AO$401,'Player Rounds'!$A$2:$A$401,$A2,'Player Rounds'!$B$2:$B$401,$B2,'Player Rounds'!$C$2:$C$401,$D2)-_xlfn.MINIFS('Player Rounds'!$AO$2:$AO$401,'Player Rounds'!$A$2:$A$401,$A2,'Player Rounds'!$B$2:$B$401,$B2,'Player Rounds'!$C$2:$C$401,$C2))))</f>
      </c>
      <c r="AB2" t="e">
        <f>IF($A2="","",IF(COUNTIFS('Player Rounds'!$A$2:$A$401,$A2,'Player Rounds'!$B$2:$B$401,$B2,'Player Rounds'!$V$2:$V$401,"&gt;0")=0,"",SIGN(_xlfn.MINIFS('Player Rounds'!$AP$2:$AP$401,'Player Rounds'!$A$2:$A$401,$A2,'Player Rounds'!$B$2:$B$401,$B2,'Player Rounds'!$C$2:$C$401,$D2)-_xlfn.MINIFS('Player Rounds'!$AP$2:$AP$401,'Player Rounds'!$A$2:$A$401,$A2,'Player Rounds'!$B$2:$B$401,$B2,'Player Rounds'!$C$2:$C$401,$C2))))</f>
      </c>
      <c r="AC2" t="e">
        <f>IF($A2="","",IF(COUNTIFS('Player Rounds'!$A$2:$A$401,$A2,'Player Rounds'!$B$2:$B$401,$B2,'Player Rounds'!$W$2:$W$401,"&gt;0")=0,"",SIGN(_xlfn.MINIFS('Player Rounds'!$AQ$2:$AQ$401,'Player Rounds'!$A$2:$A$401,$A2,'Player Rounds'!$B$2:$B$401,$B2,'Player Rounds'!$C$2:$C$401,$D2)-_xlfn.MINIFS('Player Rounds'!$AQ$2:$AQ$401,'Player Rounds'!$A$2:$A$401,$A2,'Player Rounds'!$B$2:$B$401,$B2,'Player Rounds'!$C$2:$C$401,$C2))))</f>
      </c>
      <c r="AD2" t="e">
        <f>IF($A2="","",SUM($L2:L2))</f>
      </c>
      <c r="AE2" t="e">
        <f>IF($A2="","",SUM($L2:M2))</f>
      </c>
      <c r="AF2" t="e">
        <f>IF($A2="","",SUM($L2:N2))</f>
      </c>
      <c r="AG2" t="e">
        <f>IF($A2="","",SUM($L2:O2))</f>
      </c>
      <c r="AH2" t="e">
        <f>IF($A2="","",SUM($L2:P2))</f>
      </c>
      <c r="AI2" t="e">
        <f>IF($A2="","",SUM($L2:Q2))</f>
      </c>
      <c r="AJ2" t="e">
        <f>IF($A2="","",SUM($L2:R2))</f>
      </c>
      <c r="AK2" t="e">
        <f>IF($A2="","",SUM($L2:S2))</f>
      </c>
      <c r="AL2" t="e">
        <f>IF($A2="","",SUM($L2:T2))</f>
      </c>
      <c r="AM2" t="e">
        <f>IF($A2="","",SUM($L2:U2))</f>
      </c>
      <c r="AN2" t="e">
        <f>IF($A2="","",SUM($L2:V2))</f>
      </c>
      <c r="AO2" t="e">
        <f>IF($A2="","",SUM($L2:W2))</f>
      </c>
      <c r="AP2" t="e">
        <f>IF($A2="","",SUM($L2:X2))</f>
      </c>
      <c r="AQ2" t="e">
        <f>IF($A2="","",SUM($L2:Y2))</f>
      </c>
      <c r="AR2" t="e">
        <f>IF($A2="","",SUM($L2:Z2))</f>
      </c>
      <c r="AS2" t="e">
        <f>IF($A2="","",SUM($L2:AA2))</f>
      </c>
      <c r="AT2" t="e">
        <f>IF($A2="","",SUM($L2:AB2))</f>
      </c>
      <c r="AU2" t="e">
        <f>IF($A2="","",SUM($L2:AC2))</f>
      </c>
      <c r="AV2" t="e">
        <f>IF(OR($A2="",L2=""),"",IF(ABS(AD2)&gt;17,1,""))</f>
      </c>
      <c r="AW2" t="e">
        <f>IF(OR($A2="",M2=""),"",IF(ABS(AE2)&gt;16,2,""))</f>
      </c>
      <c r="AX2" t="e">
        <f>IF(OR($A2="",N2=""),"",IF(ABS(AF2)&gt;15,3,""))</f>
      </c>
      <c r="AY2" t="e">
        <f>IF(OR($A2="",O2=""),"",IF(ABS(AG2)&gt;14,4,""))</f>
      </c>
      <c r="AZ2" t="e">
        <f>IF(OR($A2="",P2=""),"",IF(ABS(AH2)&gt;13,5,""))</f>
      </c>
      <c r="BA2" t="e">
        <f>IF(OR($A2="",Q2=""),"",IF(ABS(AI2)&gt;12,6,""))</f>
      </c>
      <c r="BB2" t="e">
        <f>IF(OR($A2="",R2=""),"",IF(ABS(AJ2)&gt;11,7,""))</f>
      </c>
      <c r="BC2" t="e">
        <f>IF(OR($A2="",S2=""),"",IF(ABS(AK2)&gt;10,8,""))</f>
      </c>
      <c r="BD2" t="e">
        <f>IF(OR($A2="",T2=""),"",IF(ABS(AL2)&gt;9,9,""))</f>
      </c>
      <c r="BE2" t="e">
        <f>IF(OR($A2="",U2=""),"",IF(ABS(AM2)&gt;8,10,""))</f>
      </c>
      <c r="BF2" t="e">
        <f>IF(OR($A2="",V2=""),"",IF(ABS(AN2)&gt;7,11,""))</f>
      </c>
      <c r="BG2" t="e">
        <f>IF(OR($A2="",W2=""),"",IF(ABS(AO2)&gt;6,12,""))</f>
      </c>
      <c r="BH2" t="e">
        <f>IF(OR($A2="",X2=""),"",IF(ABS(AP2)&gt;5,13,""))</f>
      </c>
      <c r="BI2" t="e">
        <f>IF(OR($A2="",Y2=""),"",IF(ABS(AQ2)&gt;4,14,""))</f>
      </c>
      <c r="BJ2" t="e">
        <f>IF(OR($A2="",Z2=""),"",IF(ABS(AR2)&gt;3,15,""))</f>
      </c>
      <c r="BK2" t="e">
        <f>IF(OR($A2="",AA2=""),"",IF(ABS(AS2)&gt;2,16,""))</f>
      </c>
      <c r="BL2" t="e">
        <f>IF(OR($A2="",AB2=""),"",IF(ABS(AT2)&gt;1,17,""))</f>
      </c>
      <c r="BM2" t="e">
        <f>IF(OR($A2="",AC2=""),"",IF(ABS(AU2)&gt;0,18,""))</f>
      </c>
    </row>
    <row r="3">
      <c r="A3">
        <v>1</v>
      </c>
      <c r="B3">
        <v>2</v>
      </c>
      <c r="C3" t="str">
        <f>IF($A3="","",INDEX('Tournament Setup'!$J:$J,MATCH($A3,'Tournament Setup'!$A:$A,0)))</f>
        <v/>
      </c>
      <c r="D3" t="str">
        <f>IF($A3="","",INDEX('Tournament Setup'!$K:$K,MATCH($A3,'Tournament Setup'!$A:$A,0)))</f>
        <v/>
      </c>
      <c r="E3" t="str">
        <f>IF($A3="","",IF(COUNT(L3:AC3)=0,"Not played",IF(AND($K3&gt;0,$K3&lt;18),IF(INDEX(AD3:AU3,1,$K3)&gt;0,$C3,$D3)&amp;" "&amp;ABS(INDEX(AD3:AU3,1,$K3))&amp;"&amp;"&amp;(18-$K3),IF($J3=0,"Halved (AS)",IF($J3&gt;0,$C3,$D3)&amp;" "&amp;ABS($J3)&amp;" UP"))))</f>
        <v/>
      </c>
      <c r="F3" t="e">
        <f>IF(OR($A3="",COUNT(L3:AC3)=0),"",INDEX('Tournament Setup'!$I:$I,MATCH($A3,'Tournament Setup'!$A:$A,0))*IF(INDEX('Tournament Setup'!$H:$H,MATCH($A3,'Tournament Setup'!$A:$A,0))="Yes",IF($H3&gt;0,1,IF($H3=0,0.5,0))+IF($I3&gt;0,1,IF($I3=0,0.5,0))+IF($J3&gt;0,1,IF($J3=0,0.5,0)),IF(IF(AND($K3&gt;0,$K3&lt;18),INDEX(AD3:AU3,1,$K3),$J3)&gt;0,1,IF(IF(AND($K3&gt;0,$K3&lt;18),INDEX(AD3:AU3,1,$K3),$J3)=0,0.5,0))))</f>
      </c>
      <c r="G3" t="e">
        <f>IF(OR($A3="",COUNT(L3:AC3)=0),"",INDEX('Tournament Setup'!$I:$I,MATCH($A3,'Tournament Setup'!$A:$A,0))*IF(INDEX('Tournament Setup'!$H:$H,MATCH($A3,'Tournament Setup'!$A:$A,0))="Yes",IF($H3&lt;0,1,IF($H3=0,0.5,0))+IF($I3&lt;0,1,IF($I3=0,0.5,0))+IF($J3&lt;0,1,IF($J3=0,0.5,0)),IF(IF(AND($K3&gt;0,$K3&lt;18),INDEX(AD3:AU3,1,$K3),$J3)&lt;0,1,IF(IF(AND($K3&gt;0,$K3&lt;18),INDEX(AD3:AU3,1,$K3),$J3)=0,0.5,0))))</f>
      </c>
      <c r="H3" t="e">
        <f>IF($A3="","",SUM(L3:T3))</f>
      </c>
      <c r="I3" t="e">
        <f>IF($A3="","",SUM(U3:AC3))</f>
      </c>
      <c r="J3" t="e">
        <f>IF($A3="","",SUM(L3:AC3))</f>
      </c>
      <c r="K3" t="e">
        <f>IF($A3="","",MIN(AV3:BM3))</f>
      </c>
      <c r="L3" t="e">
        <f>IF($A3="","",IF(COUNTIFS('Player Rounds'!$A$2:$A$401,$A3,'Player Rounds'!$B$2:$B$401,$B3,'Player Rounds'!$F$2:$F$401,"&gt;0")=0,"",SIGN(_xlfn.MINIFS('Player Rounds'!$Z$2:$Z$401,'Player Rounds'!$A$2:$A$401,$A3,'Player Rounds'!$B$2:$B$401,$B3,'Player Rounds'!$C$2:$C$401,$D3)-_xlfn.MINIFS('Player Rounds'!$Z$2:$Z$401,'Player Rounds'!$A$2:$A$401,$A3,'Player Rounds'!$B$2:$B$401,$B3,'Player Rounds'!$C$2:$C$401,$C3))))</f>
      </c>
      <c r="M3" t="e">
        <f>IF($A3="","",IF(COUNTIFS('Player Rounds'!$A$2:$A$401,$A3,'Player Rounds'!$B$2:$B$401,$B3,'Player Rounds'!$G$2:$G$401,"&gt;0")=0,"",SIGN(_xlfn.MINIFS('Player Rounds'!$AA$2:$AA$401,'Player Rounds'!$A$2:$A$401,$A3,'Player Rounds'!$B$2:$B$401,$B3,'Player Rounds'!$C$2:$C$401,$D3)-_xlfn.MINIFS('Player Rounds'!$AA$2:$AA$401,'Player Rounds'!$A$2:$A$401,$A3,'Player Rounds'!$B$2:$B$401,$B3,'Player Rounds'!$C$2:$C$401,$C3))))</f>
      </c>
      <c r="N3" t="e">
        <f>IF($A3="","",IF(COUNTIFS('Player Rounds'!$A$2:$A$401,$A3,'Player Rounds'!$B$2:$B$401,$B3,'Player Rounds'!$H$2:$H$401,"&gt;0")=0,"",SIGN(_xlfn.MINIFS('Player Rounds'!$AB$2:$AB$401,'Player Rounds'!$A$2:$A$401,$A3,'Player Rounds'!$B$2:$B$401,$B3,'Player Rounds'!$C$2:$C$401,$D3)-_xlfn.MINIFS('Player Rounds'!$AB$2:$AB$401,'Player Rounds'!$A$2:$A$401,$A3,'Player Rounds'!$B$2:$B$401,$B3,'Player Rounds'!$C$2:$C$401,$C3))))</f>
      </c>
      <c r="O3" t="e">
        <f>IF($A3="","",IF(COUNTIFS('Player Rounds'!$A$2:$A$401,$A3,'Player Rounds'!$B$2:$B$401,$B3,'Player Rounds'!$I$2:$I$401,"&gt;0")=0,"",SIGN(_xlfn.MINIFS('Player Rounds'!$AC$2:$AC$401,'Player Rounds'!$A$2:$A$401,$A3,'Player Rounds'!$B$2:$B$401,$B3,'Player Rounds'!$C$2:$C$401,$D3)-_xlfn.MINIFS('Player Rounds'!$AC$2:$AC$401,'Player Rounds'!$A$2:$A$401,$A3,'Player Rounds'!$B$2:$B$401,$B3,'Player Rounds'!$C$2:$C$401,$C3))))</f>
      </c>
      <c r="P3" t="e">
        <f>IF($A3="","",IF(COUNTIFS('Player Rounds'!$A$2:$A$401,$A3,'Player Rounds'!$B$2:$B$401,$B3,'Player Rounds'!$J$2:$J$401,"&gt;0")=0,"",SIGN(_xlfn.MINIFS('Player Rounds'!$AD$2:$AD$401,'Player Rounds'!$A$2:$A$401,$A3,'Player Rounds'!$B$2:$B$401,$B3,'Player Rounds'!$C$2:$C$401,$D3)-_xlfn.MINIFS('Player Rounds'!$AD$2:$AD$401,'Player Rounds'!$A$2:$A$401,$A3,'Player Rounds'!$B$2:$B$401,$B3,'Player Rounds'!$C$2:$C$401,$C3))))</f>
      </c>
      <c r="Q3" t="e">
        <f>IF($A3="","",IF(COUNTIFS('Player Rounds'!$A$2:$A$401,$A3,'Player Rounds'!$B$2:$B$401,$B3,'Player Rounds'!$K$2:$K$401,"&gt;0")=0,"",SIGN(_xlfn.MINIFS('Player Rounds'!$AE$2:$AE$401,'Player Rounds'!$A$2:$A$401,$A3,'Player Rounds'!$B$2:$B$401,$B3,'Player Rounds'!$C$2:$C$401,$D3)-_xlfn.MINIFS('Player Rounds'!$AE$2:$AE$401,'Player Rounds'!$A$2:$A$401,$A3,'Player Rounds'!$B$2:$B$401,$B3,'Player Rounds'!$C$2:$C$401,$C3))))</f>
      </c>
      <c r="R3" t="e">
        <f>IF($A3="","",IF(COUNTIFS('Player Rounds'!$A$2:$A$401,$A3,'Player Rounds'!$B$2:$B$401,$B3,'Player Rounds'!$L$2:$L$401,"&gt;0")=0,"",SIGN(_xlfn.MINIFS('Player Rounds'!$AF$2:$AF$401,'Player Rounds'!$A$2:$A$401,$A3,'Player Rounds'!$B$2:$B$401,$B3,'Player Rounds'!$C$2:$C$401,$D3)-_xlfn.MINIFS('Player Rounds'!$AF$2:$AF$401,'Player Rounds'!$A$2:$A$401,$A3,'Player Rounds'!$B$2:$B$401,$B3,'Player Rounds'!$C$2:$C$401,$C3))))</f>
      </c>
      <c r="S3" t="e">
        <f>IF($A3="","",IF(COUNTIFS('Player Rounds'!$A$2:$A$401,$A3,'Player Rounds'!$B$2:$B$401,$B3,'Player Rounds'!$M$2:$M$401,"&gt;0")=0,"",SIGN(_xlfn.MINIFS('Player Rounds'!$AG$2:$AG$401,'Player Rounds'!$A$2:$A$401,$A3,'Player Rounds'!$B$2:$B$401,$B3,'Player Rounds'!$C$2:$C$401,$D3)-_xlfn.MINIFS('Player Rounds'!$AG$2:$AG$401,'Player Rounds'!$A$2:$A$401,$A3,'Player Rounds'!$B$2:$B$401,$B3,'Player Rounds'!$C$2:$C$401,$C3))))</f>
      </c>
      <c r="T3" t="e">
        <f>IF($A3="","",IF(COUNTIFS('Player Rounds'!$A$2:$A$401,$A3,'Player Rounds'!$B$2:$B$401,$B3,'Player Rounds'!$N$2:$N$401,"&gt;0")=0,"",SIGN(_xlfn.MINIFS('Player Rounds'!$AH$2:$AH$401,'Player Rounds'!$A$2:$A$401,$A3,'Player Rounds'!$B$2:$B$401,$B3,'Player Rounds'!$C$2:$C$401,$D3)-_xlfn.MINIFS('Player Rounds'!$AH$2:$AH$401,'Player Rounds'!$A$2:$A$401,$A3,'Player Rounds'!$B$2:$B$401,$B3,'Player Rounds'!$C$2:$C$401,$C3))))</f>
      </c>
      <c r="U3" t="e">
        <f>IF($A3="","",IF(COUNTIFS('Player Rounds'!$A$2:$A$401,$A3,'Player Rounds'!$B$2:$B$401,$B3,'Player Rounds'!$O$2:$O$401,"&gt;0")=0,"",SIGN(_xlfn.MINIFS('Player Rounds'!$AI$2:$AI$401,'Player Rounds'!$A$2:$A$401,$A3,'Player Rounds'!$B$2:$B$401,$B3,'Player Rounds'!$C$2:$C$401,$D3)-_xlfn.MINIFS('Player Rounds'!$AI$2:$AI$401,'Player Rounds'!$A$2:$A$401,$A3,'Player Rounds'!$B$2:$B$401,$B3,'Player Rounds'!$C$2:$C$401,$C3))))</f>
      </c>
      <c r="V3" t="e">
        <f>IF($A3="","",IF(COUNTIFS('Player Rounds'!$A$2:$A$401,$A3,'Player Rounds'!$B$2:$B$401,$B3,'Player Rounds'!$P$2:$P$401,"&gt;0")=0,"",SIGN(_xlfn.MINIFS('Player Rounds'!$AJ$2:$AJ$401,'Player Rounds'!$A$2:$A$401,$A3,'Player Rounds'!$B$2:$B$401,$B3,'Player Rounds'!$C$2:$C$401,$D3)-_xlfn.MINIFS('Player Rounds'!$AJ$2:$AJ$401,'Player Rounds'!$A$2:$A$401,$A3,'Player Rounds'!$B$2:$B$401,$B3,'Player Rounds'!$C$2:$C$401,$C3))))</f>
      </c>
      <c r="W3" t="e">
        <f>IF($A3="","",IF(COUNTIFS('Player Rounds'!$A$2:$A$401,$A3,'Player Rounds'!$B$2:$B$401,$B3,'Player Rounds'!$Q$2:$Q$401,"&gt;0")=0,"",SIGN(_xlfn.MINIFS('Player Rounds'!$AK$2:$AK$401,'Player Rounds'!$A$2:$A$401,$A3,'Player Rounds'!$B$2:$B$401,$B3,'Player Rounds'!$C$2:$C$401,$D3)-_xlfn.MINIFS('Player Rounds'!$AK$2:$AK$401,'Player Rounds'!$A$2:$A$401,$A3,'Player Rounds'!$B$2:$B$401,$B3,'Player Rounds'!$C$2:$C$401,$C3))))</f>
      </c>
      <c r="X3" t="e">
        <f>IF($A3="","",IF(COUNTIFS('Player Rounds'!$A$2:$A$401,$A3,'Player Rounds'!$B$2:$B$401,$B3,'Player Rounds'!$R$2:$R$401,"&gt;0")=0,"",SIGN(_xlfn.MINIFS('Player Rounds'!$AL$2:$AL$401,'Player Rounds'!$A$2:$A$401,$A3,'Player Rounds'!$B$2:$B$401,$B3,'Player Rounds'!$C$2:$C$401,$D3)-_xlfn.MINIFS('Player Rounds'!$AL$2:$AL$401,'Player Rounds'!$A$2:$A$401,$A3,'Player Rounds'!$B$2:$B$401,$B3,'Player Rounds'!$C$2:$C$401,$C3))))</f>
      </c>
      <c r="Y3" t="e">
        <f>IF($A3="","",IF(COUNTIFS('Player Rounds'!$A$2:$A$401,$A3,'Player Rounds'!$B$2:$B$401,$B3,'Player Rounds'!$S$2:$S$401,"&gt;0")=0,"",SIGN(_xlfn.MINIFS('Player Rounds'!$AM$2:$AM$401,'Player Rounds'!$A$2:$A$401,$A3,'Player Rounds'!$B$2:$B$401,$B3,'Player Rounds'!$C$2:$C$401,$D3)-_xlfn.MINIFS('Player Rounds'!$AM$2:$AM$401,'Player Rounds'!$A$2:$A$401,$A3,'Player Rounds'!$B$2:$B$401,$B3,'Player Rounds'!$C$2:$C$401,$C3))))</f>
      </c>
      <c r="Z3" t="e">
        <f>IF($A3="","",IF(COUNTIFS('Player Rounds'!$A$2:$A$401,$A3,'Player Rounds'!$B$2:$B$401,$B3,'Player Rounds'!$T$2:$T$401,"&gt;0")=0,"",SIGN(_xlfn.MINIFS('Player Rounds'!$AN$2:$AN$401,'Player Rounds'!$A$2:$A$401,$A3,'Player Rounds'!$B$2:$B$401,$B3,'Player Rounds'!$C$2:$C$401,$D3)-_xlfn.MINIFS('Player Rounds'!$AN$2:$AN$401,'Player Rounds'!$A$2:$A$401,$A3,'Player Rounds'!$B$2:$B$401,$B3,'Player Rounds'!$C$2:$C$401,$C3))))</f>
      </c>
      <c r="AA3" t="e">
        <f>IF($A3="","",IF(COUNTIFS('Player Rounds'!$A$2:$A$401,$A3,'Player Rounds'!$B$2:$B$401,$B3,'Player Rounds'!$U$2:$U$401,"&gt;0")=0,"",SIGN(_xlfn.MINIFS('Player Rounds'!$AO$2:$AO$401,'Player Rounds'!$A$2:$A$401,$A3,'Player Rounds'!$B$2:$B$401,$B3,'Player Rounds'!$C$2:$C$401,$D3)-_xlfn.MINIFS('Player Rounds'!$AO$2:$AO$401,'Player Rounds'!$A$2:$A$401,$A3,'Player Rounds'!$B$2:$B$401,$B3,'Player Rounds'!$C$2:$C$401,$C3))))</f>
      </c>
      <c r="AB3" t="e">
        <f>IF($A3="","",IF(COUNTIFS('Player Rounds'!$A$2:$A$401,$A3,'Player Rounds'!$B$2:$B$401,$B3,'Player Rounds'!$V$2:$V$401,"&gt;0")=0,"",SIGN(_xlfn.MINIFS('Player Rounds'!$AP$2:$AP$401,'Player Rounds'!$A$2:$A$401,$A3,'Player Rounds'!$B$2:$B$401,$B3,'Player Rounds'!$C$2:$C$401,$D3)-_xlfn.MINIFS('Player Rounds'!$AP$2:$AP$401,'Player Rounds'!$A$2:$A$401,$A3,'Player Rounds'!$B$2:$B$401,$B3,'Player Rounds'!$C$2:$C$401,$C3))))</f>
      </c>
      <c r="AC3" t="e">
        <f>IF($A3="","",IF(COUNTIFS('Player Rounds'!$A$2:$A$401,$A3,'Player Rounds'!$B$2:$B$401,$B3,'Player Rounds'!$W$2:$W$401,"&gt;0")=0,"",SIGN(_xlfn.MINIFS('Player Rounds'!$AQ$2:$AQ$401,'Player Rounds'!$A$2:$A$401,$A3,'Player Rounds'!$B$2:$B$401,$B3,'Player Rounds'!$C$2:$C$401,$D3)-_xlfn.MINIFS('Player Rounds'!$AQ$2:$AQ$401,'Player Rounds'!$A$2:$A$401,$A3,'Player Rounds'!$B$2:$B$401,$B3,'Player Rounds'!$C$2:$C$401,$C3))))</f>
      </c>
      <c r="AD3" t="e">
        <f>IF($A3="","",SUM($L3:L3))</f>
      </c>
      <c r="AE3" t="e">
        <f>IF($A3="","",SUM($L3:M3))</f>
      </c>
      <c r="AF3" t="e">
        <f>IF($A3="","",SUM($L3:N3))</f>
      </c>
      <c r="AG3" t="e">
        <f>IF($A3="","",SUM($L3:O3))</f>
      </c>
      <c r="AH3" t="e">
        <f>IF($A3="","",SUM($L3:P3))</f>
      </c>
      <c r="AI3" t="e">
        <f>IF($A3="","",SUM($L3:Q3))</f>
      </c>
      <c r="AJ3" t="e">
        <f>IF($A3="","",SUM($L3:R3))</f>
      </c>
      <c r="AK3" t="e">
        <f>IF($A3="","",SUM($L3:S3))</f>
      </c>
      <c r="AL3" t="e">
        <f>IF($A3="","",SUM($L3:T3))</f>
      </c>
      <c r="AM3" t="e">
        <f>IF($A3="","",SUM($L3:U3))</f>
      </c>
      <c r="AN3" t="e">
        <f>IF($A3="","",SUM($L3:V3))</f>
      </c>
      <c r="AO3" t="e">
        <f>IF($A3="","",SUM($L3:W3))</f>
      </c>
      <c r="AP3" t="e">
        <f>IF($A3="","",SUM($L3:X3))</f>
      </c>
      <c r="AQ3" t="e">
        <f>IF($A3="","",SUM($L3:Y3))</f>
      </c>
      <c r="AR3" t="e">
        <f>IF($A3="","",SUM($L3:Z3))</f>
      </c>
      <c r="AS3" t="e">
        <f>IF($A3="","",SUM($L3:AA3))</f>
      </c>
      <c r="AT3" t="e">
        <f>IF($A3="","",SUM($L3:AB3))</f>
      </c>
      <c r="AU3" t="e">
        <f>IF($A3="","",SUM($L3:AC3))</f>
      </c>
      <c r="AV3" t="e">
        <f>IF(OR($A3="",L3=""),"",IF(ABS(AD3)&gt;17,1,""))</f>
      </c>
      <c r="AW3" t="e">
        <f>IF(OR($A3="",M3=""),"",IF(ABS(AE3)&gt;16,2,""))</f>
      </c>
      <c r="AX3" t="e">
        <f>IF(OR($A3="",N3=""),"",IF(ABS(AF3)&gt;15,3,""))</f>
      </c>
      <c r="AY3" t="e">
        <f>IF(OR($A3="",O3=""),"",IF(ABS(AG3)&gt;14,4,""))</f>
      </c>
      <c r="AZ3" t="e">
        <f>IF(OR($A3="",P3=""),"",IF(ABS(AH3)&gt;13,5,""))</f>
      </c>
      <c r="BA3" t="e">
        <f>IF(OR($A3="",Q3=""),"",IF(ABS(AI3)&gt;12,6,""))</f>
      </c>
      <c r="BB3" t="e">
        <f>IF(OR($A3="",R3=""),"",IF(ABS(AJ3)&gt;11,7,""))</f>
      </c>
      <c r="BC3" t="e">
        <f>IF(OR($A3="",S3=""),"",IF(ABS(AK3)&gt;10,8,""))</f>
      </c>
      <c r="BD3" t="e">
        <f>IF(OR($A3="",T3=""),"",IF(ABS(AL3)&gt;9,9,""))</f>
      </c>
      <c r="BE3" t="e">
        <f>IF(OR($A3="",U3=""),"",IF(ABS(AM3)&gt;8,10,""))</f>
      </c>
      <c r="BF3" t="e">
        <f>IF(OR($A3="",V3=""),"",IF(ABS(AN3)&gt;7,11,""))</f>
      </c>
      <c r="BG3" t="e">
        <f>IF(OR($A3="",W3=""),"",IF(ABS(AO3)&gt;6,12,""))</f>
      </c>
      <c r="BH3" t="e">
        <f>IF(OR($A3="",X3=""),"",IF(ABS(AP3)&gt;5,13,""))</f>
      </c>
      <c r="BI3" t="e">
        <f>IF(OR($A3="",Y3=""),"",IF(ABS(AQ3)&gt;4,14,""))</f>
      </c>
      <c r="BJ3" t="e">
        <f>IF(OR($A3="",Z3=""),"",IF(ABS(AR3)&gt;3,15,""))</f>
      </c>
      <c r="BK3" t="e">
        <f>IF(OR($A3="",AA3=""),"",IF(ABS(AS3)&gt;2,16,""))</f>
      </c>
      <c r="BL3" t="e">
        <f>IF(OR($A3="",AB3=""),"",IF(ABS(AT3)&gt;1,17,""))</f>
      </c>
      <c r="BM3" t="e">
        <f>IF(OR($A3="",AC3=""),"",IF(ABS(AU3)&gt;0,18,""))</f>
      </c>
    </row>
    <row r="4">
      <c r="A4">
        <v>2</v>
      </c>
      <c r="B4">
        <v>1</v>
      </c>
      <c r="C4" t="str">
        <f>IF($A4="","",INDEX('Tournament Setup'!$J:$J,MATCH($A4,'Tournament Setup'!$A:$A,0)))</f>
        <v/>
      </c>
      <c r="D4" t="str">
        <f>IF($A4="","",INDEX('Tournament Setup'!$K:$K,MATCH($A4,'Tournament Setup'!$A:$A,0)))</f>
        <v/>
      </c>
      <c r="E4" t="str">
        <f>IF($A4="","",IF(COUNT(L4:AC4)=0,"Not played",IF(AND($K4&gt;0,$K4&lt;18),IF(INDEX(AD4:AU4,1,$K4)&gt;0,$C4,$D4)&amp;" "&amp;ABS(INDEX(AD4:AU4,1,$K4))&amp;"&amp;"&amp;(18-$K4),IF($J4=0,"Halved (AS)",IF($J4&gt;0,$C4,$D4)&amp;" "&amp;ABS($J4)&amp;" UP"))))</f>
        <v/>
      </c>
      <c r="F4" t="e">
        <f>IF(OR($A4="",COUNT(L4:AC4)=0),"",INDEX('Tournament Setup'!$I:$I,MATCH($A4,'Tournament Setup'!$A:$A,0))*IF(INDEX('Tournament Setup'!$H:$H,MATCH($A4,'Tournament Setup'!$A:$A,0))="Yes",IF($H4&gt;0,1,IF($H4=0,0.5,0))+IF($I4&gt;0,1,IF($I4=0,0.5,0))+IF($J4&gt;0,1,IF($J4=0,0.5,0)),IF(IF(AND($K4&gt;0,$K4&lt;18),INDEX(AD4:AU4,1,$K4),$J4)&gt;0,1,IF(IF(AND($K4&gt;0,$K4&lt;18),INDEX(AD4:AU4,1,$K4),$J4)=0,0.5,0))))</f>
      </c>
      <c r="G4" t="e">
        <f>IF(OR($A4="",COUNT(L4:AC4)=0),"",INDEX('Tournament Setup'!$I:$I,MATCH($A4,'Tournament Setup'!$A:$A,0))*IF(INDEX('Tournament Setup'!$H:$H,MATCH($A4,'Tournament Setup'!$A:$A,0))="Yes",IF($H4&lt;0,1,IF($H4=0,0.5,0))+IF($I4&lt;0,1,IF($I4=0,0.5,0))+IF($J4&lt;0,1,IF($J4=0,0.5,0)),IF(IF(AND($K4&gt;0,$K4&lt;18),INDEX(AD4:AU4,1,$K4),$J4)&lt;0,1,IF(IF(AND($K4&gt;0,$K4&lt;18),INDEX(AD4:AU4,1,$K4),$J4)=0,0.5,0))))</f>
      </c>
      <c r="H4" t="e">
        <f>IF($A4="","",SUM(L4:T4))</f>
      </c>
      <c r="I4" t="e">
        <f>IF($A4="","",SUM(U4:AC4))</f>
      </c>
      <c r="J4" t="e">
        <f>IF($A4="","",SUM(L4:AC4))</f>
      </c>
      <c r="K4" t="e">
        <f>IF($A4="","",MIN(AV4:BM4))</f>
      </c>
      <c r="L4" t="e">
        <f>IF($A4="","",IF(COUNTIFS('Player Rounds'!$A$2:$A$401,$A4,'Player Rounds'!$B$2:$B$401,$B4,'Player Rounds'!$F$2:$F$401,"&gt;0")=0,"",SIGN(_xlfn.MINIFS('Player Rounds'!$Z$2:$Z$401,'Player Rounds'!$A$2:$A$401,$A4,'Player Rounds'!$B$2:$B$401,$B4,'Player Rounds'!$C$2:$C$401,$D4)-_xlfn.MINIFS('Player Rounds'!$Z$2:$Z$401,'Player Rounds'!$A$2:$A$401,$A4,'Player Rounds'!$B$2:$B$401,$B4,'Player Rounds'!$C$2:$C$401,$C4))))</f>
      </c>
      <c r="M4" t="e">
        <f>IF($A4="","",IF(COUNTIFS('Player Rounds'!$A$2:$A$401,$A4,'Player Rounds'!$B$2:$B$401,$B4,'Player Rounds'!$G$2:$G$401,"&gt;0")=0,"",SIGN(_xlfn.MINIFS('Player Rounds'!$AA$2:$AA$401,'Player Rounds'!$A$2:$A$401,$A4,'Player Rounds'!$B$2:$B$401,$B4,'Player Rounds'!$C$2:$C$401,$D4)-_xlfn.MINIFS('Player Rounds'!$AA$2:$AA$401,'Player Rounds'!$A$2:$A$401,$A4,'Player Rounds'!$B$2:$B$401,$B4,'Player Rounds'!$C$2:$C$401,$C4))))</f>
      </c>
      <c r="N4" t="e">
        <f>IF($A4="","",IF(COUNTIFS('Player Rounds'!$A$2:$A$401,$A4,'Player Rounds'!$B$2:$B$401,$B4,'Player Rounds'!$H$2:$H$401,"&gt;0")=0,"",SIGN(_xlfn.MINIFS('Player Rounds'!$AB$2:$AB$401,'Player Rounds'!$A$2:$A$401,$A4,'Player Rounds'!$B$2:$B$401,$B4,'Player Rounds'!$C$2:$C$401,$D4)-_xlfn.MINIFS('Player Rounds'!$AB$2:$AB$401,'Player Rounds'!$A$2:$A$401,$A4,'Player Rounds'!$B$2:$B$401,$B4,'Player Rounds'!$C$2:$C$401,$C4))))</f>
      </c>
      <c r="O4" t="e">
        <f>IF($A4="","",IF(COUNTIFS('Player Rounds'!$A$2:$A$401,$A4,'Player Rounds'!$B$2:$B$401,$B4,'Player Rounds'!$I$2:$I$401,"&gt;0")=0,"",SIGN(_xlfn.MINIFS('Player Rounds'!$AC$2:$AC$401,'Player Rounds'!$A$2:$A$401,$A4,'Player Rounds'!$B$2:$B$401,$B4,'Player Rounds'!$C$2:$C$401,$D4)-_xlfn.MINIFS('Player Rounds'!$AC$2:$AC$401,'Player Rounds'!$A$2:$A$401,$A4,'Player Rounds'!$B$2:$B$401,$B4,'Player Rounds'!$C$2:$C$401,$C4))))</f>
      </c>
      <c r="P4" t="e">
        <f>IF($A4="","",IF(COUNTIFS('Player Rounds'!$A$2:$A$401,$A4,'Player Rounds'!$B$2:$B$401,$B4,'Player Rounds'!$J$2:$J$401,"&gt;0")=0,"",SIGN(_xlfn.MINIFS('Player Rounds'!$AD$2:$AD$401,'Player Rounds'!$A$2:$A$401,$A4,'Player Rounds'!$B$2:$B$401,$B4,'Player Rounds'!$C$2:$C$401,$D4)-_xlfn.MINIFS('Player Rounds'!$AD$2:$AD$401,'Player Rounds'!$A$2:$A$401,$A4,'Player Rounds'!$B$2:$B$401,$B4,'Player Rounds'!$C$2:$C$401,$C4))))</f>
      </c>
      <c r="Q4" t="e">
        <f>IF($A4="","",IF(COUNTIFS('Player Rounds'!$A$2:$A$401,$A4,'Player Rounds'!$B$2:$B$401,$B4,'Player Rounds'!$K$2:$K$401,"&gt;0")=0,"",SIGN(_xlfn.MINIFS('Player Rounds'!$AE$2:$AE$401,'Player Rounds'!$A$2:$A$401,$A4,'Player Rounds'!$B$2:$B$401,$B4,'Player Rounds'!$C$2:$C$401,$D4)-_xlfn.MINIFS('Player Rounds'!$AE$2:$AE$401,'Player Rounds'!$A$2:$A$401,$A4,'Player Rounds'!$B$2:$B$401,$B4,'Player Rounds'!$C$2:$C$401,$C4))))</f>
      </c>
      <c r="R4" t="e">
        <f>IF($A4="","",IF(COUNTIFS('Player Rounds'!$A$2:$A$401,$A4,'Player Rounds'!$B$2:$B$401,$B4,'Player Rounds'!$L$2:$L$401,"&gt;0")=0,"",SIGN(_xlfn.MINIFS('Player Rounds'!$AF$2:$AF$401,'Player Rounds'!$A$2:$A$401,$A4,'Player Rounds'!$B$2:$B$401,$B4,'Player Rounds'!$C$2:$C$401,$D4)-_xlfn.MINIFS('Player Rounds'!$AF$2:$AF$401,'Player Rounds'!$A$2:$A$401,$A4,'Player Rounds'!$B$2:$B$401,$B4,'Player Rounds'!$C$2:$C$401,$C4))))</f>
      </c>
      <c r="S4" t="e">
        <f>IF($A4="","",IF(COUNTIFS('Player Rounds'!$A$2:$A$401,$A4,'Player Rounds'!$B$2:$B$401,$B4,'Player Rounds'!$M$2:$M$401,"&gt;0")=0,"",SIGN(_xlfn.MINIFS('Player Rounds'!$AG$2:$AG$401,'Player Rounds'!$A$2:$A$401,$A4,'Player Rounds'!$B$2:$B$401,$B4,'Player Rounds'!$C$2:$C$401,$D4)-_xlfn.MINIFS('Player Rounds'!$AG$2:$AG$401,'Player Rounds'!$A$2:$A$401,$A4,'Player Rounds'!$B$2:$B$401,$B4,'Player Rounds'!$C$2:$C$401,$C4))))</f>
      </c>
      <c r="T4" t="e">
        <f>IF($A4="","",IF(COUNTIFS('Player Rounds'!$A$2:$A$401,$A4,'Player Rounds'!$B$2:$B$401,$B4,'Player Rounds'!$N$2:$N$401,"&gt;0")=0,"",SIGN(_xlfn.MINIFS('Player Rounds'!$AH$2:$AH$401,'Player Rounds'!$A$2:$A$401,$A4,'Player Rounds'!$B$2:$B$401,$B4,'Player Rounds'!$C$2:$C$401,$D4)-_xlfn.MINIFS('Player Rounds'!$AH$2:$AH$401,'Player Rounds'!$A$2:$A$401,$A4,'Player Rounds'!$B$2:$B$401,$B4,'Player Rounds'!$C$2:$C$401,$C4))))</f>
      </c>
      <c r="U4" t="e">
        <f>IF($A4="","",IF(COUNTIFS('Player Rounds'!$A$2:$A$401,$A4,'Player Rounds'!$B$2:$B$401,$B4,'Player Rounds'!$O$2:$O$401,"&gt;0")=0,"",SIGN(_xlfn.MINIFS('Player Rounds'!$AI$2:$AI$401,'Player Rounds'!$A$2:$A$401,$A4,'Player Rounds'!$B$2:$B$401,$B4,'Player Rounds'!$C$2:$C$401,$D4)-_xlfn.MINIFS('Player Rounds'!$AI$2:$AI$401,'Player Rounds'!$A$2:$A$401,$A4,'Player Rounds'!$B$2:$B$401,$B4,'Player Rounds'!$C$2:$C$401,$C4))))</f>
      </c>
      <c r="V4" t="e">
        <f>IF($A4="","",IF(COUNTIFS('Player Rounds'!$A$2:$A$401,$A4,'Player Rounds'!$B$2:$B$401,$B4,'Player Rounds'!$P$2:$P$401,"&gt;0")=0,"",SIGN(_xlfn.MINIFS('Player Rounds'!$AJ$2:$AJ$401,'Player Rounds'!$A$2:$A$401,$A4,'Player Rounds'!$B$2:$B$401,$B4,'Player Rounds'!$C$2:$C$401,$D4)-_xlfn.MINIFS('Player Rounds'!$AJ$2:$AJ$401,'Player Rounds'!$A$2:$A$401,$A4,'Player Rounds'!$B$2:$B$401,$B4,'Player Rounds'!$C$2:$C$401,$C4))))</f>
      </c>
      <c r="W4" t="e">
        <f>IF($A4="","",IF(COUNTIFS('Player Rounds'!$A$2:$A$401,$A4,'Player Rounds'!$B$2:$B$401,$B4,'Player Rounds'!$Q$2:$Q$401,"&gt;0")=0,"",SIGN(_xlfn.MINIFS('Player Rounds'!$AK$2:$AK$401,'Player Rounds'!$A$2:$A$401,$A4,'Player Rounds'!$B$2:$B$401,$B4,'Player Rounds'!$C$2:$C$401,$D4)-_xlfn.MINIFS('Player Rounds'!$AK$2:$AK$401,'Player Rounds'!$A$2:$A$401,$A4,'Player Rounds'!$B$2:$B$401,$B4,'Player Rounds'!$C$2:$C$401,$C4))))</f>
      </c>
      <c r="X4" t="e">
        <f>IF($A4="","",IF(COUNTIFS('Player Rounds'!$A$2:$A$401,$A4,'Player Rounds'!$B$2:$B$401,$B4,'Player Rounds'!$R$2:$R$401,"&gt;0")=0,"",SIGN(_xlfn.MINIFS('Player Rounds'!$AL$2:$AL$401,'Player Rounds'!$A$2:$A$401,$A4,'Player Rounds'!$B$2:$B$401,$B4,'Player Rounds'!$C$2:$C$401,$D4)-_xlfn.MINIFS('Player Rounds'!$AL$2:$AL$401,'Player Rounds'!$A$2:$A$401,$A4,'Player Rounds'!$B$2:$B$401,$B4,'Player Rounds'!$C$2:$C$401,$C4))))</f>
      </c>
      <c r="Y4" t="e">
        <f>IF($A4="","",IF(COUNTIFS('Player Rounds'!$A$2:$A$401,$A4,'Player Rounds'!$B$2:$B$401,$B4,'Player Rounds'!$S$2:$S$401,"&gt;0")=0,"",SIGN(_xlfn.MINIFS('Player Rounds'!$AM$2:$AM$401,'Player Rounds'!$A$2:$A$401,$A4,'Player Rounds'!$B$2:$B$401,$B4,'Player Rounds'!$C$2:$C$401,$D4)-_xlfn.MINIFS('Player Rounds'!$AM$2:$AM$401,'Player Rounds'!$A$2:$A$401,$A4,'Player Rounds'!$B$2:$B$401,$B4,'Player Rounds'!$C$2:$C$401,$C4))))</f>
      </c>
      <c r="Z4" t="e">
        <f>IF($A4="","",IF(COUNTIFS('Player Rounds'!$A$2:$A$401,$A4,'Player Rounds'!$B$2:$B$401,$B4,'Player Rounds'!$T$2:$T$401,"&gt;0")=0,"",SIGN(_xlfn.MINIFS('Player Rounds'!$AN$2:$AN$401,'Player Rounds'!$A$2:$A$401,$A4,'Player Rounds'!$B$2:$B$401,$B4,'Player Rounds'!$C$2:$C$401,$D4)-_xlfn.MINIFS('Player Rounds'!$AN$2:$AN$401,'Player Rounds'!$A$2:$A$401,$A4,'Player Rounds'!$B$2:$B$401,$B4,'Player Rounds'!$C$2:$C$401,$C4))))</f>
      </c>
      <c r="AA4" t="e">
        <f>IF($A4="","",IF(COUNTIFS('Player Rounds'!$A$2:$A$401,$A4,'Player Rounds'!$B$2:$B$401,$B4,'Player Rounds'!$U$2:$U$401,"&gt;0")=0,"",SIGN(_xlfn.MINIFS('Player Rounds'!$AO$2:$AO$401,'Player Rounds'!$A$2:$A$401,$A4,'Player Rounds'!$B$2:$B$401,$B4,'Player Rounds'!$C$2:$C$401,$D4)-_xlfn.MINIFS('Player Rounds'!$AO$2:$AO$401,'Player Rounds'!$A$2:$A$401,$A4,'Player Rounds'!$B$2:$B$401,$B4,'Player Rounds'!$C$2:$C$401,$C4))))</f>
      </c>
      <c r="AB4" t="e">
        <f>IF($A4="","",IF(COUNTIFS('Player Rounds'!$A$2:$A$401,$A4,'Player Rounds'!$B$2:$B$401,$B4,'Player Rounds'!$V$2:$V$401,"&gt;0")=0,"",SIGN(_xlfn.MINIFS('Player Rounds'!$AP$2:$AP$401,'Player Rounds'!$A$2:$A$401,$A4,'Player Rounds'!$B$2:$B$401,$B4,'Player Rounds'!$C$2:$C$401,$D4)-_xlfn.MINIFS('Player Rounds'!$AP$2:$AP$401,'Player Rounds'!$A$2:$A$401,$A4,'Player Rounds'!$B$2:$B$401,$B4,'Player Rounds'!$C$2:$C$401,$C4))))</f>
      </c>
      <c r="AC4" t="e">
        <f>IF($A4="","",IF(COUNTIFS('Player Rounds'!$A$2:$A$401,$A4,'Player Rounds'!$B$2:$B$401,$B4,'Player Rounds'!$W$2:$W$401,"&gt;0")=0,"",SIGN(_xlfn.MINIFS('Player Rounds'!$AQ$2:$AQ$401,'Player Rounds'!$A$2:$A$401,$A4,'Player Rounds'!$B$2:$B$401,$B4,'Player Rounds'!$C$2:$C$401,$D4)-_xlfn.MINIFS('Player Rounds'!$AQ$2:$AQ$401,'Player Rounds'!$A$2:$A$401,$A4,'Player Rounds'!$B$2:$B$401,$B4,'Player Rounds'!$C$2:$C$401,$C4))))</f>
      </c>
      <c r="AD4" t="e">
        <f>IF($A4="","",SUM($L4:L4))</f>
      </c>
      <c r="AE4" t="e">
        <f>IF($A4="","",SUM($L4:M4))</f>
      </c>
      <c r="AF4" t="e">
        <f>IF($A4="","",SUM($L4:N4))</f>
      </c>
      <c r="AG4" t="e">
        <f>IF($A4="","",SUM($L4:O4))</f>
      </c>
      <c r="AH4" t="e">
        <f>IF($A4="","",SUM($L4:P4))</f>
      </c>
      <c r="AI4" t="e">
        <f>IF($A4="","",SUM($L4:Q4))</f>
      </c>
      <c r="AJ4" t="e">
        <f>IF($A4="","",SUM($L4:R4))</f>
      </c>
      <c r="AK4" t="e">
        <f>IF($A4="","",SUM($L4:S4))</f>
      </c>
      <c r="AL4" t="e">
        <f>IF($A4="","",SUM($L4:T4))</f>
      </c>
      <c r="AM4" t="e">
        <f>IF($A4="","",SUM($L4:U4))</f>
      </c>
      <c r="AN4" t="e">
        <f>IF($A4="","",SUM($L4:V4))</f>
      </c>
      <c r="AO4" t="e">
        <f>IF($A4="","",SUM($L4:W4))</f>
      </c>
      <c r="AP4" t="e">
        <f>IF($A4="","",SUM($L4:X4))</f>
      </c>
      <c r="AQ4" t="e">
        <f>IF($A4="","",SUM($L4:Y4))</f>
      </c>
      <c r="AR4" t="e">
        <f>IF($A4="","",SUM($L4:Z4))</f>
      </c>
      <c r="AS4" t="e">
        <f>IF($A4="","",SUM($L4:AA4))</f>
      </c>
      <c r="AT4" t="e">
        <f>IF($A4="","",SUM($L4:AB4))</f>
      </c>
      <c r="AU4" t="e">
        <f>IF($A4="","",SUM($L4:AC4))</f>
      </c>
      <c r="AV4" t="e">
        <f>IF(OR($A4="",L4=""),"",IF(ABS(AD4)&gt;17,1,""))</f>
      </c>
      <c r="AW4" t="e">
        <f>IF(OR($A4="",M4=""),"",IF(ABS(AE4)&gt;16,2,""))</f>
      </c>
      <c r="AX4" t="e">
        <f>IF(OR($A4="",N4=""),"",IF(ABS(AF4)&gt;15,3,""))</f>
      </c>
      <c r="AY4" t="e">
        <f>IF(OR($A4="",O4=""),"",IF(ABS(AG4)&gt;14,4,""))</f>
      </c>
      <c r="AZ4" t="e">
        <f>IF(OR($A4="",P4=""),"",IF(ABS(AH4)&gt;13,5,""))</f>
      </c>
      <c r="BA4" t="e">
        <f>IF(OR($A4="",Q4=""),"",IF(ABS(AI4)&gt;12,6,""))</f>
      </c>
      <c r="BB4" t="e">
        <f>IF(OR($A4="",R4=""),"",IF(ABS(AJ4)&gt;11,7,""))</f>
      </c>
      <c r="BC4" t="e">
        <f>IF(OR($A4="",S4=""),"",IF(ABS(AK4)&gt;10,8,""))</f>
      </c>
      <c r="BD4" t="e">
        <f>IF(OR($A4="",T4=""),"",IF(ABS(AL4)&gt;9,9,""))</f>
      </c>
      <c r="BE4" t="e">
        <f>IF(OR($A4="",U4=""),"",IF(ABS(AM4)&gt;8,10,""))</f>
      </c>
      <c r="BF4" t="e">
        <f>IF(OR($A4="",V4=""),"",IF(ABS(AN4)&gt;7,11,""))</f>
      </c>
      <c r="BG4" t="e">
        <f>IF(OR($A4="",W4=""),"",IF(ABS(AO4)&gt;6,12,""))</f>
      </c>
      <c r="BH4" t="e">
        <f>IF(OR($A4="",X4=""),"",IF(ABS(AP4)&gt;5,13,""))</f>
      </c>
      <c r="BI4" t="e">
        <f>IF(OR($A4="",Y4=""),"",IF(ABS(AQ4)&gt;4,14,""))</f>
      </c>
      <c r="BJ4" t="e">
        <f>IF(OR($A4="",Z4=""),"",IF(ABS(AR4)&gt;3,15,""))</f>
      </c>
      <c r="BK4" t="e">
        <f>IF(OR($A4="",AA4=""),"",IF(ABS(AS4)&gt;2,16,""))</f>
      </c>
      <c r="BL4" t="e">
        <f>IF(OR($A4="",AB4=""),"",IF(ABS(AT4)&gt;1,17,""))</f>
      </c>
      <c r="BM4" t="e">
        <f>IF(OR($A4="",AC4=""),"",IF(ABS(AU4)&gt;0,18,""))</f>
      </c>
    </row>
    <row r="5">
      <c r="A5">
        <v>2</v>
      </c>
      <c r="B5">
        <v>2</v>
      </c>
      <c r="C5" t="str">
        <f>IF($A5="","",INDEX('Tournament Setup'!$J:$J,MATCH($A5,'Tournament Setup'!$A:$A,0)))</f>
        <v/>
      </c>
      <c r="D5" t="str">
        <f>IF($A5="","",INDEX('Tournament Setup'!$K:$K,MATCH($A5,'Tournament Setup'!$A:$A,0)))</f>
        <v/>
      </c>
      <c r="E5" t="str">
        <f>IF($A5="","",IF(COUNT(L5:AC5)=0,"Not played",IF(AND($K5&gt;0,$K5&lt;18),IF(INDEX(AD5:AU5,1,$K5)&gt;0,$C5,$D5)&amp;" "&amp;ABS(INDEX(AD5:AU5,1,$K5))&amp;"&amp;"&amp;(18-$K5),IF($J5=0,"Halved (AS)",IF($J5&gt;0,$C5,$D5)&amp;" "&amp;ABS($J5)&amp;" UP"))))</f>
        <v/>
      </c>
      <c r="F5" t="e">
        <f>IF(OR($A5="",COUNT(L5:AC5)=0),"",INDEX('Tournament Setup'!$I:$I,MATCH($A5,'Tournament Setup'!$A:$A,0))*IF(INDEX('Tournament Setup'!$H:$H,MATCH($A5,'Tournament Setup'!$A:$A,0))="Yes",IF($H5&gt;0,1,IF($H5=0,0.5,0))+IF($I5&gt;0,1,IF($I5=0,0.5,0))+IF($J5&gt;0,1,IF($J5=0,0.5,0)),IF(IF(AND($K5&gt;0,$K5&lt;18),INDEX(AD5:AU5,1,$K5),$J5)&gt;0,1,IF(IF(AND($K5&gt;0,$K5&lt;18),INDEX(AD5:AU5,1,$K5),$J5)=0,0.5,0))))</f>
      </c>
      <c r="G5" t="e">
        <f>IF(OR($A5="",COUNT(L5:AC5)=0),"",INDEX('Tournament Setup'!$I:$I,MATCH($A5,'Tournament Setup'!$A:$A,0))*IF(INDEX('Tournament Setup'!$H:$H,MATCH($A5,'Tournament Setup'!$A:$A,0))="Yes",IF($H5&lt;0,1,IF($H5=0,0.5,0))+IF($I5&lt;0,1,IF($I5=0,0.5,0))+IF($J5&lt;0,1,IF($J5=0,0.5,0)),IF(IF(AND($K5&gt;0,$K5&lt;18),INDEX(AD5:AU5,1,$K5),$J5)&lt;0,1,IF(IF(AND($K5&gt;0,$K5&lt;18),INDEX(AD5:AU5,1,$K5),$J5)=0,0.5,0))))</f>
      </c>
      <c r="H5" t="e">
        <f>IF($A5="","",SUM(L5:T5))</f>
      </c>
      <c r="I5" t="e">
        <f>IF($A5="","",SUM(U5:AC5))</f>
      </c>
      <c r="J5" t="e">
        <f>IF($A5="","",SUM(L5:AC5))</f>
      </c>
      <c r="K5" t="e">
        <f>IF($A5="","",MIN(AV5:BM5))</f>
      </c>
      <c r="L5" t="e">
        <f>IF($A5="","",IF(COUNTIFS('Player Rounds'!$A$2:$A$401,$A5,'Player Rounds'!$B$2:$B$401,$B5,'Player Rounds'!$F$2:$F$401,"&gt;0")=0,"",SIGN(_xlfn.MINIFS('Player Rounds'!$Z$2:$Z$401,'Player Rounds'!$A$2:$A$401,$A5,'Player Rounds'!$B$2:$B$401,$B5,'Player Rounds'!$C$2:$C$401,$D5)-_xlfn.MINIFS('Player Rounds'!$Z$2:$Z$401,'Player Rounds'!$A$2:$A$401,$A5,'Player Rounds'!$B$2:$B$401,$B5,'Player Rounds'!$C$2:$C$401,$C5))))</f>
      </c>
      <c r="M5" t="e">
        <f>IF($A5="","",IF(COUNTIFS('Player Rounds'!$A$2:$A$401,$A5,'Player Rounds'!$B$2:$B$401,$B5,'Player Rounds'!$G$2:$G$401,"&gt;0")=0,"",SIGN(_xlfn.MINIFS('Player Rounds'!$AA$2:$AA$401,'Player Rounds'!$A$2:$A$401,$A5,'Player Rounds'!$B$2:$B$401,$B5,'Player Rounds'!$C$2:$C$401,$D5)-_xlfn.MINIFS('Player Rounds'!$AA$2:$AA$401,'Player Rounds'!$A$2:$A$401,$A5,'Player Rounds'!$B$2:$B$401,$B5,'Player Rounds'!$C$2:$C$401,$C5))))</f>
      </c>
      <c r="N5" t="e">
        <f>IF($A5="","",IF(COUNTIFS('Player Rounds'!$A$2:$A$401,$A5,'Player Rounds'!$B$2:$B$401,$B5,'Player Rounds'!$H$2:$H$401,"&gt;0")=0,"",SIGN(_xlfn.MINIFS('Player Rounds'!$AB$2:$AB$401,'Player Rounds'!$A$2:$A$401,$A5,'Player Rounds'!$B$2:$B$401,$B5,'Player Rounds'!$C$2:$C$401,$D5)-_xlfn.MINIFS('Player Rounds'!$AB$2:$AB$401,'Player Rounds'!$A$2:$A$401,$A5,'Player Rounds'!$B$2:$B$401,$B5,'Player Rounds'!$C$2:$C$401,$C5))))</f>
      </c>
      <c r="O5" t="e">
        <f>IF($A5="","",IF(COUNTIFS('Player Rounds'!$A$2:$A$401,$A5,'Player Rounds'!$B$2:$B$401,$B5,'Player Rounds'!$I$2:$I$401,"&gt;0")=0,"",SIGN(_xlfn.MINIFS('Player Rounds'!$AC$2:$AC$401,'Player Rounds'!$A$2:$A$401,$A5,'Player Rounds'!$B$2:$B$401,$B5,'Player Rounds'!$C$2:$C$401,$D5)-_xlfn.MINIFS('Player Rounds'!$AC$2:$AC$401,'Player Rounds'!$A$2:$A$401,$A5,'Player Rounds'!$B$2:$B$401,$B5,'Player Rounds'!$C$2:$C$401,$C5))))</f>
      </c>
      <c r="P5" t="e">
        <f>IF($A5="","",IF(COUNTIFS('Player Rounds'!$A$2:$A$401,$A5,'Player Rounds'!$B$2:$B$401,$B5,'Player Rounds'!$J$2:$J$401,"&gt;0")=0,"",SIGN(_xlfn.MINIFS('Player Rounds'!$AD$2:$AD$401,'Player Rounds'!$A$2:$A$401,$A5,'Player Rounds'!$B$2:$B$401,$B5,'Player Rounds'!$C$2:$C$401,$D5)-_xlfn.MINIFS('Player Rounds'!$AD$2:$AD$401,'Player Rounds'!$A$2:$A$401,$A5,'Player Rounds'!$B$2:$B$401,$B5,'Player Rounds'!$C$2:$C$401,$C5))))</f>
      </c>
      <c r="Q5" t="e">
        <f>IF($A5="","",IF(COUNTIFS('Player Rounds'!$A$2:$A$401,$A5,'Player Rounds'!$B$2:$B$401,$B5,'Player Rounds'!$K$2:$K$401,"&gt;0")=0,"",SIGN(_xlfn.MINIFS('Player Rounds'!$AE$2:$AE$401,'Player Rounds'!$A$2:$A$401,$A5,'Player Rounds'!$B$2:$B$401,$B5,'Player Rounds'!$C$2:$C$401,$D5)-_xlfn.MINIFS('Player Rounds'!$AE$2:$AE$401,'Player Rounds'!$A$2:$A$401,$A5,'Player Rounds'!$B$2:$B$401,$B5,'Player Rounds'!$C$2:$C$401,$C5))))</f>
      </c>
      <c r="R5" t="e">
        <f>IF($A5="","",IF(COUNTIFS('Player Rounds'!$A$2:$A$401,$A5,'Player Rounds'!$B$2:$B$401,$B5,'Player Rounds'!$L$2:$L$401,"&gt;0")=0,"",SIGN(_xlfn.MINIFS('Player Rounds'!$AF$2:$AF$401,'Player Rounds'!$A$2:$A$401,$A5,'Player Rounds'!$B$2:$B$401,$B5,'Player Rounds'!$C$2:$C$401,$D5)-_xlfn.MINIFS('Player Rounds'!$AF$2:$AF$401,'Player Rounds'!$A$2:$A$401,$A5,'Player Rounds'!$B$2:$B$401,$B5,'Player Rounds'!$C$2:$C$401,$C5))))</f>
      </c>
      <c r="S5" t="e">
        <f>IF($A5="","",IF(COUNTIFS('Player Rounds'!$A$2:$A$401,$A5,'Player Rounds'!$B$2:$B$401,$B5,'Player Rounds'!$M$2:$M$401,"&gt;0")=0,"",SIGN(_xlfn.MINIFS('Player Rounds'!$AG$2:$AG$401,'Player Rounds'!$A$2:$A$401,$A5,'Player Rounds'!$B$2:$B$401,$B5,'Player Rounds'!$C$2:$C$401,$D5)-_xlfn.MINIFS('Player Rounds'!$AG$2:$AG$401,'Player Rounds'!$A$2:$A$401,$A5,'Player Rounds'!$B$2:$B$401,$B5,'Player Rounds'!$C$2:$C$401,$C5))))</f>
      </c>
      <c r="T5" t="e">
        <f>IF($A5="","",IF(COUNTIFS('Player Rounds'!$A$2:$A$401,$A5,'Player Rounds'!$B$2:$B$401,$B5,'Player Rounds'!$N$2:$N$401,"&gt;0")=0,"",SIGN(_xlfn.MINIFS('Player Rounds'!$AH$2:$AH$401,'Player Rounds'!$A$2:$A$401,$A5,'Player Rounds'!$B$2:$B$401,$B5,'Player Rounds'!$C$2:$C$401,$D5)-_xlfn.MINIFS('Player Rounds'!$AH$2:$AH$401,'Player Rounds'!$A$2:$A$401,$A5,'Player Rounds'!$B$2:$B$401,$B5,'Player Rounds'!$C$2:$C$401,$C5))))</f>
      </c>
      <c r="U5" t="e">
        <f>IF($A5="","",IF(COUNTIFS('Player Rounds'!$A$2:$A$401,$A5,'Player Rounds'!$B$2:$B$401,$B5,'Player Rounds'!$O$2:$O$401,"&gt;0")=0,"",SIGN(_xlfn.MINIFS('Player Rounds'!$AI$2:$AI$401,'Player Rounds'!$A$2:$A$401,$A5,'Player Rounds'!$B$2:$B$401,$B5,'Player Rounds'!$C$2:$C$401,$D5)-_xlfn.MINIFS('Player Rounds'!$AI$2:$AI$401,'Player Rounds'!$A$2:$A$401,$A5,'Player Rounds'!$B$2:$B$401,$B5,'Player Rounds'!$C$2:$C$401,$C5))))</f>
      </c>
      <c r="V5" t="e">
        <f>IF($A5="","",IF(COUNTIFS('Player Rounds'!$A$2:$A$401,$A5,'Player Rounds'!$B$2:$B$401,$B5,'Player Rounds'!$P$2:$P$401,"&gt;0")=0,"",SIGN(_xlfn.MINIFS('Player Rounds'!$AJ$2:$AJ$401,'Player Rounds'!$A$2:$A$401,$A5,'Player Rounds'!$B$2:$B$401,$B5,'Player Rounds'!$C$2:$C$401,$D5)-_xlfn.MINIFS('Player Rounds'!$AJ$2:$AJ$401,'Player Rounds'!$A$2:$A$401,$A5,'Player Rounds'!$B$2:$B$401,$B5,'Player Rounds'!$C$2:$C$401,$C5))))</f>
      </c>
      <c r="W5" t="e">
        <f>IF($A5="","",IF(COUNTIFS('Player Rounds'!$A$2:$A$401,$A5,'Player Rounds'!$B$2:$B$401,$B5,'Player Rounds'!$Q$2:$Q$401,"&gt;0")=0,"",SIGN(_xlfn.MINIFS('Player Rounds'!$AK$2:$AK$401,'Player Rounds'!$A$2:$A$401,$A5,'Player Rounds'!$B$2:$B$401,$B5,'Player Rounds'!$C$2:$C$401,$D5)-_xlfn.MINIFS('Player Rounds'!$AK$2:$AK$401,'Player Rounds'!$A$2:$A$401,$A5,'Player Rounds'!$B$2:$B$401,$B5,'Player Rounds'!$C$2:$C$401,$C5))))</f>
      </c>
      <c r="X5" t="e">
        <f>IF($A5="","",IF(COUNTIFS('Player Rounds'!$A$2:$A$401,$A5,'Player Rounds'!$B$2:$B$401,$B5,'Player Rounds'!$R$2:$R$401,"&gt;0")=0,"",SIGN(_xlfn.MINIFS('Player Rounds'!$AL$2:$AL$401,'Player Rounds'!$A$2:$A$401,$A5,'Player Rounds'!$B$2:$B$401,$B5,'Player Rounds'!$C$2:$C$401,$D5)-_xlfn.MINIFS('Player Rounds'!$AL$2:$AL$401,'Player Rounds'!$A$2:$A$401,$A5,'Player Rounds'!$B$2:$B$401,$B5,'Player Rounds'!$C$2:$C$401,$C5))))</f>
      </c>
      <c r="Y5" t="e">
        <f>IF($A5="","",IF(COUNTIFS('Player Rounds'!$A$2:$A$401,$A5,'Player Rounds'!$B$2:$B$401,$B5,'Player Rounds'!$S$2:$S$401,"&gt;0")=0,"",SIGN(_xlfn.MINIFS('Player Rounds'!$AM$2:$AM$401,'Player Rounds'!$A$2:$A$401,$A5,'Player Rounds'!$B$2:$B$401,$B5,'Player Rounds'!$C$2:$C$401,$D5)-_xlfn.MINIFS('Player Rounds'!$AM$2:$AM$401,'Player Rounds'!$A$2:$A$401,$A5,'Player Rounds'!$B$2:$B$401,$B5,'Player Rounds'!$C$2:$C$401,$C5))))</f>
      </c>
      <c r="Z5" t="e">
        <f>IF($A5="","",IF(COUNTIFS('Player Rounds'!$A$2:$A$401,$A5,'Player Rounds'!$B$2:$B$401,$B5,'Player Rounds'!$T$2:$T$401,"&gt;0")=0,"",SIGN(_xlfn.MINIFS('Player Rounds'!$AN$2:$AN$401,'Player Rounds'!$A$2:$A$401,$A5,'Player Rounds'!$B$2:$B$401,$B5,'Player Rounds'!$C$2:$C$401,$D5)-_xlfn.MINIFS('Player Rounds'!$AN$2:$AN$401,'Player Rounds'!$A$2:$A$401,$A5,'Player Rounds'!$B$2:$B$401,$B5,'Player Rounds'!$C$2:$C$401,$C5))))</f>
      </c>
      <c r="AA5" t="e">
        <f>IF($A5="","",IF(COUNTIFS('Player Rounds'!$A$2:$A$401,$A5,'Player Rounds'!$B$2:$B$401,$B5,'Player Rounds'!$U$2:$U$401,"&gt;0")=0,"",SIGN(_xlfn.MINIFS('Player Rounds'!$AO$2:$AO$401,'Player Rounds'!$A$2:$A$401,$A5,'Player Rounds'!$B$2:$B$401,$B5,'Player Rounds'!$C$2:$C$401,$D5)-_xlfn.MINIFS('Player Rounds'!$AO$2:$AO$401,'Player Rounds'!$A$2:$A$401,$A5,'Player Rounds'!$B$2:$B$401,$B5,'Player Rounds'!$C$2:$C$401,$C5))))</f>
      </c>
      <c r="AB5" t="e">
        <f>IF($A5="","",IF(COUNTIFS('Player Rounds'!$A$2:$A$401,$A5,'Player Rounds'!$B$2:$B$401,$B5,'Player Rounds'!$V$2:$V$401,"&gt;0")=0,"",SIGN(_xlfn.MINIFS('Player Rounds'!$AP$2:$AP$401,'Player Rounds'!$A$2:$A$401,$A5,'Player Rounds'!$B$2:$B$401,$B5,'Player Rounds'!$C$2:$C$401,$D5)-_xlfn.MINIFS('Player Rounds'!$AP$2:$AP$401,'Player Rounds'!$A$2:$A$401,$A5,'Player Rounds'!$B$2:$B$401,$B5,'Player Rounds'!$C$2:$C$401,$C5))))</f>
      </c>
      <c r="AC5" t="e">
        <f>IF($A5="","",IF(COUNTIFS('Player Rounds'!$A$2:$A$401,$A5,'Player Rounds'!$B$2:$B$401,$B5,'Player Rounds'!$W$2:$W$401,"&gt;0")=0,"",SIGN(_xlfn.MINIFS('Player Rounds'!$AQ$2:$AQ$401,'Player Rounds'!$A$2:$A$401,$A5,'Player Rounds'!$B$2:$B$401,$B5,'Player Rounds'!$C$2:$C$401,$D5)-_xlfn.MINIFS('Player Rounds'!$AQ$2:$AQ$401,'Player Rounds'!$A$2:$A$401,$A5,'Player Rounds'!$B$2:$B$401,$B5,'Player Rounds'!$C$2:$C$401,$C5))))</f>
      </c>
      <c r="AD5" t="e">
        <f>IF($A5="","",SUM($L5:L5))</f>
      </c>
      <c r="AE5" t="e">
        <f>IF($A5="","",SUM($L5:M5))</f>
      </c>
      <c r="AF5" t="e">
        <f>IF($A5="","",SUM($L5:N5))</f>
      </c>
      <c r="AG5" t="e">
        <f>IF($A5="","",SUM($L5:O5))</f>
      </c>
      <c r="AH5" t="e">
        <f>IF($A5="","",SUM($L5:P5))</f>
      </c>
      <c r="AI5" t="e">
        <f>IF($A5="","",SUM($L5:Q5))</f>
      </c>
      <c r="AJ5" t="e">
        <f>IF($A5="","",SUM($L5:R5))</f>
      </c>
      <c r="AK5" t="e">
        <f>IF($A5="","",SUM($L5:S5))</f>
      </c>
      <c r="AL5" t="e">
        <f>IF($A5="","",SUM($L5:T5))</f>
      </c>
      <c r="AM5" t="e">
        <f>IF($A5="","",SUM($L5:U5))</f>
      </c>
      <c r="AN5" t="e">
        <f>IF($A5="","",SUM($L5:V5))</f>
      </c>
      <c r="AO5" t="e">
        <f>IF($A5="","",SUM($L5:W5))</f>
      </c>
      <c r="AP5" t="e">
        <f>IF($A5="","",SUM($L5:X5))</f>
      </c>
      <c r="AQ5" t="e">
        <f>IF($A5="","",SUM($L5:Y5))</f>
      </c>
      <c r="AR5" t="e">
        <f>IF($A5="","",SUM($L5:Z5))</f>
      </c>
      <c r="AS5" t="e">
        <f>IF($A5="","",SUM($L5:AA5))</f>
      </c>
      <c r="AT5" t="e">
        <f>IF($A5="","",SUM($L5:AB5))</f>
      </c>
      <c r="AU5" t="e">
        <f>IF($A5="","",SUM($L5:AC5))</f>
      </c>
      <c r="AV5" t="e">
        <f>IF(OR($A5="",L5=""),"",IF(ABS(AD5)&gt;17,1,""))</f>
      </c>
      <c r="AW5" t="e">
        <f>IF(OR($A5="",M5=""),"",IF(ABS(AE5)&gt;16,2,""))</f>
      </c>
      <c r="AX5" t="e">
        <f>IF(OR($A5="",N5=""),"",IF(ABS(AF5)&gt;15,3,""))</f>
      </c>
      <c r="AY5" t="e">
        <f>IF(OR($A5="",O5=""),"",IF(ABS(AG5)&gt;14,4,""))</f>
      </c>
      <c r="AZ5" t="e">
        <f>IF(OR($A5="",P5=""),"",IF(ABS(AH5)&gt;13,5,""))</f>
      </c>
      <c r="BA5" t="e">
        <f>IF(OR($A5="",Q5=""),"",IF(ABS(AI5)&gt;12,6,""))</f>
      </c>
      <c r="BB5" t="e">
        <f>IF(OR($A5="",R5=""),"",IF(ABS(AJ5)&gt;11,7,""))</f>
      </c>
      <c r="BC5" t="e">
        <f>IF(OR($A5="",S5=""),"",IF(ABS(AK5)&gt;10,8,""))</f>
      </c>
      <c r="BD5" t="e">
        <f>IF(OR($A5="",T5=""),"",IF(ABS(AL5)&gt;9,9,""))</f>
      </c>
      <c r="BE5" t="e">
        <f>IF(OR($A5="",U5=""),"",IF(ABS(AM5)&gt;8,10,""))</f>
      </c>
      <c r="BF5" t="e">
        <f>IF(OR($A5="",V5=""),"",IF(ABS(AN5)&gt;7,11,""))</f>
      </c>
      <c r="BG5" t="e">
        <f>IF(OR($A5="",W5=""),"",IF(ABS(AO5)&gt;6,12,""))</f>
      </c>
      <c r="BH5" t="e">
        <f>IF(OR($A5="",X5=""),"",IF(ABS(AP5)&gt;5,13,""))</f>
      </c>
      <c r="BI5" t="e">
        <f>IF(OR($A5="",Y5=""),"",IF(ABS(AQ5)&gt;4,14,""))</f>
      </c>
      <c r="BJ5" t="e">
        <f>IF(OR($A5="",Z5=""),"",IF(ABS(AR5)&gt;3,15,""))</f>
      </c>
      <c r="BK5" t="e">
        <f>IF(OR($A5="",AA5=""),"",IF(ABS(AS5)&gt;2,16,""))</f>
      </c>
      <c r="BL5" t="e">
        <f>IF(OR($A5="",AB5=""),"",IF(ABS(AT5)&gt;1,17,""))</f>
      </c>
      <c r="BM5" t="e">
        <f>IF(OR($A5="",AC5=""),"",IF(ABS(AU5)&gt;0,18,""))</f>
      </c>
    </row>
    <row r="6">
      <c r="A6">
        <v>2</v>
      </c>
      <c r="B6">
        <v>3</v>
      </c>
      <c r="C6" t="str">
        <f>IF($A6="","",INDEX('Tournament Setup'!$J:$J,MATCH($A6,'Tournament Setup'!$A:$A,0)))</f>
        <v/>
      </c>
      <c r="D6" t="str">
        <f>IF($A6="","",INDEX('Tournament Setup'!$K:$K,MATCH($A6,'Tournament Setup'!$A:$A,0)))</f>
        <v/>
      </c>
      <c r="E6" t="str">
        <f>IF($A6="","",IF(COUNT(L6:AC6)=0,"Not played",IF(AND($K6&gt;0,$K6&lt;18),IF(INDEX(AD6:AU6,1,$K6)&gt;0,$C6,$D6)&amp;" "&amp;ABS(INDEX(AD6:AU6,1,$K6))&amp;"&amp;"&amp;(18-$K6),IF($J6=0,"Halved (AS)",IF($J6&gt;0,$C6,$D6)&amp;" "&amp;ABS($J6)&amp;" UP"))))</f>
        <v/>
      </c>
      <c r="F6" t="e">
        <f>IF(OR($A6="",COUNT(L6:AC6)=0),"",INDEX('Tournament Setup'!$I:$I,MATCH($A6,'Tournament Setup'!$A:$A,0))*IF(INDEX('Tournament Setup'!$H:$H,MATCH($A6,'Tournament Setup'!$A:$A,0))="Yes",IF($H6&gt;0,1,IF($H6=0,0.5,0))+IF($I6&gt;0,1,IF($I6=0,0.5,0))+IF($J6&gt;0,1,IF($J6=0,0.5,0)),IF(IF(AND($K6&gt;0,$K6&lt;18),INDEX(AD6:AU6,1,$K6),$J6)&gt;0,1,IF(IF(AND($K6&gt;0,$K6&lt;18),INDEX(AD6:AU6,1,$K6),$J6)=0,0.5,0))))</f>
      </c>
      <c r="G6" t="e">
        <f>IF(OR($A6="",COUNT(L6:AC6)=0),"",INDEX('Tournament Setup'!$I:$I,MATCH($A6,'Tournament Setup'!$A:$A,0))*IF(INDEX('Tournament Setup'!$H:$H,MATCH($A6,'Tournament Setup'!$A:$A,0))="Yes",IF($H6&lt;0,1,IF($H6=0,0.5,0))+IF($I6&lt;0,1,IF($I6=0,0.5,0))+IF($J6&lt;0,1,IF($J6=0,0.5,0)),IF(IF(AND($K6&gt;0,$K6&lt;18),INDEX(AD6:AU6,1,$K6),$J6)&lt;0,1,IF(IF(AND($K6&gt;0,$K6&lt;18),INDEX(AD6:AU6,1,$K6),$J6)=0,0.5,0))))</f>
      </c>
      <c r="H6" t="e">
        <f>IF($A6="","",SUM(L6:T6))</f>
      </c>
      <c r="I6" t="e">
        <f>IF($A6="","",SUM(U6:AC6))</f>
      </c>
      <c r="J6" t="e">
        <f>IF($A6="","",SUM(L6:AC6))</f>
      </c>
      <c r="K6" t="e">
        <f>IF($A6="","",MIN(AV6:BM6))</f>
      </c>
      <c r="L6" t="e">
        <f>IF($A6="","",IF(COUNTIFS('Player Rounds'!$A$2:$A$401,$A6,'Player Rounds'!$B$2:$B$401,$B6,'Player Rounds'!$F$2:$F$401,"&gt;0")=0,"",SIGN(_xlfn.MINIFS('Player Rounds'!$Z$2:$Z$401,'Player Rounds'!$A$2:$A$401,$A6,'Player Rounds'!$B$2:$B$401,$B6,'Player Rounds'!$C$2:$C$401,$D6)-_xlfn.MINIFS('Player Rounds'!$Z$2:$Z$401,'Player Rounds'!$A$2:$A$401,$A6,'Player Rounds'!$B$2:$B$401,$B6,'Player Rounds'!$C$2:$C$401,$C6))))</f>
      </c>
      <c r="M6" t="e">
        <f>IF($A6="","",IF(COUNTIFS('Player Rounds'!$A$2:$A$401,$A6,'Player Rounds'!$B$2:$B$401,$B6,'Player Rounds'!$G$2:$G$401,"&gt;0")=0,"",SIGN(_xlfn.MINIFS('Player Rounds'!$AA$2:$AA$401,'Player Rounds'!$A$2:$A$401,$A6,'Player Rounds'!$B$2:$B$401,$B6,'Player Rounds'!$C$2:$C$401,$D6)-_xlfn.MINIFS('Player Rounds'!$AA$2:$AA$401,'Player Rounds'!$A$2:$A$401,$A6,'Player Rounds'!$B$2:$B$401,$B6,'Player Rounds'!$C$2:$C$401,$C6))))</f>
      </c>
      <c r="N6" t="e">
        <f>IF($A6="","",IF(COUNTIFS('Player Rounds'!$A$2:$A$401,$A6,'Player Rounds'!$B$2:$B$401,$B6,'Player Rounds'!$H$2:$H$401,"&gt;0")=0,"",SIGN(_xlfn.MINIFS('Player Rounds'!$AB$2:$AB$401,'Player Rounds'!$A$2:$A$401,$A6,'Player Rounds'!$B$2:$B$401,$B6,'Player Rounds'!$C$2:$C$401,$D6)-_xlfn.MINIFS('Player Rounds'!$AB$2:$AB$401,'Player Rounds'!$A$2:$A$401,$A6,'Player Rounds'!$B$2:$B$401,$B6,'Player Rounds'!$C$2:$C$401,$C6))))</f>
      </c>
      <c r="O6" t="e">
        <f>IF($A6="","",IF(COUNTIFS('Player Rounds'!$A$2:$A$401,$A6,'Player Rounds'!$B$2:$B$401,$B6,'Player Rounds'!$I$2:$I$401,"&gt;0")=0,"",SIGN(_xlfn.MINIFS('Player Rounds'!$AC$2:$AC$401,'Player Rounds'!$A$2:$A$401,$A6,'Player Rounds'!$B$2:$B$401,$B6,'Player Rounds'!$C$2:$C$401,$D6)-_xlfn.MINIFS('Player Rounds'!$AC$2:$AC$401,'Player Rounds'!$A$2:$A$401,$A6,'Player Rounds'!$B$2:$B$401,$B6,'Player Rounds'!$C$2:$C$401,$C6))))</f>
      </c>
      <c r="P6" t="e">
        <f>IF($A6="","",IF(COUNTIFS('Player Rounds'!$A$2:$A$401,$A6,'Player Rounds'!$B$2:$B$401,$B6,'Player Rounds'!$J$2:$J$401,"&gt;0")=0,"",SIGN(_xlfn.MINIFS('Player Rounds'!$AD$2:$AD$401,'Player Rounds'!$A$2:$A$401,$A6,'Player Rounds'!$B$2:$B$401,$B6,'Player Rounds'!$C$2:$C$401,$D6)-_xlfn.MINIFS('Player Rounds'!$AD$2:$AD$401,'Player Rounds'!$A$2:$A$401,$A6,'Player Rounds'!$B$2:$B$401,$B6,'Player Rounds'!$C$2:$C$401,$C6))))</f>
      </c>
      <c r="Q6" t="e">
        <f>IF($A6="","",IF(COUNTIFS('Player Rounds'!$A$2:$A$401,$A6,'Player Rounds'!$B$2:$B$401,$B6,'Player Rounds'!$K$2:$K$401,"&gt;0")=0,"",SIGN(_xlfn.MINIFS('Player Rounds'!$AE$2:$AE$401,'Player Rounds'!$A$2:$A$401,$A6,'Player Rounds'!$B$2:$B$401,$B6,'Player Rounds'!$C$2:$C$401,$D6)-_xlfn.MINIFS('Player Rounds'!$AE$2:$AE$401,'Player Rounds'!$A$2:$A$401,$A6,'Player Rounds'!$B$2:$B$401,$B6,'Player Rounds'!$C$2:$C$401,$C6))))</f>
      </c>
      <c r="R6" t="e">
        <f>IF($A6="","",IF(COUNTIFS('Player Rounds'!$A$2:$A$401,$A6,'Player Rounds'!$B$2:$B$401,$B6,'Player Rounds'!$L$2:$L$401,"&gt;0")=0,"",SIGN(_xlfn.MINIFS('Player Rounds'!$AF$2:$AF$401,'Player Rounds'!$A$2:$A$401,$A6,'Player Rounds'!$B$2:$B$401,$B6,'Player Rounds'!$C$2:$C$401,$D6)-_xlfn.MINIFS('Player Rounds'!$AF$2:$AF$401,'Player Rounds'!$A$2:$A$401,$A6,'Player Rounds'!$B$2:$B$401,$B6,'Player Rounds'!$C$2:$C$401,$C6))))</f>
      </c>
      <c r="S6" t="e">
        <f>IF($A6="","",IF(COUNTIFS('Player Rounds'!$A$2:$A$401,$A6,'Player Rounds'!$B$2:$B$401,$B6,'Player Rounds'!$M$2:$M$401,"&gt;0")=0,"",SIGN(_xlfn.MINIFS('Player Rounds'!$AG$2:$AG$401,'Player Rounds'!$A$2:$A$401,$A6,'Player Rounds'!$B$2:$B$401,$B6,'Player Rounds'!$C$2:$C$401,$D6)-_xlfn.MINIFS('Player Rounds'!$AG$2:$AG$401,'Player Rounds'!$A$2:$A$401,$A6,'Player Rounds'!$B$2:$B$401,$B6,'Player Rounds'!$C$2:$C$401,$C6))))</f>
      </c>
      <c r="T6" t="e">
        <f>IF($A6="","",IF(COUNTIFS('Player Rounds'!$A$2:$A$401,$A6,'Player Rounds'!$B$2:$B$401,$B6,'Player Rounds'!$N$2:$N$401,"&gt;0")=0,"",SIGN(_xlfn.MINIFS('Player Rounds'!$AH$2:$AH$401,'Player Rounds'!$A$2:$A$401,$A6,'Player Rounds'!$B$2:$B$401,$B6,'Player Rounds'!$C$2:$C$401,$D6)-_xlfn.MINIFS('Player Rounds'!$AH$2:$AH$401,'Player Rounds'!$A$2:$A$401,$A6,'Player Rounds'!$B$2:$B$401,$B6,'Player Rounds'!$C$2:$C$401,$C6))))</f>
      </c>
      <c r="U6" t="e">
        <f>IF($A6="","",IF(COUNTIFS('Player Rounds'!$A$2:$A$401,$A6,'Player Rounds'!$B$2:$B$401,$B6,'Player Rounds'!$O$2:$O$401,"&gt;0")=0,"",SIGN(_xlfn.MINIFS('Player Rounds'!$AI$2:$AI$401,'Player Rounds'!$A$2:$A$401,$A6,'Player Rounds'!$B$2:$B$401,$B6,'Player Rounds'!$C$2:$C$401,$D6)-_xlfn.MINIFS('Player Rounds'!$AI$2:$AI$401,'Player Rounds'!$A$2:$A$401,$A6,'Player Rounds'!$B$2:$B$401,$B6,'Player Rounds'!$C$2:$C$401,$C6))))</f>
      </c>
      <c r="V6" t="e">
        <f>IF($A6="","",IF(COUNTIFS('Player Rounds'!$A$2:$A$401,$A6,'Player Rounds'!$B$2:$B$401,$B6,'Player Rounds'!$P$2:$P$401,"&gt;0")=0,"",SIGN(_xlfn.MINIFS('Player Rounds'!$AJ$2:$AJ$401,'Player Rounds'!$A$2:$A$401,$A6,'Player Rounds'!$B$2:$B$401,$B6,'Player Rounds'!$C$2:$C$401,$D6)-_xlfn.MINIFS('Player Rounds'!$AJ$2:$AJ$401,'Player Rounds'!$A$2:$A$401,$A6,'Player Rounds'!$B$2:$B$401,$B6,'Player Rounds'!$C$2:$C$401,$C6))))</f>
      </c>
      <c r="W6" t="e">
        <f>IF($A6="","",IF(COUNTIFS('Player Rounds'!$A$2:$A$401,$A6,'Player Rounds'!$B$2:$B$401,$B6,'Player Rounds'!$Q$2:$Q$401,"&gt;0")=0,"",SIGN(_xlfn.MINIFS('Player Rounds'!$AK$2:$AK$401,'Player Rounds'!$A$2:$A$401,$A6,'Player Rounds'!$B$2:$B$401,$B6,'Player Rounds'!$C$2:$C$401,$D6)-_xlfn.MINIFS('Player Rounds'!$AK$2:$AK$401,'Player Rounds'!$A$2:$A$401,$A6,'Player Rounds'!$B$2:$B$401,$B6,'Player Rounds'!$C$2:$C$401,$C6))))</f>
      </c>
      <c r="X6" t="e">
        <f>IF($A6="","",IF(COUNTIFS('Player Rounds'!$A$2:$A$401,$A6,'Player Rounds'!$B$2:$B$401,$B6,'Player Rounds'!$R$2:$R$401,"&gt;0")=0,"",SIGN(_xlfn.MINIFS('Player Rounds'!$AL$2:$AL$401,'Player Rounds'!$A$2:$A$401,$A6,'Player Rounds'!$B$2:$B$401,$B6,'Player Rounds'!$C$2:$C$401,$D6)-_xlfn.MINIFS('Player Rounds'!$AL$2:$AL$401,'Player Rounds'!$A$2:$A$401,$A6,'Player Rounds'!$B$2:$B$401,$B6,'Player Rounds'!$C$2:$C$401,$C6))))</f>
      </c>
      <c r="Y6" t="e">
        <f>IF($A6="","",IF(COUNTIFS('Player Rounds'!$A$2:$A$401,$A6,'Player Rounds'!$B$2:$B$401,$B6,'Player Rounds'!$S$2:$S$401,"&gt;0")=0,"",SIGN(_xlfn.MINIFS('Player Rounds'!$AM$2:$AM$401,'Player Rounds'!$A$2:$A$401,$A6,'Player Rounds'!$B$2:$B$401,$B6,'Player Rounds'!$C$2:$C$401,$D6)-_xlfn.MINIFS('Player Rounds'!$AM$2:$AM$401,'Player Rounds'!$A$2:$A$401,$A6,'Player Rounds'!$B$2:$B$401,$B6,'Player Rounds'!$C$2:$C$401,$C6))))</f>
      </c>
      <c r="Z6" t="e">
        <f>IF($A6="","",IF(COUNTIFS('Player Rounds'!$A$2:$A$401,$A6,'Player Rounds'!$B$2:$B$401,$B6,'Player Rounds'!$T$2:$T$401,"&gt;0")=0,"",SIGN(_xlfn.MINIFS('Player Rounds'!$AN$2:$AN$401,'Player Rounds'!$A$2:$A$401,$A6,'Player Rounds'!$B$2:$B$401,$B6,'Player Rounds'!$C$2:$C$401,$D6)-_xlfn.MINIFS('Player Rounds'!$AN$2:$AN$401,'Player Rounds'!$A$2:$A$401,$A6,'Player Rounds'!$B$2:$B$401,$B6,'Player Rounds'!$C$2:$C$401,$C6))))</f>
      </c>
      <c r="AA6" t="e">
        <f>IF($A6="","",IF(COUNTIFS('Player Rounds'!$A$2:$A$401,$A6,'Player Rounds'!$B$2:$B$401,$B6,'Player Rounds'!$U$2:$U$401,"&gt;0")=0,"",SIGN(_xlfn.MINIFS('Player Rounds'!$AO$2:$AO$401,'Player Rounds'!$A$2:$A$401,$A6,'Player Rounds'!$B$2:$B$401,$B6,'Player Rounds'!$C$2:$C$401,$D6)-_xlfn.MINIFS('Player Rounds'!$AO$2:$AO$401,'Player Rounds'!$A$2:$A$401,$A6,'Player Rounds'!$B$2:$B$401,$B6,'Player Rounds'!$C$2:$C$401,$C6))))</f>
      </c>
      <c r="AB6" t="e">
        <f>IF($A6="","",IF(COUNTIFS('Player Rounds'!$A$2:$A$401,$A6,'Player Rounds'!$B$2:$B$401,$B6,'Player Rounds'!$V$2:$V$401,"&gt;0")=0,"",SIGN(_xlfn.MINIFS('Player Rounds'!$AP$2:$AP$401,'Player Rounds'!$A$2:$A$401,$A6,'Player Rounds'!$B$2:$B$401,$B6,'Player Rounds'!$C$2:$C$401,$D6)-_xlfn.MINIFS('Player Rounds'!$AP$2:$AP$401,'Player Rounds'!$A$2:$A$401,$A6,'Player Rounds'!$B$2:$B$401,$B6,'Player Rounds'!$C$2:$C$401,$C6))))</f>
      </c>
      <c r="AC6" t="e">
        <f>IF($A6="","",IF(COUNTIFS('Player Rounds'!$A$2:$A$401,$A6,'Player Rounds'!$B$2:$B$401,$B6,'Player Rounds'!$W$2:$W$401,"&gt;0")=0,"",SIGN(_xlfn.MINIFS('Player Rounds'!$AQ$2:$AQ$401,'Player Rounds'!$A$2:$A$401,$A6,'Player Rounds'!$B$2:$B$401,$B6,'Player Rounds'!$C$2:$C$401,$D6)-_xlfn.MINIFS('Player Rounds'!$AQ$2:$AQ$401,'Player Rounds'!$A$2:$A$401,$A6,'Player Rounds'!$B$2:$B$401,$B6,'Player Rounds'!$C$2:$C$401,$C6))))</f>
      </c>
      <c r="AD6" t="e">
        <f>IF($A6="","",SUM($L6:L6))</f>
      </c>
      <c r="AE6" t="e">
        <f>IF($A6="","",SUM($L6:M6))</f>
      </c>
      <c r="AF6" t="e">
        <f>IF($A6="","",SUM($L6:N6))</f>
      </c>
      <c r="AG6" t="e">
        <f>IF($A6="","",SUM($L6:O6))</f>
      </c>
      <c r="AH6" t="e">
        <f>IF($A6="","",SUM($L6:P6))</f>
      </c>
      <c r="AI6" t="e">
        <f>IF($A6="","",SUM($L6:Q6))</f>
      </c>
      <c r="AJ6" t="e">
        <f>IF($A6="","",SUM($L6:R6))</f>
      </c>
      <c r="AK6" t="e">
        <f>IF($A6="","",SUM($L6:S6))</f>
      </c>
      <c r="AL6" t="e">
        <f>IF($A6="","",SUM($L6:T6))</f>
      </c>
      <c r="AM6" t="e">
        <f>IF($A6="","",SUM($L6:U6))</f>
      </c>
      <c r="AN6" t="e">
        <f>IF($A6="","",SUM($L6:V6))</f>
      </c>
      <c r="AO6" t="e">
        <f>IF($A6="","",SUM($L6:W6))</f>
      </c>
      <c r="AP6" t="e">
        <f>IF($A6="","",SUM($L6:X6))</f>
      </c>
      <c r="AQ6" t="e">
        <f>IF($A6="","",SUM($L6:Y6))</f>
      </c>
      <c r="AR6" t="e">
        <f>IF($A6="","",SUM($L6:Z6))</f>
      </c>
      <c r="AS6" t="e">
        <f>IF($A6="","",SUM($L6:AA6))</f>
      </c>
      <c r="AT6" t="e">
        <f>IF($A6="","",SUM($L6:AB6))</f>
      </c>
      <c r="AU6" t="e">
        <f>IF($A6="","",SUM($L6:AC6))</f>
      </c>
      <c r="AV6" t="e">
        <f>IF(OR($A6="",L6=""),"",IF(ABS(AD6)&gt;17,1,""))</f>
      </c>
      <c r="AW6" t="e">
        <f>IF(OR($A6="",M6=""),"",IF(ABS(AE6)&gt;16,2,""))</f>
      </c>
      <c r="AX6" t="e">
        <f>IF(OR($A6="",N6=""),"",IF(ABS(AF6)&gt;15,3,""))</f>
      </c>
      <c r="AY6" t="e">
        <f>IF(OR($A6="",O6=""),"",IF(ABS(AG6)&gt;14,4,""))</f>
      </c>
      <c r="AZ6" t="e">
        <f>IF(OR($A6="",P6=""),"",IF(ABS(AH6)&gt;13,5,""))</f>
      </c>
      <c r="BA6" t="e">
        <f>IF(OR($A6="",Q6=""),"",IF(ABS(AI6)&gt;12,6,""))</f>
      </c>
      <c r="BB6" t="e">
        <f>IF(OR($A6="",R6=""),"",IF(ABS(AJ6)&gt;11,7,""))</f>
      </c>
      <c r="BC6" t="e">
        <f>IF(OR($A6="",S6=""),"",IF(ABS(AK6)&gt;10,8,""))</f>
      </c>
      <c r="BD6" t="e">
        <f>IF(OR($A6="",T6=""),"",IF(ABS(AL6)&gt;9,9,""))</f>
      </c>
      <c r="BE6" t="e">
        <f>IF(OR($A6="",U6=""),"",IF(ABS(AM6)&gt;8,10,""))</f>
      </c>
      <c r="BF6" t="e">
        <f>IF(OR($A6="",V6=""),"",IF(ABS(AN6)&gt;7,11,""))</f>
      </c>
      <c r="BG6" t="e">
        <f>IF(OR($A6="",W6=""),"",IF(ABS(AO6)&gt;6,12,""))</f>
      </c>
      <c r="BH6" t="e">
        <f>IF(OR($A6="",X6=""),"",IF(ABS(AP6)&gt;5,13,""))</f>
      </c>
      <c r="BI6" t="e">
        <f>IF(OR($A6="",Y6=""),"",IF(ABS(AQ6)&gt;4,14,""))</f>
      </c>
      <c r="BJ6" t="e">
        <f>IF(OR($A6="",Z6=""),"",IF(ABS(AR6)&gt;3,15,""))</f>
      </c>
      <c r="BK6" t="e">
        <f>IF(OR($A6="",AA6=""),"",IF(ABS(AS6)&gt;2,16,""))</f>
      </c>
      <c r="BL6" t="e">
        <f>IF(OR($A6="",AB6=""),"",IF(ABS(AT6)&gt;1,17,""))</f>
      </c>
      <c r="BM6" t="e">
        <f>IF(OR($A6="",AC6=""),"",IF(ABS(AU6)&gt;0,18,""))</f>
      </c>
    </row>
    <row r="7">
      <c r="A7">
        <v>2</v>
      </c>
      <c r="B7">
        <v>4</v>
      </c>
      <c r="C7" t="str">
        <f>IF($A7="","",INDEX('Tournament Setup'!$J:$J,MATCH($A7,'Tournament Setup'!$A:$A,0)))</f>
        <v/>
      </c>
      <c r="D7" t="str">
        <f>IF($A7="","",INDEX('Tournament Setup'!$K:$K,MATCH($A7,'Tournament Setup'!$A:$A,0)))</f>
        <v/>
      </c>
      <c r="E7" t="str">
        <f>IF($A7="","",IF(COUNT(L7:AC7)=0,"Not played",IF(AND($K7&gt;0,$K7&lt;18),IF(INDEX(AD7:AU7,1,$K7)&gt;0,$C7,$D7)&amp;" "&amp;ABS(INDEX(AD7:AU7,1,$K7))&amp;"&amp;"&amp;(18-$K7),IF($J7=0,"Halved (AS)",IF($J7&gt;0,$C7,$D7)&amp;" "&amp;ABS($J7)&amp;" UP"))))</f>
        <v/>
      </c>
      <c r="F7" t="e">
        <f>IF(OR($A7="",COUNT(L7:AC7)=0),"",INDEX('Tournament Setup'!$I:$I,MATCH($A7,'Tournament Setup'!$A:$A,0))*IF(INDEX('Tournament Setup'!$H:$H,MATCH($A7,'Tournament Setup'!$A:$A,0))="Yes",IF($H7&gt;0,1,IF($H7=0,0.5,0))+IF($I7&gt;0,1,IF($I7=0,0.5,0))+IF($J7&gt;0,1,IF($J7=0,0.5,0)),IF(IF(AND($K7&gt;0,$K7&lt;18),INDEX(AD7:AU7,1,$K7),$J7)&gt;0,1,IF(IF(AND($K7&gt;0,$K7&lt;18),INDEX(AD7:AU7,1,$K7),$J7)=0,0.5,0))))</f>
      </c>
      <c r="G7" t="e">
        <f>IF(OR($A7="",COUNT(L7:AC7)=0),"",INDEX('Tournament Setup'!$I:$I,MATCH($A7,'Tournament Setup'!$A:$A,0))*IF(INDEX('Tournament Setup'!$H:$H,MATCH($A7,'Tournament Setup'!$A:$A,0))="Yes",IF($H7&lt;0,1,IF($H7=0,0.5,0))+IF($I7&lt;0,1,IF($I7=0,0.5,0))+IF($J7&lt;0,1,IF($J7=0,0.5,0)),IF(IF(AND($K7&gt;0,$K7&lt;18),INDEX(AD7:AU7,1,$K7),$J7)&lt;0,1,IF(IF(AND($K7&gt;0,$K7&lt;18),INDEX(AD7:AU7,1,$K7),$J7)=0,0.5,0))))</f>
      </c>
      <c r="H7" t="e">
        <f>IF($A7="","",SUM(L7:T7))</f>
      </c>
      <c r="I7" t="e">
        <f>IF($A7="","",SUM(U7:AC7))</f>
      </c>
      <c r="J7" t="e">
        <f>IF($A7="","",SUM(L7:AC7))</f>
      </c>
      <c r="K7" t="e">
        <f>IF($A7="","",MIN(AV7:BM7))</f>
      </c>
      <c r="L7" t="e">
        <f>IF($A7="","",IF(COUNTIFS('Player Rounds'!$A$2:$A$401,$A7,'Player Rounds'!$B$2:$B$401,$B7,'Player Rounds'!$F$2:$F$401,"&gt;0")=0,"",SIGN(_xlfn.MINIFS('Player Rounds'!$Z$2:$Z$401,'Player Rounds'!$A$2:$A$401,$A7,'Player Rounds'!$B$2:$B$401,$B7,'Player Rounds'!$C$2:$C$401,$D7)-_xlfn.MINIFS('Player Rounds'!$Z$2:$Z$401,'Player Rounds'!$A$2:$A$401,$A7,'Player Rounds'!$B$2:$B$401,$B7,'Player Rounds'!$C$2:$C$401,$C7))))</f>
      </c>
      <c r="M7" t="e">
        <f>IF($A7="","",IF(COUNTIFS('Player Rounds'!$A$2:$A$401,$A7,'Player Rounds'!$B$2:$B$401,$B7,'Player Rounds'!$G$2:$G$401,"&gt;0")=0,"",SIGN(_xlfn.MINIFS('Player Rounds'!$AA$2:$AA$401,'Player Rounds'!$A$2:$A$401,$A7,'Player Rounds'!$B$2:$B$401,$B7,'Player Rounds'!$C$2:$C$401,$D7)-_xlfn.MINIFS('Player Rounds'!$AA$2:$AA$401,'Player Rounds'!$A$2:$A$401,$A7,'Player Rounds'!$B$2:$B$401,$B7,'Player Rounds'!$C$2:$C$401,$C7))))</f>
      </c>
      <c r="N7" t="e">
        <f>IF($A7="","",IF(COUNTIFS('Player Rounds'!$A$2:$A$401,$A7,'Player Rounds'!$B$2:$B$401,$B7,'Player Rounds'!$H$2:$H$401,"&gt;0")=0,"",SIGN(_xlfn.MINIFS('Player Rounds'!$AB$2:$AB$401,'Player Rounds'!$A$2:$A$401,$A7,'Player Rounds'!$B$2:$B$401,$B7,'Player Rounds'!$C$2:$C$401,$D7)-_xlfn.MINIFS('Player Rounds'!$AB$2:$AB$401,'Player Rounds'!$A$2:$A$401,$A7,'Player Rounds'!$B$2:$B$401,$B7,'Player Rounds'!$C$2:$C$401,$C7))))</f>
      </c>
      <c r="O7" t="e">
        <f>IF($A7="","",IF(COUNTIFS('Player Rounds'!$A$2:$A$401,$A7,'Player Rounds'!$B$2:$B$401,$B7,'Player Rounds'!$I$2:$I$401,"&gt;0")=0,"",SIGN(_xlfn.MINIFS('Player Rounds'!$AC$2:$AC$401,'Player Rounds'!$A$2:$A$401,$A7,'Player Rounds'!$B$2:$B$401,$B7,'Player Rounds'!$C$2:$C$401,$D7)-_xlfn.MINIFS('Player Rounds'!$AC$2:$AC$401,'Player Rounds'!$A$2:$A$401,$A7,'Player Rounds'!$B$2:$B$401,$B7,'Player Rounds'!$C$2:$C$401,$C7))))</f>
      </c>
      <c r="P7" t="e">
        <f>IF($A7="","",IF(COUNTIFS('Player Rounds'!$A$2:$A$401,$A7,'Player Rounds'!$B$2:$B$401,$B7,'Player Rounds'!$J$2:$J$401,"&gt;0")=0,"",SIGN(_xlfn.MINIFS('Player Rounds'!$AD$2:$AD$401,'Player Rounds'!$A$2:$A$401,$A7,'Player Rounds'!$B$2:$B$401,$B7,'Player Rounds'!$C$2:$C$401,$D7)-_xlfn.MINIFS('Player Rounds'!$AD$2:$AD$401,'Player Rounds'!$A$2:$A$401,$A7,'Player Rounds'!$B$2:$B$401,$B7,'Player Rounds'!$C$2:$C$401,$C7))))</f>
      </c>
      <c r="Q7" t="e">
        <f>IF($A7="","",IF(COUNTIFS('Player Rounds'!$A$2:$A$401,$A7,'Player Rounds'!$B$2:$B$401,$B7,'Player Rounds'!$K$2:$K$401,"&gt;0")=0,"",SIGN(_xlfn.MINIFS('Player Rounds'!$AE$2:$AE$401,'Player Rounds'!$A$2:$A$401,$A7,'Player Rounds'!$B$2:$B$401,$B7,'Player Rounds'!$C$2:$C$401,$D7)-_xlfn.MINIFS('Player Rounds'!$AE$2:$AE$401,'Player Rounds'!$A$2:$A$401,$A7,'Player Rounds'!$B$2:$B$401,$B7,'Player Rounds'!$C$2:$C$401,$C7))))</f>
      </c>
      <c r="R7" t="e">
        <f>IF($A7="","",IF(COUNTIFS('Player Rounds'!$A$2:$A$401,$A7,'Player Rounds'!$B$2:$B$401,$B7,'Player Rounds'!$L$2:$L$401,"&gt;0")=0,"",SIGN(_xlfn.MINIFS('Player Rounds'!$AF$2:$AF$401,'Player Rounds'!$A$2:$A$401,$A7,'Player Rounds'!$B$2:$B$401,$B7,'Player Rounds'!$C$2:$C$401,$D7)-_xlfn.MINIFS('Player Rounds'!$AF$2:$AF$401,'Player Rounds'!$A$2:$A$401,$A7,'Player Rounds'!$B$2:$B$401,$B7,'Player Rounds'!$C$2:$C$401,$C7))))</f>
      </c>
      <c r="S7" t="e">
        <f>IF($A7="","",IF(COUNTIFS('Player Rounds'!$A$2:$A$401,$A7,'Player Rounds'!$B$2:$B$401,$B7,'Player Rounds'!$M$2:$M$401,"&gt;0")=0,"",SIGN(_xlfn.MINIFS('Player Rounds'!$AG$2:$AG$401,'Player Rounds'!$A$2:$A$401,$A7,'Player Rounds'!$B$2:$B$401,$B7,'Player Rounds'!$C$2:$C$401,$D7)-_xlfn.MINIFS('Player Rounds'!$AG$2:$AG$401,'Player Rounds'!$A$2:$A$401,$A7,'Player Rounds'!$B$2:$B$401,$B7,'Player Rounds'!$C$2:$C$401,$C7))))</f>
      </c>
      <c r="T7" t="e">
        <f>IF($A7="","",IF(COUNTIFS('Player Rounds'!$A$2:$A$401,$A7,'Player Rounds'!$B$2:$B$401,$B7,'Player Rounds'!$N$2:$N$401,"&gt;0")=0,"",SIGN(_xlfn.MINIFS('Player Rounds'!$AH$2:$AH$401,'Player Rounds'!$A$2:$A$401,$A7,'Player Rounds'!$B$2:$B$401,$B7,'Player Rounds'!$C$2:$C$401,$D7)-_xlfn.MINIFS('Player Rounds'!$AH$2:$AH$401,'Player Rounds'!$A$2:$A$401,$A7,'Player Rounds'!$B$2:$B$401,$B7,'Player Rounds'!$C$2:$C$401,$C7))))</f>
      </c>
      <c r="U7" t="e">
        <f>IF($A7="","",IF(COUNTIFS('Player Rounds'!$A$2:$A$401,$A7,'Player Rounds'!$B$2:$B$401,$B7,'Player Rounds'!$O$2:$O$401,"&gt;0")=0,"",SIGN(_xlfn.MINIFS('Player Rounds'!$AI$2:$AI$401,'Player Rounds'!$A$2:$A$401,$A7,'Player Rounds'!$B$2:$B$401,$B7,'Player Rounds'!$C$2:$C$401,$D7)-_xlfn.MINIFS('Player Rounds'!$AI$2:$AI$401,'Player Rounds'!$A$2:$A$401,$A7,'Player Rounds'!$B$2:$B$401,$B7,'Player Rounds'!$C$2:$C$401,$C7))))</f>
      </c>
      <c r="V7" t="e">
        <f>IF($A7="","",IF(COUNTIFS('Player Rounds'!$A$2:$A$401,$A7,'Player Rounds'!$B$2:$B$401,$B7,'Player Rounds'!$P$2:$P$401,"&gt;0")=0,"",SIGN(_xlfn.MINIFS('Player Rounds'!$AJ$2:$AJ$401,'Player Rounds'!$A$2:$A$401,$A7,'Player Rounds'!$B$2:$B$401,$B7,'Player Rounds'!$C$2:$C$401,$D7)-_xlfn.MINIFS('Player Rounds'!$AJ$2:$AJ$401,'Player Rounds'!$A$2:$A$401,$A7,'Player Rounds'!$B$2:$B$401,$B7,'Player Rounds'!$C$2:$C$401,$C7))))</f>
      </c>
      <c r="W7" t="e">
        <f>IF($A7="","",IF(COUNTIFS('Player Rounds'!$A$2:$A$401,$A7,'Player Rounds'!$B$2:$B$401,$B7,'Player Rounds'!$Q$2:$Q$401,"&gt;0")=0,"",SIGN(_xlfn.MINIFS('Player Rounds'!$AK$2:$AK$401,'Player Rounds'!$A$2:$A$401,$A7,'Player Rounds'!$B$2:$B$401,$B7,'Player Rounds'!$C$2:$C$401,$D7)-_xlfn.MINIFS('Player Rounds'!$AK$2:$AK$401,'Player Rounds'!$A$2:$A$401,$A7,'Player Rounds'!$B$2:$B$401,$B7,'Player Rounds'!$C$2:$C$401,$C7))))</f>
      </c>
      <c r="X7" t="e">
        <f>IF($A7="","",IF(COUNTIFS('Player Rounds'!$A$2:$A$401,$A7,'Player Rounds'!$B$2:$B$401,$B7,'Player Rounds'!$R$2:$R$401,"&gt;0")=0,"",SIGN(_xlfn.MINIFS('Player Rounds'!$AL$2:$AL$401,'Player Rounds'!$A$2:$A$401,$A7,'Player Rounds'!$B$2:$B$401,$B7,'Player Rounds'!$C$2:$C$401,$D7)-_xlfn.MINIFS('Player Rounds'!$AL$2:$AL$401,'Player Rounds'!$A$2:$A$401,$A7,'Player Rounds'!$B$2:$B$401,$B7,'Player Rounds'!$C$2:$C$401,$C7))))</f>
      </c>
      <c r="Y7" t="e">
        <f>IF($A7="","",IF(COUNTIFS('Player Rounds'!$A$2:$A$401,$A7,'Player Rounds'!$B$2:$B$401,$B7,'Player Rounds'!$S$2:$S$401,"&gt;0")=0,"",SIGN(_xlfn.MINIFS('Player Rounds'!$AM$2:$AM$401,'Player Rounds'!$A$2:$A$401,$A7,'Player Rounds'!$B$2:$B$401,$B7,'Player Rounds'!$C$2:$C$401,$D7)-_xlfn.MINIFS('Player Rounds'!$AM$2:$AM$401,'Player Rounds'!$A$2:$A$401,$A7,'Player Rounds'!$B$2:$B$401,$B7,'Player Rounds'!$C$2:$C$401,$C7))))</f>
      </c>
      <c r="Z7" t="e">
        <f>IF($A7="","",IF(COUNTIFS('Player Rounds'!$A$2:$A$401,$A7,'Player Rounds'!$B$2:$B$401,$B7,'Player Rounds'!$T$2:$T$401,"&gt;0")=0,"",SIGN(_xlfn.MINIFS('Player Rounds'!$AN$2:$AN$401,'Player Rounds'!$A$2:$A$401,$A7,'Player Rounds'!$B$2:$B$401,$B7,'Player Rounds'!$C$2:$C$401,$D7)-_xlfn.MINIFS('Player Rounds'!$AN$2:$AN$401,'Player Rounds'!$A$2:$A$401,$A7,'Player Rounds'!$B$2:$B$401,$B7,'Player Rounds'!$C$2:$C$401,$C7))))</f>
      </c>
      <c r="AA7" t="e">
        <f>IF($A7="","",IF(COUNTIFS('Player Rounds'!$A$2:$A$401,$A7,'Player Rounds'!$B$2:$B$401,$B7,'Player Rounds'!$U$2:$U$401,"&gt;0")=0,"",SIGN(_xlfn.MINIFS('Player Rounds'!$AO$2:$AO$401,'Player Rounds'!$A$2:$A$401,$A7,'Player Rounds'!$B$2:$B$401,$B7,'Player Rounds'!$C$2:$C$401,$D7)-_xlfn.MINIFS('Player Rounds'!$AO$2:$AO$401,'Player Rounds'!$A$2:$A$401,$A7,'Player Rounds'!$B$2:$B$401,$B7,'Player Rounds'!$C$2:$C$401,$C7))))</f>
      </c>
      <c r="AB7" t="e">
        <f>IF($A7="","",IF(COUNTIFS('Player Rounds'!$A$2:$A$401,$A7,'Player Rounds'!$B$2:$B$401,$B7,'Player Rounds'!$V$2:$V$401,"&gt;0")=0,"",SIGN(_xlfn.MINIFS('Player Rounds'!$AP$2:$AP$401,'Player Rounds'!$A$2:$A$401,$A7,'Player Rounds'!$B$2:$B$401,$B7,'Player Rounds'!$C$2:$C$401,$D7)-_xlfn.MINIFS('Player Rounds'!$AP$2:$AP$401,'Player Rounds'!$A$2:$A$401,$A7,'Player Rounds'!$B$2:$B$401,$B7,'Player Rounds'!$C$2:$C$401,$C7))))</f>
      </c>
      <c r="AC7" t="e">
        <f>IF($A7="","",IF(COUNTIFS('Player Rounds'!$A$2:$A$401,$A7,'Player Rounds'!$B$2:$B$401,$B7,'Player Rounds'!$W$2:$W$401,"&gt;0")=0,"",SIGN(_xlfn.MINIFS('Player Rounds'!$AQ$2:$AQ$401,'Player Rounds'!$A$2:$A$401,$A7,'Player Rounds'!$B$2:$B$401,$B7,'Player Rounds'!$C$2:$C$401,$D7)-_xlfn.MINIFS('Player Rounds'!$AQ$2:$AQ$401,'Player Rounds'!$A$2:$A$401,$A7,'Player Rounds'!$B$2:$B$401,$B7,'Player Rounds'!$C$2:$C$401,$C7))))</f>
      </c>
      <c r="AD7" t="e">
        <f>IF($A7="","",SUM($L7:L7))</f>
      </c>
      <c r="AE7" t="e">
        <f>IF($A7="","",SUM($L7:M7))</f>
      </c>
      <c r="AF7" t="e">
        <f>IF($A7="","",SUM($L7:N7))</f>
      </c>
      <c r="AG7" t="e">
        <f>IF($A7="","",SUM($L7:O7))</f>
      </c>
      <c r="AH7" t="e">
        <f>IF($A7="","",SUM($L7:P7))</f>
      </c>
      <c r="AI7" t="e">
        <f>IF($A7="","",SUM($L7:Q7))</f>
      </c>
      <c r="AJ7" t="e">
        <f>IF($A7="","",SUM($L7:R7))</f>
      </c>
      <c r="AK7" t="e">
        <f>IF($A7="","",SUM($L7:S7))</f>
      </c>
      <c r="AL7" t="e">
        <f>IF($A7="","",SUM($L7:T7))</f>
      </c>
      <c r="AM7" t="e">
        <f>IF($A7="","",SUM($L7:U7))</f>
      </c>
      <c r="AN7" t="e">
        <f>IF($A7="","",SUM($L7:V7))</f>
      </c>
      <c r="AO7" t="e">
        <f>IF($A7="","",SUM($L7:W7))</f>
      </c>
      <c r="AP7" t="e">
        <f>IF($A7="","",SUM($L7:X7))</f>
      </c>
      <c r="AQ7" t="e">
        <f>IF($A7="","",SUM($L7:Y7))</f>
      </c>
      <c r="AR7" t="e">
        <f>IF($A7="","",SUM($L7:Z7))</f>
      </c>
      <c r="AS7" t="e">
        <f>IF($A7="","",SUM($L7:AA7))</f>
      </c>
      <c r="AT7" t="e">
        <f>IF($A7="","",SUM($L7:AB7))</f>
      </c>
      <c r="AU7" t="e">
        <f>IF($A7="","",SUM($L7:AC7))</f>
      </c>
      <c r="AV7" t="e">
        <f>IF(OR($A7="",L7=""),"",IF(ABS(AD7)&gt;17,1,""))</f>
      </c>
      <c r="AW7" t="e">
        <f>IF(OR($A7="",M7=""),"",IF(ABS(AE7)&gt;16,2,""))</f>
      </c>
      <c r="AX7" t="e">
        <f>IF(OR($A7="",N7=""),"",IF(ABS(AF7)&gt;15,3,""))</f>
      </c>
      <c r="AY7" t="e">
        <f>IF(OR($A7="",O7=""),"",IF(ABS(AG7)&gt;14,4,""))</f>
      </c>
      <c r="AZ7" t="e">
        <f>IF(OR($A7="",P7=""),"",IF(ABS(AH7)&gt;13,5,""))</f>
      </c>
      <c r="BA7" t="e">
        <f>IF(OR($A7="",Q7=""),"",IF(ABS(AI7)&gt;12,6,""))</f>
      </c>
      <c r="BB7" t="e">
        <f>IF(OR($A7="",R7=""),"",IF(ABS(AJ7)&gt;11,7,""))</f>
      </c>
      <c r="BC7" t="e">
        <f>IF(OR($A7="",S7=""),"",IF(ABS(AK7)&gt;10,8,""))</f>
      </c>
      <c r="BD7" t="e">
        <f>IF(OR($A7="",T7=""),"",IF(ABS(AL7)&gt;9,9,""))</f>
      </c>
      <c r="BE7" t="e">
        <f>IF(OR($A7="",U7=""),"",IF(ABS(AM7)&gt;8,10,""))</f>
      </c>
      <c r="BF7" t="e">
        <f>IF(OR($A7="",V7=""),"",IF(ABS(AN7)&gt;7,11,""))</f>
      </c>
      <c r="BG7" t="e">
        <f>IF(OR($A7="",W7=""),"",IF(ABS(AO7)&gt;6,12,""))</f>
      </c>
      <c r="BH7" t="e">
        <f>IF(OR($A7="",X7=""),"",IF(ABS(AP7)&gt;5,13,""))</f>
      </c>
      <c r="BI7" t="e">
        <f>IF(OR($A7="",Y7=""),"",IF(ABS(AQ7)&gt;4,14,""))</f>
      </c>
      <c r="BJ7" t="e">
        <f>IF(OR($A7="",Z7=""),"",IF(ABS(AR7)&gt;3,15,""))</f>
      </c>
      <c r="BK7" t="e">
        <f>IF(OR($A7="",AA7=""),"",IF(ABS(AS7)&gt;2,16,""))</f>
      </c>
      <c r="BL7" t="e">
        <f>IF(OR($A7="",AB7=""),"",IF(ABS(AT7)&gt;1,17,""))</f>
      </c>
      <c r="BM7" t="e">
        <f>IF(OR($A7="",AC7=""),"",IF(ABS(AU7)&gt;0,18,""))</f>
      </c>
    </row>
    <row r="8">
      <c r="C8" t="str">
        <f>IF($A8="","",INDEX('Tournament Setup'!$J:$J,MATCH($A8,'Tournament Setup'!$A:$A,0)))</f>
        <v/>
      </c>
      <c r="D8" t="str">
        <f>IF($A8="","",INDEX('Tournament Setup'!$K:$K,MATCH($A8,'Tournament Setup'!$A:$A,0)))</f>
        <v/>
      </c>
      <c r="E8" t="str">
        <f>IF($A8="","",IF(COUNT(L8:AC8)=0,"Not played",IF(AND($K8&gt;0,$K8&lt;18),IF(INDEX(AD8:AU8,1,$K8)&gt;0,$C8,$D8)&amp;" "&amp;ABS(INDEX(AD8:AU8,1,$K8))&amp;"&amp;"&amp;(18-$K8),IF($J8=0,"Halved (AS)",IF($J8&gt;0,$C8,$D8)&amp;" "&amp;ABS($J8)&amp;" UP"))))</f>
        <v/>
      </c>
      <c r="F8" t="e">
        <f>IF(OR($A8="",COUNT(L8:AC8)=0),"",INDEX('Tournament Setup'!$I:$I,MATCH($A8,'Tournament Setup'!$A:$A,0))*IF(INDEX('Tournament Setup'!$H:$H,MATCH($A8,'Tournament Setup'!$A:$A,0))="Yes",IF($H8&gt;0,1,IF($H8=0,0.5,0))+IF($I8&gt;0,1,IF($I8=0,0.5,0))+IF($J8&gt;0,1,IF($J8=0,0.5,0)),IF(IF(AND($K8&gt;0,$K8&lt;18),INDEX(AD8:AU8,1,$K8),$J8)&gt;0,1,IF(IF(AND($K8&gt;0,$K8&lt;18),INDEX(AD8:AU8,1,$K8),$J8)=0,0.5,0))))</f>
      </c>
      <c r="G8" t="e">
        <f>IF(OR($A8="",COUNT(L8:AC8)=0),"",INDEX('Tournament Setup'!$I:$I,MATCH($A8,'Tournament Setup'!$A:$A,0))*IF(INDEX('Tournament Setup'!$H:$H,MATCH($A8,'Tournament Setup'!$A:$A,0))="Yes",IF($H8&lt;0,1,IF($H8=0,0.5,0))+IF($I8&lt;0,1,IF($I8=0,0.5,0))+IF($J8&lt;0,1,IF($J8=0,0.5,0)),IF(IF(AND($K8&gt;0,$K8&lt;18),INDEX(AD8:AU8,1,$K8),$J8)&lt;0,1,IF(IF(AND($K8&gt;0,$K8&lt;18),INDEX(AD8:AU8,1,$K8),$J8)=0,0.5,0))))</f>
      </c>
      <c r="H8" t="e">
        <f>IF($A8="","",SUM(L8:T8))</f>
      </c>
      <c r="I8" t="e">
        <f>IF($A8="","",SUM(U8:AC8))</f>
      </c>
      <c r="J8" t="e">
        <f>IF($A8="","",SUM(L8:AC8))</f>
      </c>
      <c r="K8" t="e">
        <f>IF($A8="","",MIN(AV8:BM8))</f>
      </c>
      <c r="L8" t="e">
        <f>IF($A8="","",IF(COUNTIFS('Player Rounds'!$A$2:$A$401,$A8,'Player Rounds'!$B$2:$B$401,$B8,'Player Rounds'!$F$2:$F$401,"&gt;0")=0,"",SIGN(_xlfn.MINIFS('Player Rounds'!$Z$2:$Z$401,'Player Rounds'!$A$2:$A$401,$A8,'Player Rounds'!$B$2:$B$401,$B8,'Player Rounds'!$C$2:$C$401,$D8)-_xlfn.MINIFS('Player Rounds'!$Z$2:$Z$401,'Player Rounds'!$A$2:$A$401,$A8,'Player Rounds'!$B$2:$B$401,$B8,'Player Rounds'!$C$2:$C$401,$C8))))</f>
      </c>
      <c r="M8" t="e">
        <f>IF($A8="","",IF(COUNTIFS('Player Rounds'!$A$2:$A$401,$A8,'Player Rounds'!$B$2:$B$401,$B8,'Player Rounds'!$G$2:$G$401,"&gt;0")=0,"",SIGN(_xlfn.MINIFS('Player Rounds'!$AA$2:$AA$401,'Player Rounds'!$A$2:$A$401,$A8,'Player Rounds'!$B$2:$B$401,$B8,'Player Rounds'!$C$2:$C$401,$D8)-_xlfn.MINIFS('Player Rounds'!$AA$2:$AA$401,'Player Rounds'!$A$2:$A$401,$A8,'Player Rounds'!$B$2:$B$401,$B8,'Player Rounds'!$C$2:$C$401,$C8))))</f>
      </c>
      <c r="N8" t="e">
        <f>IF($A8="","",IF(COUNTIFS('Player Rounds'!$A$2:$A$401,$A8,'Player Rounds'!$B$2:$B$401,$B8,'Player Rounds'!$H$2:$H$401,"&gt;0")=0,"",SIGN(_xlfn.MINIFS('Player Rounds'!$AB$2:$AB$401,'Player Rounds'!$A$2:$A$401,$A8,'Player Rounds'!$B$2:$B$401,$B8,'Player Rounds'!$C$2:$C$401,$D8)-_xlfn.MINIFS('Player Rounds'!$AB$2:$AB$401,'Player Rounds'!$A$2:$A$401,$A8,'Player Rounds'!$B$2:$B$401,$B8,'Player Rounds'!$C$2:$C$401,$C8))))</f>
      </c>
      <c r="O8" t="e">
        <f>IF($A8="","",IF(COUNTIFS('Player Rounds'!$A$2:$A$401,$A8,'Player Rounds'!$B$2:$B$401,$B8,'Player Rounds'!$I$2:$I$401,"&gt;0")=0,"",SIGN(_xlfn.MINIFS('Player Rounds'!$AC$2:$AC$401,'Player Rounds'!$A$2:$A$401,$A8,'Player Rounds'!$B$2:$B$401,$B8,'Player Rounds'!$C$2:$C$401,$D8)-_xlfn.MINIFS('Player Rounds'!$AC$2:$AC$401,'Player Rounds'!$A$2:$A$401,$A8,'Player Rounds'!$B$2:$B$401,$B8,'Player Rounds'!$C$2:$C$401,$C8))))</f>
      </c>
      <c r="P8" t="e">
        <f>IF($A8="","",IF(COUNTIFS('Player Rounds'!$A$2:$A$401,$A8,'Player Rounds'!$B$2:$B$401,$B8,'Player Rounds'!$J$2:$J$401,"&gt;0")=0,"",SIGN(_xlfn.MINIFS('Player Rounds'!$AD$2:$AD$401,'Player Rounds'!$A$2:$A$401,$A8,'Player Rounds'!$B$2:$B$401,$B8,'Player Rounds'!$C$2:$C$401,$D8)-_xlfn.MINIFS('Player Rounds'!$AD$2:$AD$401,'Player Rounds'!$A$2:$A$401,$A8,'Player Rounds'!$B$2:$B$401,$B8,'Player Rounds'!$C$2:$C$401,$C8))))</f>
      </c>
      <c r="Q8" t="e">
        <f>IF($A8="","",IF(COUNTIFS('Player Rounds'!$A$2:$A$401,$A8,'Player Rounds'!$B$2:$B$401,$B8,'Player Rounds'!$K$2:$K$401,"&gt;0")=0,"",SIGN(_xlfn.MINIFS('Player Rounds'!$AE$2:$AE$401,'Player Rounds'!$A$2:$A$401,$A8,'Player Rounds'!$B$2:$B$401,$B8,'Player Rounds'!$C$2:$C$401,$D8)-_xlfn.MINIFS('Player Rounds'!$AE$2:$AE$401,'Player Rounds'!$A$2:$A$401,$A8,'Player Rounds'!$B$2:$B$401,$B8,'Player Rounds'!$C$2:$C$401,$C8))))</f>
      </c>
      <c r="R8" t="e">
        <f>IF($A8="","",IF(COUNTIFS('Player Rounds'!$A$2:$A$401,$A8,'Player Rounds'!$B$2:$B$401,$B8,'Player Rounds'!$L$2:$L$401,"&gt;0")=0,"",SIGN(_xlfn.MINIFS('Player Rounds'!$AF$2:$AF$401,'Player Rounds'!$A$2:$A$401,$A8,'Player Rounds'!$B$2:$B$401,$B8,'Player Rounds'!$C$2:$C$401,$D8)-_xlfn.MINIFS('Player Rounds'!$AF$2:$AF$401,'Player Rounds'!$A$2:$A$401,$A8,'Player Rounds'!$B$2:$B$401,$B8,'Player Rounds'!$C$2:$C$401,$C8))))</f>
      </c>
      <c r="S8" t="e">
        <f>IF($A8="","",IF(COUNTIFS('Player Rounds'!$A$2:$A$401,$A8,'Player Rounds'!$B$2:$B$401,$B8,'Player Rounds'!$M$2:$M$401,"&gt;0")=0,"",SIGN(_xlfn.MINIFS('Player Rounds'!$AG$2:$AG$401,'Player Rounds'!$A$2:$A$401,$A8,'Player Rounds'!$B$2:$B$401,$B8,'Player Rounds'!$C$2:$C$401,$D8)-_xlfn.MINIFS('Player Rounds'!$AG$2:$AG$401,'Player Rounds'!$A$2:$A$401,$A8,'Player Rounds'!$B$2:$B$401,$B8,'Player Rounds'!$C$2:$C$401,$C8))))</f>
      </c>
      <c r="T8" t="e">
        <f>IF($A8="","",IF(COUNTIFS('Player Rounds'!$A$2:$A$401,$A8,'Player Rounds'!$B$2:$B$401,$B8,'Player Rounds'!$N$2:$N$401,"&gt;0")=0,"",SIGN(_xlfn.MINIFS('Player Rounds'!$AH$2:$AH$401,'Player Rounds'!$A$2:$A$401,$A8,'Player Rounds'!$B$2:$B$401,$B8,'Player Rounds'!$C$2:$C$401,$D8)-_xlfn.MINIFS('Player Rounds'!$AH$2:$AH$401,'Player Rounds'!$A$2:$A$401,$A8,'Player Rounds'!$B$2:$B$401,$B8,'Player Rounds'!$C$2:$C$401,$C8))))</f>
      </c>
      <c r="U8" t="e">
        <f>IF($A8="","",IF(COUNTIFS('Player Rounds'!$A$2:$A$401,$A8,'Player Rounds'!$B$2:$B$401,$B8,'Player Rounds'!$O$2:$O$401,"&gt;0")=0,"",SIGN(_xlfn.MINIFS('Player Rounds'!$AI$2:$AI$401,'Player Rounds'!$A$2:$A$401,$A8,'Player Rounds'!$B$2:$B$401,$B8,'Player Rounds'!$C$2:$C$401,$D8)-_xlfn.MINIFS('Player Rounds'!$AI$2:$AI$401,'Player Rounds'!$A$2:$A$401,$A8,'Player Rounds'!$B$2:$B$401,$B8,'Player Rounds'!$C$2:$C$401,$C8))))</f>
      </c>
      <c r="V8" t="e">
        <f>IF($A8="","",IF(COUNTIFS('Player Rounds'!$A$2:$A$401,$A8,'Player Rounds'!$B$2:$B$401,$B8,'Player Rounds'!$P$2:$P$401,"&gt;0")=0,"",SIGN(_xlfn.MINIFS('Player Rounds'!$AJ$2:$AJ$401,'Player Rounds'!$A$2:$A$401,$A8,'Player Rounds'!$B$2:$B$401,$B8,'Player Rounds'!$C$2:$C$401,$D8)-_xlfn.MINIFS('Player Rounds'!$AJ$2:$AJ$401,'Player Rounds'!$A$2:$A$401,$A8,'Player Rounds'!$B$2:$B$401,$B8,'Player Rounds'!$C$2:$C$401,$C8))))</f>
      </c>
      <c r="W8" t="e">
        <f>IF($A8="","",IF(COUNTIFS('Player Rounds'!$A$2:$A$401,$A8,'Player Rounds'!$B$2:$B$401,$B8,'Player Rounds'!$Q$2:$Q$401,"&gt;0")=0,"",SIGN(_xlfn.MINIFS('Player Rounds'!$AK$2:$AK$401,'Player Rounds'!$A$2:$A$401,$A8,'Player Rounds'!$B$2:$B$401,$B8,'Player Rounds'!$C$2:$C$401,$D8)-_xlfn.MINIFS('Player Rounds'!$AK$2:$AK$401,'Player Rounds'!$A$2:$A$401,$A8,'Player Rounds'!$B$2:$B$401,$B8,'Player Rounds'!$C$2:$C$401,$C8))))</f>
      </c>
      <c r="X8" t="e">
        <f>IF($A8="","",IF(COUNTIFS('Player Rounds'!$A$2:$A$401,$A8,'Player Rounds'!$B$2:$B$401,$B8,'Player Rounds'!$R$2:$R$401,"&gt;0")=0,"",SIGN(_xlfn.MINIFS('Player Rounds'!$AL$2:$AL$401,'Player Rounds'!$A$2:$A$401,$A8,'Player Rounds'!$B$2:$B$401,$B8,'Player Rounds'!$C$2:$C$401,$D8)-_xlfn.MINIFS('Player Rounds'!$AL$2:$AL$401,'Player Rounds'!$A$2:$A$401,$A8,'Player Rounds'!$B$2:$B$401,$B8,'Player Rounds'!$C$2:$C$401,$C8))))</f>
      </c>
      <c r="Y8" t="e">
        <f>IF($A8="","",IF(COUNTIFS('Player Rounds'!$A$2:$A$401,$A8,'Player Rounds'!$B$2:$B$401,$B8,'Player Rounds'!$S$2:$S$401,"&gt;0")=0,"",SIGN(_xlfn.MINIFS('Player Rounds'!$AM$2:$AM$401,'Player Rounds'!$A$2:$A$401,$A8,'Player Rounds'!$B$2:$B$401,$B8,'Player Rounds'!$C$2:$C$401,$D8)-_xlfn.MINIFS('Player Rounds'!$AM$2:$AM$401,'Player Rounds'!$A$2:$A$401,$A8,'Player Rounds'!$B$2:$B$401,$B8,'Player Rounds'!$C$2:$C$401,$C8))))</f>
      </c>
      <c r="Z8" t="e">
        <f>IF($A8="","",IF(COUNTIFS('Player Rounds'!$A$2:$A$401,$A8,'Player Rounds'!$B$2:$B$401,$B8,'Player Rounds'!$T$2:$T$401,"&gt;0")=0,"",SIGN(_xlfn.MINIFS('Player Rounds'!$AN$2:$AN$401,'Player Rounds'!$A$2:$A$401,$A8,'Player Rounds'!$B$2:$B$401,$B8,'Player Rounds'!$C$2:$C$401,$D8)-_xlfn.MINIFS('Player Rounds'!$AN$2:$AN$401,'Player Rounds'!$A$2:$A$401,$A8,'Player Rounds'!$B$2:$B$401,$B8,'Player Rounds'!$C$2:$C$401,$C8))))</f>
      </c>
      <c r="AA8" t="e">
        <f>IF($A8="","",IF(COUNTIFS('Player Rounds'!$A$2:$A$401,$A8,'Player Rounds'!$B$2:$B$401,$B8,'Player Rounds'!$U$2:$U$401,"&gt;0")=0,"",SIGN(_xlfn.MINIFS('Player Rounds'!$AO$2:$AO$401,'Player Rounds'!$A$2:$A$401,$A8,'Player Rounds'!$B$2:$B$401,$B8,'Player Rounds'!$C$2:$C$401,$D8)-_xlfn.MINIFS('Player Rounds'!$AO$2:$AO$401,'Player Rounds'!$A$2:$A$401,$A8,'Player Rounds'!$B$2:$B$401,$B8,'Player Rounds'!$C$2:$C$401,$C8))))</f>
      </c>
      <c r="AB8" t="e">
        <f>IF($A8="","",IF(COUNTIFS('Player Rounds'!$A$2:$A$401,$A8,'Player Rounds'!$B$2:$B$401,$B8,'Player Rounds'!$V$2:$V$401,"&gt;0")=0,"",SIGN(_xlfn.MINIFS('Player Rounds'!$AP$2:$AP$401,'Player Rounds'!$A$2:$A$401,$A8,'Player Rounds'!$B$2:$B$401,$B8,'Player Rounds'!$C$2:$C$401,$D8)-_xlfn.MINIFS('Player Rounds'!$AP$2:$AP$401,'Player Rounds'!$A$2:$A$401,$A8,'Player Rounds'!$B$2:$B$401,$B8,'Player Rounds'!$C$2:$C$401,$C8))))</f>
      </c>
      <c r="AC8" t="e">
        <f>IF($A8="","",IF(COUNTIFS('Player Rounds'!$A$2:$A$401,$A8,'Player Rounds'!$B$2:$B$401,$B8,'Player Rounds'!$W$2:$W$401,"&gt;0")=0,"",SIGN(_xlfn.MINIFS('Player Rounds'!$AQ$2:$AQ$401,'Player Rounds'!$A$2:$A$401,$A8,'Player Rounds'!$B$2:$B$401,$B8,'Player Rounds'!$C$2:$C$401,$D8)-_xlfn.MINIFS('Player Rounds'!$AQ$2:$AQ$401,'Player Rounds'!$A$2:$A$401,$A8,'Player Rounds'!$B$2:$B$401,$B8,'Player Rounds'!$C$2:$C$401,$C8))))</f>
      </c>
      <c r="AD8" t="e">
        <f>IF($A8="","",SUM($L8:L8))</f>
      </c>
      <c r="AE8" t="e">
        <f>IF($A8="","",SUM($L8:M8))</f>
      </c>
      <c r="AF8" t="e">
        <f>IF($A8="","",SUM($L8:N8))</f>
      </c>
      <c r="AG8" t="e">
        <f>IF($A8="","",SUM($L8:O8))</f>
      </c>
      <c r="AH8" t="e">
        <f>IF($A8="","",SUM($L8:P8))</f>
      </c>
      <c r="AI8" t="e">
        <f>IF($A8="","",SUM($L8:Q8))</f>
      </c>
      <c r="AJ8" t="e">
        <f>IF($A8="","",SUM($L8:R8))</f>
      </c>
      <c r="AK8" t="e">
        <f>IF($A8="","",SUM($L8:S8))</f>
      </c>
      <c r="AL8" t="e">
        <f>IF($A8="","",SUM($L8:T8))</f>
      </c>
      <c r="AM8" t="e">
        <f>IF($A8="","",SUM($L8:U8))</f>
      </c>
      <c r="AN8" t="e">
        <f>IF($A8="","",SUM($L8:V8))</f>
      </c>
      <c r="AO8" t="e">
        <f>IF($A8="","",SUM($L8:W8))</f>
      </c>
      <c r="AP8" t="e">
        <f>IF($A8="","",SUM($L8:X8))</f>
      </c>
      <c r="AQ8" t="e">
        <f>IF($A8="","",SUM($L8:Y8))</f>
      </c>
      <c r="AR8" t="e">
        <f>IF($A8="","",SUM($L8:Z8))</f>
      </c>
      <c r="AS8" t="e">
        <f>IF($A8="","",SUM($L8:AA8))</f>
      </c>
      <c r="AT8" t="e">
        <f>IF($A8="","",SUM($L8:AB8))</f>
      </c>
      <c r="AU8" t="e">
        <f>IF($A8="","",SUM($L8:AC8))</f>
      </c>
      <c r="AV8" t="e">
        <f>IF(OR($A8="",L8=""),"",IF(ABS(AD8)&gt;17,1,""))</f>
      </c>
      <c r="AW8" t="e">
        <f>IF(OR($A8="",M8=""),"",IF(ABS(AE8)&gt;16,2,""))</f>
      </c>
      <c r="AX8" t="e">
        <f>IF(OR($A8="",N8=""),"",IF(ABS(AF8)&gt;15,3,""))</f>
      </c>
      <c r="AY8" t="e">
        <f>IF(OR($A8="",O8=""),"",IF(ABS(AG8)&gt;14,4,""))</f>
      </c>
      <c r="AZ8" t="e">
        <f>IF(OR($A8="",P8=""),"",IF(ABS(AH8)&gt;13,5,""))</f>
      </c>
      <c r="BA8" t="e">
        <f>IF(OR($A8="",Q8=""),"",IF(ABS(AI8)&gt;12,6,""))</f>
      </c>
      <c r="BB8" t="e">
        <f>IF(OR($A8="",R8=""),"",IF(ABS(AJ8)&gt;11,7,""))</f>
      </c>
      <c r="BC8" t="e">
        <f>IF(OR($A8="",S8=""),"",IF(ABS(AK8)&gt;10,8,""))</f>
      </c>
      <c r="BD8" t="e">
        <f>IF(OR($A8="",T8=""),"",IF(ABS(AL8)&gt;9,9,""))</f>
      </c>
      <c r="BE8" t="e">
        <f>IF(OR($A8="",U8=""),"",IF(ABS(AM8)&gt;8,10,""))</f>
      </c>
      <c r="BF8" t="e">
        <f>IF(OR($A8="",V8=""),"",IF(ABS(AN8)&gt;7,11,""))</f>
      </c>
      <c r="BG8" t="e">
        <f>IF(OR($A8="",W8=""),"",IF(ABS(AO8)&gt;6,12,""))</f>
      </c>
      <c r="BH8" t="e">
        <f>IF(OR($A8="",X8=""),"",IF(ABS(AP8)&gt;5,13,""))</f>
      </c>
      <c r="BI8" t="e">
        <f>IF(OR($A8="",Y8=""),"",IF(ABS(AQ8)&gt;4,14,""))</f>
      </c>
      <c r="BJ8" t="e">
        <f>IF(OR($A8="",Z8=""),"",IF(ABS(AR8)&gt;3,15,""))</f>
      </c>
      <c r="BK8" t="e">
        <f>IF(OR($A8="",AA8=""),"",IF(ABS(AS8)&gt;2,16,""))</f>
      </c>
      <c r="BL8" t="e">
        <f>IF(OR($A8="",AB8=""),"",IF(ABS(AT8)&gt;1,17,""))</f>
      </c>
      <c r="BM8" t="e">
        <f>IF(OR($A8="",AC8=""),"",IF(ABS(AU8)&gt;0,18,""))</f>
      </c>
    </row>
    <row r="9">
      <c r="C9" t="str">
        <f>IF($A9="","",INDEX('Tournament Setup'!$J:$J,MATCH($A9,'Tournament Setup'!$A:$A,0)))</f>
        <v/>
      </c>
      <c r="D9" t="str">
        <f>IF($A9="","",INDEX('Tournament Setup'!$K:$K,MATCH($A9,'Tournament Setup'!$A:$A,0)))</f>
        <v/>
      </c>
      <c r="E9" t="str">
        <f>IF($A9="","",IF(COUNT(L9:AC9)=0,"Not played",IF(AND($K9&gt;0,$K9&lt;18),IF(INDEX(AD9:AU9,1,$K9)&gt;0,$C9,$D9)&amp;" "&amp;ABS(INDEX(AD9:AU9,1,$K9))&amp;"&amp;"&amp;(18-$K9),IF($J9=0,"Halved (AS)",IF($J9&gt;0,$C9,$D9)&amp;" "&amp;ABS($J9)&amp;" UP"))))</f>
        <v/>
      </c>
      <c r="F9" t="e">
        <f>IF(OR($A9="",COUNT(L9:AC9)=0),"",INDEX('Tournament Setup'!$I:$I,MATCH($A9,'Tournament Setup'!$A:$A,0))*IF(INDEX('Tournament Setup'!$H:$H,MATCH($A9,'Tournament Setup'!$A:$A,0))="Yes",IF($H9&gt;0,1,IF($H9=0,0.5,0))+IF($I9&gt;0,1,IF($I9=0,0.5,0))+IF($J9&gt;0,1,IF($J9=0,0.5,0)),IF(IF(AND($K9&gt;0,$K9&lt;18),INDEX(AD9:AU9,1,$K9),$J9)&gt;0,1,IF(IF(AND($K9&gt;0,$K9&lt;18),INDEX(AD9:AU9,1,$K9),$J9)=0,0.5,0))))</f>
      </c>
      <c r="G9" t="e">
        <f>IF(OR($A9="",COUNT(L9:AC9)=0),"",INDEX('Tournament Setup'!$I:$I,MATCH($A9,'Tournament Setup'!$A:$A,0))*IF(INDEX('Tournament Setup'!$H:$H,MATCH($A9,'Tournament Setup'!$A:$A,0))="Yes",IF($H9&lt;0,1,IF($H9=0,0.5,0))+IF($I9&lt;0,1,IF($I9=0,0.5,0))+IF($J9&lt;0,1,IF($J9=0,0.5,0)),IF(IF(AND($K9&gt;0,$K9&lt;18),INDEX(AD9:AU9,1,$K9),$J9)&lt;0,1,IF(IF(AND($K9&gt;0,$K9&lt;18),INDEX(AD9:AU9,1,$K9),$J9)=0,0.5,0))))</f>
      </c>
      <c r="H9" t="e">
        <f>IF($A9="","",SUM(L9:T9))</f>
      </c>
      <c r="I9" t="e">
        <f>IF($A9="","",SUM(U9:AC9))</f>
      </c>
      <c r="J9" t="e">
        <f>IF($A9="","",SUM(L9:AC9))</f>
      </c>
      <c r="K9" t="e">
        <f>IF($A9="","",MIN(AV9:BM9))</f>
      </c>
      <c r="L9" t="e">
        <f>IF($A9="","",IF(COUNTIFS('Player Rounds'!$A$2:$A$401,$A9,'Player Rounds'!$B$2:$B$401,$B9,'Player Rounds'!$F$2:$F$401,"&gt;0")=0,"",SIGN(_xlfn.MINIFS('Player Rounds'!$Z$2:$Z$401,'Player Rounds'!$A$2:$A$401,$A9,'Player Rounds'!$B$2:$B$401,$B9,'Player Rounds'!$C$2:$C$401,$D9)-_xlfn.MINIFS('Player Rounds'!$Z$2:$Z$401,'Player Rounds'!$A$2:$A$401,$A9,'Player Rounds'!$B$2:$B$401,$B9,'Player Rounds'!$C$2:$C$401,$C9))))</f>
      </c>
      <c r="M9" t="e">
        <f>IF($A9="","",IF(COUNTIFS('Player Rounds'!$A$2:$A$401,$A9,'Player Rounds'!$B$2:$B$401,$B9,'Player Rounds'!$G$2:$G$401,"&gt;0")=0,"",SIGN(_xlfn.MINIFS('Player Rounds'!$AA$2:$AA$401,'Player Rounds'!$A$2:$A$401,$A9,'Player Rounds'!$B$2:$B$401,$B9,'Player Rounds'!$C$2:$C$401,$D9)-_xlfn.MINIFS('Player Rounds'!$AA$2:$AA$401,'Player Rounds'!$A$2:$A$401,$A9,'Player Rounds'!$B$2:$B$401,$B9,'Player Rounds'!$C$2:$C$401,$C9))))</f>
      </c>
      <c r="N9" t="e">
        <f>IF($A9="","",IF(COUNTIFS('Player Rounds'!$A$2:$A$401,$A9,'Player Rounds'!$B$2:$B$401,$B9,'Player Rounds'!$H$2:$H$401,"&gt;0")=0,"",SIGN(_xlfn.MINIFS('Player Rounds'!$AB$2:$AB$401,'Player Rounds'!$A$2:$A$401,$A9,'Player Rounds'!$B$2:$B$401,$B9,'Player Rounds'!$C$2:$C$401,$D9)-_xlfn.MINIFS('Player Rounds'!$AB$2:$AB$401,'Player Rounds'!$A$2:$A$401,$A9,'Player Rounds'!$B$2:$B$401,$B9,'Player Rounds'!$C$2:$C$401,$C9))))</f>
      </c>
      <c r="O9" t="e">
        <f>IF($A9="","",IF(COUNTIFS('Player Rounds'!$A$2:$A$401,$A9,'Player Rounds'!$B$2:$B$401,$B9,'Player Rounds'!$I$2:$I$401,"&gt;0")=0,"",SIGN(_xlfn.MINIFS('Player Rounds'!$AC$2:$AC$401,'Player Rounds'!$A$2:$A$401,$A9,'Player Rounds'!$B$2:$B$401,$B9,'Player Rounds'!$C$2:$C$401,$D9)-_xlfn.MINIFS('Player Rounds'!$AC$2:$AC$401,'Player Rounds'!$A$2:$A$401,$A9,'Player Rounds'!$B$2:$B$401,$B9,'Player Rounds'!$C$2:$C$401,$C9))))</f>
      </c>
      <c r="P9" t="e">
        <f>IF($A9="","",IF(COUNTIFS('Player Rounds'!$A$2:$A$401,$A9,'Player Rounds'!$B$2:$B$401,$B9,'Player Rounds'!$J$2:$J$401,"&gt;0")=0,"",SIGN(_xlfn.MINIFS('Player Rounds'!$AD$2:$AD$401,'Player Rounds'!$A$2:$A$401,$A9,'Player Rounds'!$B$2:$B$401,$B9,'Player Rounds'!$C$2:$C$401,$D9)-_xlfn.MINIFS('Player Rounds'!$AD$2:$AD$401,'Player Rounds'!$A$2:$A$401,$A9,'Player Rounds'!$B$2:$B$401,$B9,'Player Rounds'!$C$2:$C$401,$C9))))</f>
      </c>
      <c r="Q9" t="e">
        <f>IF($A9="","",IF(COUNTIFS('Player Rounds'!$A$2:$A$401,$A9,'Player Rounds'!$B$2:$B$401,$B9,'Player Rounds'!$K$2:$K$401,"&gt;0")=0,"",SIGN(_xlfn.MINIFS('Player Rounds'!$AE$2:$AE$401,'Player Rounds'!$A$2:$A$401,$A9,'Player Rounds'!$B$2:$B$401,$B9,'Player Rounds'!$C$2:$C$401,$D9)-_xlfn.MINIFS('Player Rounds'!$AE$2:$AE$401,'Player Rounds'!$A$2:$A$401,$A9,'Player Rounds'!$B$2:$B$401,$B9,'Player Rounds'!$C$2:$C$401,$C9))))</f>
      </c>
      <c r="R9" t="e">
        <f>IF($A9="","",IF(COUNTIFS('Player Rounds'!$A$2:$A$401,$A9,'Player Rounds'!$B$2:$B$401,$B9,'Player Rounds'!$L$2:$L$401,"&gt;0")=0,"",SIGN(_xlfn.MINIFS('Player Rounds'!$AF$2:$AF$401,'Player Rounds'!$A$2:$A$401,$A9,'Player Rounds'!$B$2:$B$401,$B9,'Player Rounds'!$C$2:$C$401,$D9)-_xlfn.MINIFS('Player Rounds'!$AF$2:$AF$401,'Player Rounds'!$A$2:$A$401,$A9,'Player Rounds'!$B$2:$B$401,$B9,'Player Rounds'!$C$2:$C$401,$C9))))</f>
      </c>
      <c r="S9" t="e">
        <f>IF($A9="","",IF(COUNTIFS('Player Rounds'!$A$2:$A$401,$A9,'Player Rounds'!$B$2:$B$401,$B9,'Player Rounds'!$M$2:$M$401,"&gt;0")=0,"",SIGN(_xlfn.MINIFS('Player Rounds'!$AG$2:$AG$401,'Player Rounds'!$A$2:$A$401,$A9,'Player Rounds'!$B$2:$B$401,$B9,'Player Rounds'!$C$2:$C$401,$D9)-_xlfn.MINIFS('Player Rounds'!$AG$2:$AG$401,'Player Rounds'!$A$2:$A$401,$A9,'Player Rounds'!$B$2:$B$401,$B9,'Player Rounds'!$C$2:$C$401,$C9))))</f>
      </c>
      <c r="T9" t="e">
        <f>IF($A9="","",IF(COUNTIFS('Player Rounds'!$A$2:$A$401,$A9,'Player Rounds'!$B$2:$B$401,$B9,'Player Rounds'!$N$2:$N$401,"&gt;0")=0,"",SIGN(_xlfn.MINIFS('Player Rounds'!$AH$2:$AH$401,'Player Rounds'!$A$2:$A$401,$A9,'Player Rounds'!$B$2:$B$401,$B9,'Player Rounds'!$C$2:$C$401,$D9)-_xlfn.MINIFS('Player Rounds'!$AH$2:$AH$401,'Player Rounds'!$A$2:$A$401,$A9,'Player Rounds'!$B$2:$B$401,$B9,'Player Rounds'!$C$2:$C$401,$C9))))</f>
      </c>
      <c r="U9" t="e">
        <f>IF($A9="","",IF(COUNTIFS('Player Rounds'!$A$2:$A$401,$A9,'Player Rounds'!$B$2:$B$401,$B9,'Player Rounds'!$O$2:$O$401,"&gt;0")=0,"",SIGN(_xlfn.MINIFS('Player Rounds'!$AI$2:$AI$401,'Player Rounds'!$A$2:$A$401,$A9,'Player Rounds'!$B$2:$B$401,$B9,'Player Rounds'!$C$2:$C$401,$D9)-_xlfn.MINIFS('Player Rounds'!$AI$2:$AI$401,'Player Rounds'!$A$2:$A$401,$A9,'Player Rounds'!$B$2:$B$401,$B9,'Player Rounds'!$C$2:$C$401,$C9))))</f>
      </c>
      <c r="V9" t="e">
        <f>IF($A9="","",IF(COUNTIFS('Player Rounds'!$A$2:$A$401,$A9,'Player Rounds'!$B$2:$B$401,$B9,'Player Rounds'!$P$2:$P$401,"&gt;0")=0,"",SIGN(_xlfn.MINIFS('Player Rounds'!$AJ$2:$AJ$401,'Player Rounds'!$A$2:$A$401,$A9,'Player Rounds'!$B$2:$B$401,$B9,'Player Rounds'!$C$2:$C$401,$D9)-_xlfn.MINIFS('Player Rounds'!$AJ$2:$AJ$401,'Player Rounds'!$A$2:$A$401,$A9,'Player Rounds'!$B$2:$B$401,$B9,'Player Rounds'!$C$2:$C$401,$C9))))</f>
      </c>
      <c r="W9" t="e">
        <f>IF($A9="","",IF(COUNTIFS('Player Rounds'!$A$2:$A$401,$A9,'Player Rounds'!$B$2:$B$401,$B9,'Player Rounds'!$Q$2:$Q$401,"&gt;0")=0,"",SIGN(_xlfn.MINIFS('Player Rounds'!$AK$2:$AK$401,'Player Rounds'!$A$2:$A$401,$A9,'Player Rounds'!$B$2:$B$401,$B9,'Player Rounds'!$C$2:$C$401,$D9)-_xlfn.MINIFS('Player Rounds'!$AK$2:$AK$401,'Player Rounds'!$A$2:$A$401,$A9,'Player Rounds'!$B$2:$B$401,$B9,'Player Rounds'!$C$2:$C$401,$C9))))</f>
      </c>
      <c r="X9" t="e">
        <f>IF($A9="","",IF(COUNTIFS('Player Rounds'!$A$2:$A$401,$A9,'Player Rounds'!$B$2:$B$401,$B9,'Player Rounds'!$R$2:$R$401,"&gt;0")=0,"",SIGN(_xlfn.MINIFS('Player Rounds'!$AL$2:$AL$401,'Player Rounds'!$A$2:$A$401,$A9,'Player Rounds'!$B$2:$B$401,$B9,'Player Rounds'!$C$2:$C$401,$D9)-_xlfn.MINIFS('Player Rounds'!$AL$2:$AL$401,'Player Rounds'!$A$2:$A$401,$A9,'Player Rounds'!$B$2:$B$401,$B9,'Player Rounds'!$C$2:$C$401,$C9))))</f>
      </c>
      <c r="Y9" t="e">
        <f>IF($A9="","",IF(COUNTIFS('Player Rounds'!$A$2:$A$401,$A9,'Player Rounds'!$B$2:$B$401,$B9,'Player Rounds'!$S$2:$S$401,"&gt;0")=0,"",SIGN(_xlfn.MINIFS('Player Rounds'!$AM$2:$AM$401,'Player Rounds'!$A$2:$A$401,$A9,'Player Rounds'!$B$2:$B$401,$B9,'Player Rounds'!$C$2:$C$401,$D9)-_xlfn.MINIFS('Player Rounds'!$AM$2:$AM$401,'Player Rounds'!$A$2:$A$401,$A9,'Player Rounds'!$B$2:$B$401,$B9,'Player Rounds'!$C$2:$C$401,$C9))))</f>
      </c>
      <c r="Z9" t="e">
        <f>IF($A9="","",IF(COUNTIFS('Player Rounds'!$A$2:$A$401,$A9,'Player Rounds'!$B$2:$B$401,$B9,'Player Rounds'!$T$2:$T$401,"&gt;0")=0,"",SIGN(_xlfn.MINIFS('Player Rounds'!$AN$2:$AN$401,'Player Rounds'!$A$2:$A$401,$A9,'Player Rounds'!$B$2:$B$401,$B9,'Player Rounds'!$C$2:$C$401,$D9)-_xlfn.MINIFS('Player Rounds'!$AN$2:$AN$401,'Player Rounds'!$A$2:$A$401,$A9,'Player Rounds'!$B$2:$B$401,$B9,'Player Rounds'!$C$2:$C$401,$C9))))</f>
      </c>
      <c r="AA9" t="e">
        <f>IF($A9="","",IF(COUNTIFS('Player Rounds'!$A$2:$A$401,$A9,'Player Rounds'!$B$2:$B$401,$B9,'Player Rounds'!$U$2:$U$401,"&gt;0")=0,"",SIGN(_xlfn.MINIFS('Player Rounds'!$AO$2:$AO$401,'Player Rounds'!$A$2:$A$401,$A9,'Player Rounds'!$B$2:$B$401,$B9,'Player Rounds'!$C$2:$C$401,$D9)-_xlfn.MINIFS('Player Rounds'!$AO$2:$AO$401,'Player Rounds'!$A$2:$A$401,$A9,'Player Rounds'!$B$2:$B$401,$B9,'Player Rounds'!$C$2:$C$401,$C9))))</f>
      </c>
      <c r="AB9" t="e">
        <f>IF($A9="","",IF(COUNTIFS('Player Rounds'!$A$2:$A$401,$A9,'Player Rounds'!$B$2:$B$401,$B9,'Player Rounds'!$V$2:$V$401,"&gt;0")=0,"",SIGN(_xlfn.MINIFS('Player Rounds'!$AP$2:$AP$401,'Player Rounds'!$A$2:$A$401,$A9,'Player Rounds'!$B$2:$B$401,$B9,'Player Rounds'!$C$2:$C$401,$D9)-_xlfn.MINIFS('Player Rounds'!$AP$2:$AP$401,'Player Rounds'!$A$2:$A$401,$A9,'Player Rounds'!$B$2:$B$401,$B9,'Player Rounds'!$C$2:$C$401,$C9))))</f>
      </c>
      <c r="AC9" t="e">
        <f>IF($A9="","",IF(COUNTIFS('Player Rounds'!$A$2:$A$401,$A9,'Player Rounds'!$B$2:$B$401,$B9,'Player Rounds'!$W$2:$W$401,"&gt;0")=0,"",SIGN(_xlfn.MINIFS('Player Rounds'!$AQ$2:$AQ$401,'Player Rounds'!$A$2:$A$401,$A9,'Player Rounds'!$B$2:$B$401,$B9,'Player Rounds'!$C$2:$C$401,$D9)-_xlfn.MINIFS('Player Rounds'!$AQ$2:$AQ$401,'Player Rounds'!$A$2:$A$401,$A9,'Player Rounds'!$B$2:$B$401,$B9,'Player Rounds'!$C$2:$C$401,$C9))))</f>
      </c>
      <c r="AD9" t="e">
        <f>IF($A9="","",SUM($L9:L9))</f>
      </c>
      <c r="AE9" t="e">
        <f>IF($A9="","",SUM($L9:M9))</f>
      </c>
      <c r="AF9" t="e">
        <f>IF($A9="","",SUM($L9:N9))</f>
      </c>
      <c r="AG9" t="e">
        <f>IF($A9="","",SUM($L9:O9))</f>
      </c>
      <c r="AH9" t="e">
        <f>IF($A9="","",SUM($L9:P9))</f>
      </c>
      <c r="AI9" t="e">
        <f>IF($A9="","",SUM($L9:Q9))</f>
      </c>
      <c r="AJ9" t="e">
        <f>IF($A9="","",SUM($L9:R9))</f>
      </c>
      <c r="AK9" t="e">
        <f>IF($A9="","",SUM($L9:S9))</f>
      </c>
      <c r="AL9" t="e">
        <f>IF($A9="","",SUM($L9:T9))</f>
      </c>
      <c r="AM9" t="e">
        <f>IF($A9="","",SUM($L9:U9))</f>
      </c>
      <c r="AN9" t="e">
        <f>IF($A9="","",SUM($L9:V9))</f>
      </c>
      <c r="AO9" t="e">
        <f>IF($A9="","",SUM($L9:W9))</f>
      </c>
      <c r="AP9" t="e">
        <f>IF($A9="","",SUM($L9:X9))</f>
      </c>
      <c r="AQ9" t="e">
        <f>IF($A9="","",SUM($L9:Y9))</f>
      </c>
      <c r="AR9" t="e">
        <f>IF($A9="","",SUM($L9:Z9))</f>
      </c>
      <c r="AS9" t="e">
        <f>IF($A9="","",SUM($L9:AA9))</f>
      </c>
      <c r="AT9" t="e">
        <f>IF($A9="","",SUM($L9:AB9))</f>
      </c>
      <c r="AU9" t="e">
        <f>IF($A9="","",SUM($L9:AC9))</f>
      </c>
      <c r="AV9" t="e">
        <f>IF(OR($A9="",L9=""),"",IF(ABS(AD9)&gt;17,1,""))</f>
      </c>
      <c r="AW9" t="e">
        <f>IF(OR($A9="",M9=""),"",IF(ABS(AE9)&gt;16,2,""))</f>
      </c>
      <c r="AX9" t="e">
        <f>IF(OR($A9="",N9=""),"",IF(ABS(AF9)&gt;15,3,""))</f>
      </c>
      <c r="AY9" t="e">
        <f>IF(OR($A9="",O9=""),"",IF(ABS(AG9)&gt;14,4,""))</f>
      </c>
      <c r="AZ9" t="e">
        <f>IF(OR($A9="",P9=""),"",IF(ABS(AH9)&gt;13,5,""))</f>
      </c>
      <c r="BA9" t="e">
        <f>IF(OR($A9="",Q9=""),"",IF(ABS(AI9)&gt;12,6,""))</f>
      </c>
      <c r="BB9" t="e">
        <f>IF(OR($A9="",R9=""),"",IF(ABS(AJ9)&gt;11,7,""))</f>
      </c>
      <c r="BC9" t="e">
        <f>IF(OR($A9="",S9=""),"",IF(ABS(AK9)&gt;10,8,""))</f>
      </c>
      <c r="BD9" t="e">
        <f>IF(OR($A9="",T9=""),"",IF(ABS(AL9)&gt;9,9,""))</f>
      </c>
      <c r="BE9" t="e">
        <f>IF(OR($A9="",U9=""),"",IF(ABS(AM9)&gt;8,10,""))</f>
      </c>
      <c r="BF9" t="e">
        <f>IF(OR($A9="",V9=""),"",IF(ABS(AN9)&gt;7,11,""))</f>
      </c>
      <c r="BG9" t="e">
        <f>IF(OR($A9="",W9=""),"",IF(ABS(AO9)&gt;6,12,""))</f>
      </c>
      <c r="BH9" t="e">
        <f>IF(OR($A9="",X9=""),"",IF(ABS(AP9)&gt;5,13,""))</f>
      </c>
      <c r="BI9" t="e">
        <f>IF(OR($A9="",Y9=""),"",IF(ABS(AQ9)&gt;4,14,""))</f>
      </c>
      <c r="BJ9" t="e">
        <f>IF(OR($A9="",Z9=""),"",IF(ABS(AR9)&gt;3,15,""))</f>
      </c>
      <c r="BK9" t="e">
        <f>IF(OR($A9="",AA9=""),"",IF(ABS(AS9)&gt;2,16,""))</f>
      </c>
      <c r="BL9" t="e">
        <f>IF(OR($A9="",AB9=""),"",IF(ABS(AT9)&gt;1,17,""))</f>
      </c>
      <c r="BM9" t="e">
        <f>IF(OR($A9="",AC9=""),"",IF(ABS(AU9)&gt;0,18,""))</f>
      </c>
    </row>
    <row r="10">
      <c r="C10" t="str">
        <f>IF($A10="","",INDEX('Tournament Setup'!$J:$J,MATCH($A10,'Tournament Setup'!$A:$A,0)))</f>
        <v/>
      </c>
      <c r="D10" t="str">
        <f>IF($A10="","",INDEX('Tournament Setup'!$K:$K,MATCH($A10,'Tournament Setup'!$A:$A,0)))</f>
        <v/>
      </c>
      <c r="E10" t="str">
        <f>IF($A10="","",IF(COUNT(L10:AC10)=0,"Not played",IF(AND($K10&gt;0,$K10&lt;18),IF(INDEX(AD10:AU10,1,$K10)&gt;0,$C10,$D10)&amp;" "&amp;ABS(INDEX(AD10:AU10,1,$K10))&amp;"&amp;"&amp;(18-$K10),IF($J10=0,"Halved (AS)",IF($J10&gt;0,$C10,$D10)&amp;" "&amp;ABS($J10)&amp;" UP"))))</f>
        <v/>
      </c>
      <c r="F10" t="e">
        <f>IF(OR($A10="",COUNT(L10:AC10)=0),"",INDEX('Tournament Setup'!$I:$I,MATCH($A10,'Tournament Setup'!$A:$A,0))*IF(INDEX('Tournament Setup'!$H:$H,MATCH($A10,'Tournament Setup'!$A:$A,0))="Yes",IF($H10&gt;0,1,IF($H10=0,0.5,0))+IF($I10&gt;0,1,IF($I10=0,0.5,0))+IF($J10&gt;0,1,IF($J10=0,0.5,0)),IF(IF(AND($K10&gt;0,$K10&lt;18),INDEX(AD10:AU10,1,$K10),$J10)&gt;0,1,IF(IF(AND($K10&gt;0,$K10&lt;18),INDEX(AD10:AU10,1,$K10),$J10)=0,0.5,0))))</f>
      </c>
      <c r="G10" t="e">
        <f>IF(OR($A10="",COUNT(L10:AC10)=0),"",INDEX('Tournament Setup'!$I:$I,MATCH($A10,'Tournament Setup'!$A:$A,0))*IF(INDEX('Tournament Setup'!$H:$H,MATCH($A10,'Tournament Setup'!$A:$A,0))="Yes",IF($H10&lt;0,1,IF($H10=0,0.5,0))+IF($I10&lt;0,1,IF($I10=0,0.5,0))+IF($J10&lt;0,1,IF($J10=0,0.5,0)),IF(IF(AND($K10&gt;0,$K10&lt;18),INDEX(AD10:AU10,1,$K10),$J10)&lt;0,1,IF(IF(AND($K10&gt;0,$K10&lt;18),INDEX(AD10:AU10,1,$K10),$J10)=0,0.5,0))))</f>
      </c>
      <c r="H10" t="e">
        <f>IF($A10="","",SUM(L10:T10))</f>
      </c>
      <c r="I10" t="e">
        <f>IF($A10="","",SUM(U10:AC10))</f>
      </c>
      <c r="J10" t="e">
        <f>IF($A10="","",SUM(L10:AC10))</f>
      </c>
      <c r="K10" t="e">
        <f>IF($A10="","",MIN(AV10:BM10))</f>
      </c>
      <c r="L10" t="e">
        <f>IF($A10="","",IF(COUNTIFS('Player Rounds'!$A$2:$A$401,$A10,'Player Rounds'!$B$2:$B$401,$B10,'Player Rounds'!$F$2:$F$401,"&gt;0")=0,"",SIGN(_xlfn.MINIFS('Player Rounds'!$Z$2:$Z$401,'Player Rounds'!$A$2:$A$401,$A10,'Player Rounds'!$B$2:$B$401,$B10,'Player Rounds'!$C$2:$C$401,$D10)-_xlfn.MINIFS('Player Rounds'!$Z$2:$Z$401,'Player Rounds'!$A$2:$A$401,$A10,'Player Rounds'!$B$2:$B$401,$B10,'Player Rounds'!$C$2:$C$401,$C10))))</f>
      </c>
      <c r="M10" t="e">
        <f>IF($A10="","",IF(COUNTIFS('Player Rounds'!$A$2:$A$401,$A10,'Player Rounds'!$B$2:$B$401,$B10,'Player Rounds'!$G$2:$G$401,"&gt;0")=0,"",SIGN(_xlfn.MINIFS('Player Rounds'!$AA$2:$AA$401,'Player Rounds'!$A$2:$A$401,$A10,'Player Rounds'!$B$2:$B$401,$B10,'Player Rounds'!$C$2:$C$401,$D10)-_xlfn.MINIFS('Player Rounds'!$AA$2:$AA$401,'Player Rounds'!$A$2:$A$401,$A10,'Player Rounds'!$B$2:$B$401,$B10,'Player Rounds'!$C$2:$C$401,$C10))))</f>
      </c>
      <c r="N10" t="e">
        <f>IF($A10="","",IF(COUNTIFS('Player Rounds'!$A$2:$A$401,$A10,'Player Rounds'!$B$2:$B$401,$B10,'Player Rounds'!$H$2:$H$401,"&gt;0")=0,"",SIGN(_xlfn.MINIFS('Player Rounds'!$AB$2:$AB$401,'Player Rounds'!$A$2:$A$401,$A10,'Player Rounds'!$B$2:$B$401,$B10,'Player Rounds'!$C$2:$C$401,$D10)-_xlfn.MINIFS('Player Rounds'!$AB$2:$AB$401,'Player Rounds'!$A$2:$A$401,$A10,'Player Rounds'!$B$2:$B$401,$B10,'Player Rounds'!$C$2:$C$401,$C10))))</f>
      </c>
      <c r="O10" t="e">
        <f>IF($A10="","",IF(COUNTIFS('Player Rounds'!$A$2:$A$401,$A10,'Player Rounds'!$B$2:$B$401,$B10,'Player Rounds'!$I$2:$I$401,"&gt;0")=0,"",SIGN(_xlfn.MINIFS('Player Rounds'!$AC$2:$AC$401,'Player Rounds'!$A$2:$A$401,$A10,'Player Rounds'!$B$2:$B$401,$B10,'Player Rounds'!$C$2:$C$401,$D10)-_xlfn.MINIFS('Player Rounds'!$AC$2:$AC$401,'Player Rounds'!$A$2:$A$401,$A10,'Player Rounds'!$B$2:$B$401,$B10,'Player Rounds'!$C$2:$C$401,$C10))))</f>
      </c>
      <c r="P10" t="e">
        <f>IF($A10="","",IF(COUNTIFS('Player Rounds'!$A$2:$A$401,$A10,'Player Rounds'!$B$2:$B$401,$B10,'Player Rounds'!$J$2:$J$401,"&gt;0")=0,"",SIGN(_xlfn.MINIFS('Player Rounds'!$AD$2:$AD$401,'Player Rounds'!$A$2:$A$401,$A10,'Player Rounds'!$B$2:$B$401,$B10,'Player Rounds'!$C$2:$C$401,$D10)-_xlfn.MINIFS('Player Rounds'!$AD$2:$AD$401,'Player Rounds'!$A$2:$A$401,$A10,'Player Rounds'!$B$2:$B$401,$B10,'Player Rounds'!$C$2:$C$401,$C10))))</f>
      </c>
      <c r="Q10" t="e">
        <f>IF($A10="","",IF(COUNTIFS('Player Rounds'!$A$2:$A$401,$A10,'Player Rounds'!$B$2:$B$401,$B10,'Player Rounds'!$K$2:$K$401,"&gt;0")=0,"",SIGN(_xlfn.MINIFS('Player Rounds'!$AE$2:$AE$401,'Player Rounds'!$A$2:$A$401,$A10,'Player Rounds'!$B$2:$B$401,$B10,'Player Rounds'!$C$2:$C$401,$D10)-_xlfn.MINIFS('Player Rounds'!$AE$2:$AE$401,'Player Rounds'!$A$2:$A$401,$A10,'Player Rounds'!$B$2:$B$401,$B10,'Player Rounds'!$C$2:$C$401,$C10))))</f>
      </c>
      <c r="R10" t="e">
        <f>IF($A10="","",IF(COUNTIFS('Player Rounds'!$A$2:$A$401,$A10,'Player Rounds'!$B$2:$B$401,$B10,'Player Rounds'!$L$2:$L$401,"&gt;0")=0,"",SIGN(_xlfn.MINIFS('Player Rounds'!$AF$2:$AF$401,'Player Rounds'!$A$2:$A$401,$A10,'Player Rounds'!$B$2:$B$401,$B10,'Player Rounds'!$C$2:$C$401,$D10)-_xlfn.MINIFS('Player Rounds'!$AF$2:$AF$401,'Player Rounds'!$A$2:$A$401,$A10,'Player Rounds'!$B$2:$B$401,$B10,'Player Rounds'!$C$2:$C$401,$C10))))</f>
      </c>
      <c r="S10" t="e">
        <f>IF($A10="","",IF(COUNTIFS('Player Rounds'!$A$2:$A$401,$A10,'Player Rounds'!$B$2:$B$401,$B10,'Player Rounds'!$M$2:$M$401,"&gt;0")=0,"",SIGN(_xlfn.MINIFS('Player Rounds'!$AG$2:$AG$401,'Player Rounds'!$A$2:$A$401,$A10,'Player Rounds'!$B$2:$B$401,$B10,'Player Rounds'!$C$2:$C$401,$D10)-_xlfn.MINIFS('Player Rounds'!$AG$2:$AG$401,'Player Rounds'!$A$2:$A$401,$A10,'Player Rounds'!$B$2:$B$401,$B10,'Player Rounds'!$C$2:$C$401,$C10))))</f>
      </c>
      <c r="T10" t="e">
        <f>IF($A10="","",IF(COUNTIFS('Player Rounds'!$A$2:$A$401,$A10,'Player Rounds'!$B$2:$B$401,$B10,'Player Rounds'!$N$2:$N$401,"&gt;0")=0,"",SIGN(_xlfn.MINIFS('Player Rounds'!$AH$2:$AH$401,'Player Rounds'!$A$2:$A$401,$A10,'Player Rounds'!$B$2:$B$401,$B10,'Player Rounds'!$C$2:$C$401,$D10)-_xlfn.MINIFS('Player Rounds'!$AH$2:$AH$401,'Player Rounds'!$A$2:$A$401,$A10,'Player Rounds'!$B$2:$B$401,$B10,'Player Rounds'!$C$2:$C$401,$C10))))</f>
      </c>
      <c r="U10" t="e">
        <f>IF($A10="","",IF(COUNTIFS('Player Rounds'!$A$2:$A$401,$A10,'Player Rounds'!$B$2:$B$401,$B10,'Player Rounds'!$O$2:$O$401,"&gt;0")=0,"",SIGN(_xlfn.MINIFS('Player Rounds'!$AI$2:$AI$401,'Player Rounds'!$A$2:$A$401,$A10,'Player Rounds'!$B$2:$B$401,$B10,'Player Rounds'!$C$2:$C$401,$D10)-_xlfn.MINIFS('Player Rounds'!$AI$2:$AI$401,'Player Rounds'!$A$2:$A$401,$A10,'Player Rounds'!$B$2:$B$401,$B10,'Player Rounds'!$C$2:$C$401,$C10))))</f>
      </c>
      <c r="V10" t="e">
        <f>IF($A10="","",IF(COUNTIFS('Player Rounds'!$A$2:$A$401,$A10,'Player Rounds'!$B$2:$B$401,$B10,'Player Rounds'!$P$2:$P$401,"&gt;0")=0,"",SIGN(_xlfn.MINIFS('Player Rounds'!$AJ$2:$AJ$401,'Player Rounds'!$A$2:$A$401,$A10,'Player Rounds'!$B$2:$B$401,$B10,'Player Rounds'!$C$2:$C$401,$D10)-_xlfn.MINIFS('Player Rounds'!$AJ$2:$AJ$401,'Player Rounds'!$A$2:$A$401,$A10,'Player Rounds'!$B$2:$B$401,$B10,'Player Rounds'!$C$2:$C$401,$C10))))</f>
      </c>
      <c r="W10" t="e">
        <f>IF($A10="","",IF(COUNTIFS('Player Rounds'!$A$2:$A$401,$A10,'Player Rounds'!$B$2:$B$401,$B10,'Player Rounds'!$Q$2:$Q$401,"&gt;0")=0,"",SIGN(_xlfn.MINIFS('Player Rounds'!$AK$2:$AK$401,'Player Rounds'!$A$2:$A$401,$A10,'Player Rounds'!$B$2:$B$401,$B10,'Player Rounds'!$C$2:$C$401,$D10)-_xlfn.MINIFS('Player Rounds'!$AK$2:$AK$401,'Player Rounds'!$A$2:$A$401,$A10,'Player Rounds'!$B$2:$B$401,$B10,'Player Rounds'!$C$2:$C$401,$C10))))</f>
      </c>
      <c r="X10" t="e">
        <f>IF($A10="","",IF(COUNTIFS('Player Rounds'!$A$2:$A$401,$A10,'Player Rounds'!$B$2:$B$401,$B10,'Player Rounds'!$R$2:$R$401,"&gt;0")=0,"",SIGN(_xlfn.MINIFS('Player Rounds'!$AL$2:$AL$401,'Player Rounds'!$A$2:$A$401,$A10,'Player Rounds'!$B$2:$B$401,$B10,'Player Rounds'!$C$2:$C$401,$D10)-_xlfn.MINIFS('Player Rounds'!$AL$2:$AL$401,'Player Rounds'!$A$2:$A$401,$A10,'Player Rounds'!$B$2:$B$401,$B10,'Player Rounds'!$C$2:$C$401,$C10))))</f>
      </c>
      <c r="Y10" t="e">
        <f>IF($A10="","",IF(COUNTIFS('Player Rounds'!$A$2:$A$401,$A10,'Player Rounds'!$B$2:$B$401,$B10,'Player Rounds'!$S$2:$S$401,"&gt;0")=0,"",SIGN(_xlfn.MINIFS('Player Rounds'!$AM$2:$AM$401,'Player Rounds'!$A$2:$A$401,$A10,'Player Rounds'!$B$2:$B$401,$B10,'Player Rounds'!$C$2:$C$401,$D10)-_xlfn.MINIFS('Player Rounds'!$AM$2:$AM$401,'Player Rounds'!$A$2:$A$401,$A10,'Player Rounds'!$B$2:$B$401,$B10,'Player Rounds'!$C$2:$C$401,$C10))))</f>
      </c>
      <c r="Z10" t="e">
        <f>IF($A10="","",IF(COUNTIFS('Player Rounds'!$A$2:$A$401,$A10,'Player Rounds'!$B$2:$B$401,$B10,'Player Rounds'!$T$2:$T$401,"&gt;0")=0,"",SIGN(_xlfn.MINIFS('Player Rounds'!$AN$2:$AN$401,'Player Rounds'!$A$2:$A$401,$A10,'Player Rounds'!$B$2:$B$401,$B10,'Player Rounds'!$C$2:$C$401,$D10)-_xlfn.MINIFS('Player Rounds'!$AN$2:$AN$401,'Player Rounds'!$A$2:$A$401,$A10,'Player Rounds'!$B$2:$B$401,$B10,'Player Rounds'!$C$2:$C$401,$C10))))</f>
      </c>
      <c r="AA10" t="e">
        <f>IF($A10="","",IF(COUNTIFS('Player Rounds'!$A$2:$A$401,$A10,'Player Rounds'!$B$2:$B$401,$B10,'Player Rounds'!$U$2:$U$401,"&gt;0")=0,"",SIGN(_xlfn.MINIFS('Player Rounds'!$AO$2:$AO$401,'Player Rounds'!$A$2:$A$401,$A10,'Player Rounds'!$B$2:$B$401,$B10,'Player Rounds'!$C$2:$C$401,$D10)-_xlfn.MINIFS('Player Rounds'!$AO$2:$AO$401,'Player Rounds'!$A$2:$A$401,$A10,'Player Rounds'!$B$2:$B$401,$B10,'Player Rounds'!$C$2:$C$401,$C10))))</f>
      </c>
      <c r="AB10" t="e">
        <f>IF($A10="","",IF(COUNTIFS('Player Rounds'!$A$2:$A$401,$A10,'Player Rounds'!$B$2:$B$401,$B10,'Player Rounds'!$V$2:$V$401,"&gt;0")=0,"",SIGN(_xlfn.MINIFS('Player Rounds'!$AP$2:$AP$401,'Player Rounds'!$A$2:$A$401,$A10,'Player Rounds'!$B$2:$B$401,$B10,'Player Rounds'!$C$2:$C$401,$D10)-_xlfn.MINIFS('Player Rounds'!$AP$2:$AP$401,'Player Rounds'!$A$2:$A$401,$A10,'Player Rounds'!$B$2:$B$401,$B10,'Player Rounds'!$C$2:$C$401,$C10))))</f>
      </c>
      <c r="AC10" t="e">
        <f>IF($A10="","",IF(COUNTIFS('Player Rounds'!$A$2:$A$401,$A10,'Player Rounds'!$B$2:$B$401,$B10,'Player Rounds'!$W$2:$W$401,"&gt;0")=0,"",SIGN(_xlfn.MINIFS('Player Rounds'!$AQ$2:$AQ$401,'Player Rounds'!$A$2:$A$401,$A10,'Player Rounds'!$B$2:$B$401,$B10,'Player Rounds'!$C$2:$C$401,$D10)-_xlfn.MINIFS('Player Rounds'!$AQ$2:$AQ$401,'Player Rounds'!$A$2:$A$401,$A10,'Player Rounds'!$B$2:$B$401,$B10,'Player Rounds'!$C$2:$C$401,$C10))))</f>
      </c>
      <c r="AD10" t="e">
        <f>IF($A10="","",SUM($L10:L10))</f>
      </c>
      <c r="AE10" t="e">
        <f>IF($A10="","",SUM($L10:M10))</f>
      </c>
      <c r="AF10" t="e">
        <f>IF($A10="","",SUM($L10:N10))</f>
      </c>
      <c r="AG10" t="e">
        <f>IF($A10="","",SUM($L10:O10))</f>
      </c>
      <c r="AH10" t="e">
        <f>IF($A10="","",SUM($L10:P10))</f>
      </c>
      <c r="AI10" t="e">
        <f>IF($A10="","",SUM($L10:Q10))</f>
      </c>
      <c r="AJ10" t="e">
        <f>IF($A10="","",SUM($L10:R10))</f>
      </c>
      <c r="AK10" t="e">
        <f>IF($A10="","",SUM($L10:S10))</f>
      </c>
      <c r="AL10" t="e">
        <f>IF($A10="","",SUM($L10:T10))</f>
      </c>
      <c r="AM10" t="e">
        <f>IF($A10="","",SUM($L10:U10))</f>
      </c>
      <c r="AN10" t="e">
        <f>IF($A10="","",SUM($L10:V10))</f>
      </c>
      <c r="AO10" t="e">
        <f>IF($A10="","",SUM($L10:W10))</f>
      </c>
      <c r="AP10" t="e">
        <f>IF($A10="","",SUM($L10:X10))</f>
      </c>
      <c r="AQ10" t="e">
        <f>IF($A10="","",SUM($L10:Y10))</f>
      </c>
      <c r="AR10" t="e">
        <f>IF($A10="","",SUM($L10:Z10))</f>
      </c>
      <c r="AS10" t="e">
        <f>IF($A10="","",SUM($L10:AA10))</f>
      </c>
      <c r="AT10" t="e">
        <f>IF($A10="","",SUM($L10:AB10))</f>
      </c>
      <c r="AU10" t="e">
        <f>IF($A10="","",SUM($L10:AC10))</f>
      </c>
      <c r="AV10" t="e">
        <f>IF(OR($A10="",L10=""),"",IF(ABS(AD10)&gt;17,1,""))</f>
      </c>
      <c r="AW10" t="e">
        <f>IF(OR($A10="",M10=""),"",IF(ABS(AE10)&gt;16,2,""))</f>
      </c>
      <c r="AX10" t="e">
        <f>IF(OR($A10="",N10=""),"",IF(ABS(AF10)&gt;15,3,""))</f>
      </c>
      <c r="AY10" t="e">
        <f>IF(OR($A10="",O10=""),"",IF(ABS(AG10)&gt;14,4,""))</f>
      </c>
      <c r="AZ10" t="e">
        <f>IF(OR($A10="",P10=""),"",IF(ABS(AH10)&gt;13,5,""))</f>
      </c>
      <c r="BA10" t="e">
        <f>IF(OR($A10="",Q10=""),"",IF(ABS(AI10)&gt;12,6,""))</f>
      </c>
      <c r="BB10" t="e">
        <f>IF(OR($A10="",R10=""),"",IF(ABS(AJ10)&gt;11,7,""))</f>
      </c>
      <c r="BC10" t="e">
        <f>IF(OR($A10="",S10=""),"",IF(ABS(AK10)&gt;10,8,""))</f>
      </c>
      <c r="BD10" t="e">
        <f>IF(OR($A10="",T10=""),"",IF(ABS(AL10)&gt;9,9,""))</f>
      </c>
      <c r="BE10" t="e">
        <f>IF(OR($A10="",U10=""),"",IF(ABS(AM10)&gt;8,10,""))</f>
      </c>
      <c r="BF10" t="e">
        <f>IF(OR($A10="",V10=""),"",IF(ABS(AN10)&gt;7,11,""))</f>
      </c>
      <c r="BG10" t="e">
        <f>IF(OR($A10="",W10=""),"",IF(ABS(AO10)&gt;6,12,""))</f>
      </c>
      <c r="BH10" t="e">
        <f>IF(OR($A10="",X10=""),"",IF(ABS(AP10)&gt;5,13,""))</f>
      </c>
      <c r="BI10" t="e">
        <f>IF(OR($A10="",Y10=""),"",IF(ABS(AQ10)&gt;4,14,""))</f>
      </c>
      <c r="BJ10" t="e">
        <f>IF(OR($A10="",Z10=""),"",IF(ABS(AR10)&gt;3,15,""))</f>
      </c>
      <c r="BK10" t="e">
        <f>IF(OR($A10="",AA10=""),"",IF(ABS(AS10)&gt;2,16,""))</f>
      </c>
      <c r="BL10" t="e">
        <f>IF(OR($A10="",AB10=""),"",IF(ABS(AT10)&gt;1,17,""))</f>
      </c>
      <c r="BM10" t="e">
        <f>IF(OR($A10="",AC10=""),"",IF(ABS(AU10)&gt;0,18,""))</f>
      </c>
    </row>
    <row r="11">
      <c r="C11" t="str">
        <f>IF($A11="","",INDEX('Tournament Setup'!$J:$J,MATCH($A11,'Tournament Setup'!$A:$A,0)))</f>
        <v/>
      </c>
      <c r="D11" t="str">
        <f>IF($A11="","",INDEX('Tournament Setup'!$K:$K,MATCH($A11,'Tournament Setup'!$A:$A,0)))</f>
        <v/>
      </c>
      <c r="E11" t="str">
        <f>IF($A11="","",IF(COUNT(L11:AC11)=0,"Not played",IF(AND($K11&gt;0,$K11&lt;18),IF(INDEX(AD11:AU11,1,$K11)&gt;0,$C11,$D11)&amp;" "&amp;ABS(INDEX(AD11:AU11,1,$K11))&amp;"&amp;"&amp;(18-$K11),IF($J11=0,"Halved (AS)",IF($J11&gt;0,$C11,$D11)&amp;" "&amp;ABS($J11)&amp;" UP"))))</f>
        <v/>
      </c>
      <c r="F11" t="e">
        <f>IF(OR($A11="",COUNT(L11:AC11)=0),"",INDEX('Tournament Setup'!$I:$I,MATCH($A11,'Tournament Setup'!$A:$A,0))*IF(INDEX('Tournament Setup'!$H:$H,MATCH($A11,'Tournament Setup'!$A:$A,0))="Yes",IF($H11&gt;0,1,IF($H11=0,0.5,0))+IF($I11&gt;0,1,IF($I11=0,0.5,0))+IF($J11&gt;0,1,IF($J11=0,0.5,0)),IF(IF(AND($K11&gt;0,$K11&lt;18),INDEX(AD11:AU11,1,$K11),$J11)&gt;0,1,IF(IF(AND($K11&gt;0,$K11&lt;18),INDEX(AD11:AU11,1,$K11),$J11)=0,0.5,0))))</f>
      </c>
      <c r="G11" t="e">
        <f>IF(OR($A11="",COUNT(L11:AC11)=0),"",INDEX('Tournament Setup'!$I:$I,MATCH($A11,'Tournament Setup'!$A:$A,0))*IF(INDEX('Tournament Setup'!$H:$H,MATCH($A11,'Tournament Setup'!$A:$A,0))="Yes",IF($H11&lt;0,1,IF($H11=0,0.5,0))+IF($I11&lt;0,1,IF($I11=0,0.5,0))+IF($J11&lt;0,1,IF($J11=0,0.5,0)),IF(IF(AND($K11&gt;0,$K11&lt;18),INDEX(AD11:AU11,1,$K11),$J11)&lt;0,1,IF(IF(AND($K11&gt;0,$K11&lt;18),INDEX(AD11:AU11,1,$K11),$J11)=0,0.5,0))))</f>
      </c>
      <c r="H11" t="e">
        <f>IF($A11="","",SUM(L11:T11))</f>
      </c>
      <c r="I11" t="e">
        <f>IF($A11="","",SUM(U11:AC11))</f>
      </c>
      <c r="J11" t="e">
        <f>IF($A11="","",SUM(L11:AC11))</f>
      </c>
      <c r="K11" t="e">
        <f>IF($A11="","",MIN(AV11:BM11))</f>
      </c>
      <c r="L11" t="e">
        <f>IF($A11="","",IF(COUNTIFS('Player Rounds'!$A$2:$A$401,$A11,'Player Rounds'!$B$2:$B$401,$B11,'Player Rounds'!$F$2:$F$401,"&gt;0")=0,"",SIGN(_xlfn.MINIFS('Player Rounds'!$Z$2:$Z$401,'Player Rounds'!$A$2:$A$401,$A11,'Player Rounds'!$B$2:$B$401,$B11,'Player Rounds'!$C$2:$C$401,$D11)-_xlfn.MINIFS('Player Rounds'!$Z$2:$Z$401,'Player Rounds'!$A$2:$A$401,$A11,'Player Rounds'!$B$2:$B$401,$B11,'Player Rounds'!$C$2:$C$401,$C11))))</f>
      </c>
      <c r="M11" t="e">
        <f>IF($A11="","",IF(COUNTIFS('Player Rounds'!$A$2:$A$401,$A11,'Player Rounds'!$B$2:$B$401,$B11,'Player Rounds'!$G$2:$G$401,"&gt;0")=0,"",SIGN(_xlfn.MINIFS('Player Rounds'!$AA$2:$AA$401,'Player Rounds'!$A$2:$A$401,$A11,'Player Rounds'!$B$2:$B$401,$B11,'Player Rounds'!$C$2:$C$401,$D11)-_xlfn.MINIFS('Player Rounds'!$AA$2:$AA$401,'Player Rounds'!$A$2:$A$401,$A11,'Player Rounds'!$B$2:$B$401,$B11,'Player Rounds'!$C$2:$C$401,$C11))))</f>
      </c>
      <c r="N11" t="e">
        <f>IF($A11="","",IF(COUNTIFS('Player Rounds'!$A$2:$A$401,$A11,'Player Rounds'!$B$2:$B$401,$B11,'Player Rounds'!$H$2:$H$401,"&gt;0")=0,"",SIGN(_xlfn.MINIFS('Player Rounds'!$AB$2:$AB$401,'Player Rounds'!$A$2:$A$401,$A11,'Player Rounds'!$B$2:$B$401,$B11,'Player Rounds'!$C$2:$C$401,$D11)-_xlfn.MINIFS('Player Rounds'!$AB$2:$AB$401,'Player Rounds'!$A$2:$A$401,$A11,'Player Rounds'!$B$2:$B$401,$B11,'Player Rounds'!$C$2:$C$401,$C11))))</f>
      </c>
      <c r="O11" t="e">
        <f>IF($A11="","",IF(COUNTIFS('Player Rounds'!$A$2:$A$401,$A11,'Player Rounds'!$B$2:$B$401,$B11,'Player Rounds'!$I$2:$I$401,"&gt;0")=0,"",SIGN(_xlfn.MINIFS('Player Rounds'!$AC$2:$AC$401,'Player Rounds'!$A$2:$A$401,$A11,'Player Rounds'!$B$2:$B$401,$B11,'Player Rounds'!$C$2:$C$401,$D11)-_xlfn.MINIFS('Player Rounds'!$AC$2:$AC$401,'Player Rounds'!$A$2:$A$401,$A11,'Player Rounds'!$B$2:$B$401,$B11,'Player Rounds'!$C$2:$C$401,$C11))))</f>
      </c>
      <c r="P11" t="e">
        <f>IF($A11="","",IF(COUNTIFS('Player Rounds'!$A$2:$A$401,$A11,'Player Rounds'!$B$2:$B$401,$B11,'Player Rounds'!$J$2:$J$401,"&gt;0")=0,"",SIGN(_xlfn.MINIFS('Player Rounds'!$AD$2:$AD$401,'Player Rounds'!$A$2:$A$401,$A11,'Player Rounds'!$B$2:$B$401,$B11,'Player Rounds'!$C$2:$C$401,$D11)-_xlfn.MINIFS('Player Rounds'!$AD$2:$AD$401,'Player Rounds'!$A$2:$A$401,$A11,'Player Rounds'!$B$2:$B$401,$B11,'Player Rounds'!$C$2:$C$401,$C11))))</f>
      </c>
      <c r="Q11" t="e">
        <f>IF($A11="","",IF(COUNTIFS('Player Rounds'!$A$2:$A$401,$A11,'Player Rounds'!$B$2:$B$401,$B11,'Player Rounds'!$K$2:$K$401,"&gt;0")=0,"",SIGN(_xlfn.MINIFS('Player Rounds'!$AE$2:$AE$401,'Player Rounds'!$A$2:$A$401,$A11,'Player Rounds'!$B$2:$B$401,$B11,'Player Rounds'!$C$2:$C$401,$D11)-_xlfn.MINIFS('Player Rounds'!$AE$2:$AE$401,'Player Rounds'!$A$2:$A$401,$A11,'Player Rounds'!$B$2:$B$401,$B11,'Player Rounds'!$C$2:$C$401,$C11))))</f>
      </c>
      <c r="R11" t="e">
        <f>IF($A11="","",IF(COUNTIFS('Player Rounds'!$A$2:$A$401,$A11,'Player Rounds'!$B$2:$B$401,$B11,'Player Rounds'!$L$2:$L$401,"&gt;0")=0,"",SIGN(_xlfn.MINIFS('Player Rounds'!$AF$2:$AF$401,'Player Rounds'!$A$2:$A$401,$A11,'Player Rounds'!$B$2:$B$401,$B11,'Player Rounds'!$C$2:$C$401,$D11)-_xlfn.MINIFS('Player Rounds'!$AF$2:$AF$401,'Player Rounds'!$A$2:$A$401,$A11,'Player Rounds'!$B$2:$B$401,$B11,'Player Rounds'!$C$2:$C$401,$C11))))</f>
      </c>
      <c r="S11" t="e">
        <f>IF($A11="","",IF(COUNTIFS('Player Rounds'!$A$2:$A$401,$A11,'Player Rounds'!$B$2:$B$401,$B11,'Player Rounds'!$M$2:$M$401,"&gt;0")=0,"",SIGN(_xlfn.MINIFS('Player Rounds'!$AG$2:$AG$401,'Player Rounds'!$A$2:$A$401,$A11,'Player Rounds'!$B$2:$B$401,$B11,'Player Rounds'!$C$2:$C$401,$D11)-_xlfn.MINIFS('Player Rounds'!$AG$2:$AG$401,'Player Rounds'!$A$2:$A$401,$A11,'Player Rounds'!$B$2:$B$401,$B11,'Player Rounds'!$C$2:$C$401,$C11))))</f>
      </c>
      <c r="T11" t="e">
        <f>IF($A11="","",IF(COUNTIFS('Player Rounds'!$A$2:$A$401,$A11,'Player Rounds'!$B$2:$B$401,$B11,'Player Rounds'!$N$2:$N$401,"&gt;0")=0,"",SIGN(_xlfn.MINIFS('Player Rounds'!$AH$2:$AH$401,'Player Rounds'!$A$2:$A$401,$A11,'Player Rounds'!$B$2:$B$401,$B11,'Player Rounds'!$C$2:$C$401,$D11)-_xlfn.MINIFS('Player Rounds'!$AH$2:$AH$401,'Player Rounds'!$A$2:$A$401,$A11,'Player Rounds'!$B$2:$B$401,$B11,'Player Rounds'!$C$2:$C$401,$C11))))</f>
      </c>
      <c r="U11" t="e">
        <f>IF($A11="","",IF(COUNTIFS('Player Rounds'!$A$2:$A$401,$A11,'Player Rounds'!$B$2:$B$401,$B11,'Player Rounds'!$O$2:$O$401,"&gt;0")=0,"",SIGN(_xlfn.MINIFS('Player Rounds'!$AI$2:$AI$401,'Player Rounds'!$A$2:$A$401,$A11,'Player Rounds'!$B$2:$B$401,$B11,'Player Rounds'!$C$2:$C$401,$D11)-_xlfn.MINIFS('Player Rounds'!$AI$2:$AI$401,'Player Rounds'!$A$2:$A$401,$A11,'Player Rounds'!$B$2:$B$401,$B11,'Player Rounds'!$C$2:$C$401,$C11))))</f>
      </c>
      <c r="V11" t="e">
        <f>IF($A11="","",IF(COUNTIFS('Player Rounds'!$A$2:$A$401,$A11,'Player Rounds'!$B$2:$B$401,$B11,'Player Rounds'!$P$2:$P$401,"&gt;0")=0,"",SIGN(_xlfn.MINIFS('Player Rounds'!$AJ$2:$AJ$401,'Player Rounds'!$A$2:$A$401,$A11,'Player Rounds'!$B$2:$B$401,$B11,'Player Rounds'!$C$2:$C$401,$D11)-_xlfn.MINIFS('Player Rounds'!$AJ$2:$AJ$401,'Player Rounds'!$A$2:$A$401,$A11,'Player Rounds'!$B$2:$B$401,$B11,'Player Rounds'!$C$2:$C$401,$C11))))</f>
      </c>
      <c r="W11" t="e">
        <f>IF($A11="","",IF(COUNTIFS('Player Rounds'!$A$2:$A$401,$A11,'Player Rounds'!$B$2:$B$401,$B11,'Player Rounds'!$Q$2:$Q$401,"&gt;0")=0,"",SIGN(_xlfn.MINIFS('Player Rounds'!$AK$2:$AK$401,'Player Rounds'!$A$2:$A$401,$A11,'Player Rounds'!$B$2:$B$401,$B11,'Player Rounds'!$C$2:$C$401,$D11)-_xlfn.MINIFS('Player Rounds'!$AK$2:$AK$401,'Player Rounds'!$A$2:$A$401,$A11,'Player Rounds'!$B$2:$B$401,$B11,'Player Rounds'!$C$2:$C$401,$C11))))</f>
      </c>
      <c r="X11" t="e">
        <f>IF($A11="","",IF(COUNTIFS('Player Rounds'!$A$2:$A$401,$A11,'Player Rounds'!$B$2:$B$401,$B11,'Player Rounds'!$R$2:$R$401,"&gt;0")=0,"",SIGN(_xlfn.MINIFS('Player Rounds'!$AL$2:$AL$401,'Player Rounds'!$A$2:$A$401,$A11,'Player Rounds'!$B$2:$B$401,$B11,'Player Rounds'!$C$2:$C$401,$D11)-_xlfn.MINIFS('Player Rounds'!$AL$2:$AL$401,'Player Rounds'!$A$2:$A$401,$A11,'Player Rounds'!$B$2:$B$401,$B11,'Player Rounds'!$C$2:$C$401,$C11))))</f>
      </c>
      <c r="Y11" t="e">
        <f>IF($A11="","",IF(COUNTIFS('Player Rounds'!$A$2:$A$401,$A11,'Player Rounds'!$B$2:$B$401,$B11,'Player Rounds'!$S$2:$S$401,"&gt;0")=0,"",SIGN(_xlfn.MINIFS('Player Rounds'!$AM$2:$AM$401,'Player Rounds'!$A$2:$A$401,$A11,'Player Rounds'!$B$2:$B$401,$B11,'Player Rounds'!$C$2:$C$401,$D11)-_xlfn.MINIFS('Player Rounds'!$AM$2:$AM$401,'Player Rounds'!$A$2:$A$401,$A11,'Player Rounds'!$B$2:$B$401,$B11,'Player Rounds'!$C$2:$C$401,$C11))))</f>
      </c>
      <c r="Z11" t="e">
        <f>IF($A11="","",IF(COUNTIFS('Player Rounds'!$A$2:$A$401,$A11,'Player Rounds'!$B$2:$B$401,$B11,'Player Rounds'!$T$2:$T$401,"&gt;0")=0,"",SIGN(_xlfn.MINIFS('Player Rounds'!$AN$2:$AN$401,'Player Rounds'!$A$2:$A$401,$A11,'Player Rounds'!$B$2:$B$401,$B11,'Player Rounds'!$C$2:$C$401,$D11)-_xlfn.MINIFS('Player Rounds'!$AN$2:$AN$401,'Player Rounds'!$A$2:$A$401,$A11,'Player Rounds'!$B$2:$B$401,$B11,'Player Rounds'!$C$2:$C$401,$C11))))</f>
      </c>
      <c r="AA11" t="e">
        <f>IF($A11="","",IF(COUNTIFS('Player Rounds'!$A$2:$A$401,$A11,'Player Rounds'!$B$2:$B$401,$B11,'Player Rounds'!$U$2:$U$401,"&gt;0")=0,"",SIGN(_xlfn.MINIFS('Player Rounds'!$AO$2:$AO$401,'Player Rounds'!$A$2:$A$401,$A11,'Player Rounds'!$B$2:$B$401,$B11,'Player Rounds'!$C$2:$C$401,$D11)-_xlfn.MINIFS('Player Rounds'!$AO$2:$AO$401,'Player Rounds'!$A$2:$A$401,$A11,'Player Rounds'!$B$2:$B$401,$B11,'Player Rounds'!$C$2:$C$401,$C11))))</f>
      </c>
      <c r="AB11" t="e">
        <f>IF($A11="","",IF(COUNTIFS('Player Rounds'!$A$2:$A$401,$A11,'Player Rounds'!$B$2:$B$401,$B11,'Player Rounds'!$V$2:$V$401,"&gt;0")=0,"",SIGN(_xlfn.MINIFS('Player Rounds'!$AP$2:$AP$401,'Player Rounds'!$A$2:$A$401,$A11,'Player Rounds'!$B$2:$B$401,$B11,'Player Rounds'!$C$2:$C$401,$D11)-_xlfn.MINIFS('Player Rounds'!$AP$2:$AP$401,'Player Rounds'!$A$2:$A$401,$A11,'Player Rounds'!$B$2:$B$401,$B11,'Player Rounds'!$C$2:$C$401,$C11))))</f>
      </c>
      <c r="AC11" t="e">
        <f>IF($A11="","",IF(COUNTIFS('Player Rounds'!$A$2:$A$401,$A11,'Player Rounds'!$B$2:$B$401,$B11,'Player Rounds'!$W$2:$W$401,"&gt;0")=0,"",SIGN(_xlfn.MINIFS('Player Rounds'!$AQ$2:$AQ$401,'Player Rounds'!$A$2:$A$401,$A11,'Player Rounds'!$B$2:$B$401,$B11,'Player Rounds'!$C$2:$C$401,$D11)-_xlfn.MINIFS('Player Rounds'!$AQ$2:$AQ$401,'Player Rounds'!$A$2:$A$401,$A11,'Player Rounds'!$B$2:$B$401,$B11,'Player Rounds'!$C$2:$C$401,$C11))))</f>
      </c>
      <c r="AD11" t="e">
        <f>IF($A11="","",SUM($L11:L11))</f>
      </c>
      <c r="AE11" t="e">
        <f>IF($A11="","",SUM($L11:M11))</f>
      </c>
      <c r="AF11" t="e">
        <f>IF($A11="","",SUM($L11:N11))</f>
      </c>
      <c r="AG11" t="e">
        <f>IF($A11="","",SUM($L11:O11))</f>
      </c>
      <c r="AH11" t="e">
        <f>IF($A11="","",SUM($L11:P11))</f>
      </c>
      <c r="AI11" t="e">
        <f>IF($A11="","",SUM($L11:Q11))</f>
      </c>
      <c r="AJ11" t="e">
        <f>IF($A11="","",SUM($L11:R11))</f>
      </c>
      <c r="AK11" t="e">
        <f>IF($A11="","",SUM($L11:S11))</f>
      </c>
      <c r="AL11" t="e">
        <f>IF($A11="","",SUM($L11:T11))</f>
      </c>
      <c r="AM11" t="e">
        <f>IF($A11="","",SUM($L11:U11))</f>
      </c>
      <c r="AN11" t="e">
        <f>IF($A11="","",SUM($L11:V11))</f>
      </c>
      <c r="AO11" t="e">
        <f>IF($A11="","",SUM($L11:W11))</f>
      </c>
      <c r="AP11" t="e">
        <f>IF($A11="","",SUM($L11:X11))</f>
      </c>
      <c r="AQ11" t="e">
        <f>IF($A11="","",SUM($L11:Y11))</f>
      </c>
      <c r="AR11" t="e">
        <f>IF($A11="","",SUM($L11:Z11))</f>
      </c>
      <c r="AS11" t="e">
        <f>IF($A11="","",SUM($L11:AA11))</f>
      </c>
      <c r="AT11" t="e">
        <f>IF($A11="","",SUM($L11:AB11))</f>
      </c>
      <c r="AU11" t="e">
        <f>IF($A11="","",SUM($L11:AC11))</f>
      </c>
      <c r="AV11" t="e">
        <f>IF(OR($A11="",L11=""),"",IF(ABS(AD11)&gt;17,1,""))</f>
      </c>
      <c r="AW11" t="e">
        <f>IF(OR($A11="",M11=""),"",IF(ABS(AE11)&gt;16,2,""))</f>
      </c>
      <c r="AX11" t="e">
        <f>IF(OR($A11="",N11=""),"",IF(ABS(AF11)&gt;15,3,""))</f>
      </c>
      <c r="AY11" t="e">
        <f>IF(OR($A11="",O11=""),"",IF(ABS(AG11)&gt;14,4,""))</f>
      </c>
      <c r="AZ11" t="e">
        <f>IF(OR($A11="",P11=""),"",IF(ABS(AH11)&gt;13,5,""))</f>
      </c>
      <c r="BA11" t="e">
        <f>IF(OR($A11="",Q11=""),"",IF(ABS(AI11)&gt;12,6,""))</f>
      </c>
      <c r="BB11" t="e">
        <f>IF(OR($A11="",R11=""),"",IF(ABS(AJ11)&gt;11,7,""))</f>
      </c>
      <c r="BC11" t="e">
        <f>IF(OR($A11="",S11=""),"",IF(ABS(AK11)&gt;10,8,""))</f>
      </c>
      <c r="BD11" t="e">
        <f>IF(OR($A11="",T11=""),"",IF(ABS(AL11)&gt;9,9,""))</f>
      </c>
      <c r="BE11" t="e">
        <f>IF(OR($A11="",U11=""),"",IF(ABS(AM11)&gt;8,10,""))</f>
      </c>
      <c r="BF11" t="e">
        <f>IF(OR($A11="",V11=""),"",IF(ABS(AN11)&gt;7,11,""))</f>
      </c>
      <c r="BG11" t="e">
        <f>IF(OR($A11="",W11=""),"",IF(ABS(AO11)&gt;6,12,""))</f>
      </c>
      <c r="BH11" t="e">
        <f>IF(OR($A11="",X11=""),"",IF(ABS(AP11)&gt;5,13,""))</f>
      </c>
      <c r="BI11" t="e">
        <f>IF(OR($A11="",Y11=""),"",IF(ABS(AQ11)&gt;4,14,""))</f>
      </c>
      <c r="BJ11" t="e">
        <f>IF(OR($A11="",Z11=""),"",IF(ABS(AR11)&gt;3,15,""))</f>
      </c>
      <c r="BK11" t="e">
        <f>IF(OR($A11="",AA11=""),"",IF(ABS(AS11)&gt;2,16,""))</f>
      </c>
      <c r="BL11" t="e">
        <f>IF(OR($A11="",AB11=""),"",IF(ABS(AT11)&gt;1,17,""))</f>
      </c>
      <c r="BM11" t="e">
        <f>IF(OR($A11="",AC11=""),"",IF(ABS(AU11)&gt;0,18,""))</f>
      </c>
    </row>
    <row r="12">
      <c r="C12" t="str">
        <f>IF($A12="","",INDEX('Tournament Setup'!$J:$J,MATCH($A12,'Tournament Setup'!$A:$A,0)))</f>
        <v/>
      </c>
      <c r="D12" t="str">
        <f>IF($A12="","",INDEX('Tournament Setup'!$K:$K,MATCH($A12,'Tournament Setup'!$A:$A,0)))</f>
        <v/>
      </c>
      <c r="E12" t="str">
        <f>IF($A12="","",IF(COUNT(L12:AC12)=0,"Not played",IF(AND($K12&gt;0,$K12&lt;18),IF(INDEX(AD12:AU12,1,$K12)&gt;0,$C12,$D12)&amp;" "&amp;ABS(INDEX(AD12:AU12,1,$K12))&amp;"&amp;"&amp;(18-$K12),IF($J12=0,"Halved (AS)",IF($J12&gt;0,$C12,$D12)&amp;" "&amp;ABS($J12)&amp;" UP"))))</f>
        <v/>
      </c>
      <c r="F12" t="e">
        <f>IF(OR($A12="",COUNT(L12:AC12)=0),"",INDEX('Tournament Setup'!$I:$I,MATCH($A12,'Tournament Setup'!$A:$A,0))*IF(INDEX('Tournament Setup'!$H:$H,MATCH($A12,'Tournament Setup'!$A:$A,0))="Yes",IF($H12&gt;0,1,IF($H12=0,0.5,0))+IF($I12&gt;0,1,IF($I12=0,0.5,0))+IF($J12&gt;0,1,IF($J12=0,0.5,0)),IF(IF(AND($K12&gt;0,$K12&lt;18),INDEX(AD12:AU12,1,$K12),$J12)&gt;0,1,IF(IF(AND($K12&gt;0,$K12&lt;18),INDEX(AD12:AU12,1,$K12),$J12)=0,0.5,0))))</f>
      </c>
      <c r="G12" t="e">
        <f>IF(OR($A12="",COUNT(L12:AC12)=0),"",INDEX('Tournament Setup'!$I:$I,MATCH($A12,'Tournament Setup'!$A:$A,0))*IF(INDEX('Tournament Setup'!$H:$H,MATCH($A12,'Tournament Setup'!$A:$A,0))="Yes",IF($H12&lt;0,1,IF($H12=0,0.5,0))+IF($I12&lt;0,1,IF($I12=0,0.5,0))+IF($J12&lt;0,1,IF($J12=0,0.5,0)),IF(IF(AND($K12&gt;0,$K12&lt;18),INDEX(AD12:AU12,1,$K12),$J12)&lt;0,1,IF(IF(AND($K12&gt;0,$K12&lt;18),INDEX(AD12:AU12,1,$K12),$J12)=0,0.5,0))))</f>
      </c>
      <c r="H12" t="e">
        <f>IF($A12="","",SUM(L12:T12))</f>
      </c>
      <c r="I12" t="e">
        <f>IF($A12="","",SUM(U12:AC12))</f>
      </c>
      <c r="J12" t="e">
        <f>IF($A12="","",SUM(L12:AC12))</f>
      </c>
      <c r="K12" t="e">
        <f>IF($A12="","",MIN(AV12:BM12))</f>
      </c>
      <c r="L12" t="e">
        <f>IF($A12="","",IF(COUNTIFS('Player Rounds'!$A$2:$A$401,$A12,'Player Rounds'!$B$2:$B$401,$B12,'Player Rounds'!$F$2:$F$401,"&gt;0")=0,"",SIGN(_xlfn.MINIFS('Player Rounds'!$Z$2:$Z$401,'Player Rounds'!$A$2:$A$401,$A12,'Player Rounds'!$B$2:$B$401,$B12,'Player Rounds'!$C$2:$C$401,$D12)-_xlfn.MINIFS('Player Rounds'!$Z$2:$Z$401,'Player Rounds'!$A$2:$A$401,$A12,'Player Rounds'!$B$2:$B$401,$B12,'Player Rounds'!$C$2:$C$401,$C12))))</f>
      </c>
      <c r="M12" t="e">
        <f>IF($A12="","",IF(COUNTIFS('Player Rounds'!$A$2:$A$401,$A12,'Player Rounds'!$B$2:$B$401,$B12,'Player Rounds'!$G$2:$G$401,"&gt;0")=0,"",SIGN(_xlfn.MINIFS('Player Rounds'!$AA$2:$AA$401,'Player Rounds'!$A$2:$A$401,$A12,'Player Rounds'!$B$2:$B$401,$B12,'Player Rounds'!$C$2:$C$401,$D12)-_xlfn.MINIFS('Player Rounds'!$AA$2:$AA$401,'Player Rounds'!$A$2:$A$401,$A12,'Player Rounds'!$B$2:$B$401,$B12,'Player Rounds'!$C$2:$C$401,$C12))))</f>
      </c>
      <c r="N12" t="e">
        <f>IF($A12="","",IF(COUNTIFS('Player Rounds'!$A$2:$A$401,$A12,'Player Rounds'!$B$2:$B$401,$B12,'Player Rounds'!$H$2:$H$401,"&gt;0")=0,"",SIGN(_xlfn.MINIFS('Player Rounds'!$AB$2:$AB$401,'Player Rounds'!$A$2:$A$401,$A12,'Player Rounds'!$B$2:$B$401,$B12,'Player Rounds'!$C$2:$C$401,$D12)-_xlfn.MINIFS('Player Rounds'!$AB$2:$AB$401,'Player Rounds'!$A$2:$A$401,$A12,'Player Rounds'!$B$2:$B$401,$B12,'Player Rounds'!$C$2:$C$401,$C12))))</f>
      </c>
      <c r="O12" t="e">
        <f>IF($A12="","",IF(COUNTIFS('Player Rounds'!$A$2:$A$401,$A12,'Player Rounds'!$B$2:$B$401,$B12,'Player Rounds'!$I$2:$I$401,"&gt;0")=0,"",SIGN(_xlfn.MINIFS('Player Rounds'!$AC$2:$AC$401,'Player Rounds'!$A$2:$A$401,$A12,'Player Rounds'!$B$2:$B$401,$B12,'Player Rounds'!$C$2:$C$401,$D12)-_xlfn.MINIFS('Player Rounds'!$AC$2:$AC$401,'Player Rounds'!$A$2:$A$401,$A12,'Player Rounds'!$B$2:$B$401,$B12,'Player Rounds'!$C$2:$C$401,$C12))))</f>
      </c>
      <c r="P12" t="e">
        <f>IF($A12="","",IF(COUNTIFS('Player Rounds'!$A$2:$A$401,$A12,'Player Rounds'!$B$2:$B$401,$B12,'Player Rounds'!$J$2:$J$401,"&gt;0")=0,"",SIGN(_xlfn.MINIFS('Player Rounds'!$AD$2:$AD$401,'Player Rounds'!$A$2:$A$401,$A12,'Player Rounds'!$B$2:$B$401,$B12,'Player Rounds'!$C$2:$C$401,$D12)-_xlfn.MINIFS('Player Rounds'!$AD$2:$AD$401,'Player Rounds'!$A$2:$A$401,$A12,'Player Rounds'!$B$2:$B$401,$B12,'Player Rounds'!$C$2:$C$401,$C12))))</f>
      </c>
      <c r="Q12" t="e">
        <f>IF($A12="","",IF(COUNTIFS('Player Rounds'!$A$2:$A$401,$A12,'Player Rounds'!$B$2:$B$401,$B12,'Player Rounds'!$K$2:$K$401,"&gt;0")=0,"",SIGN(_xlfn.MINIFS('Player Rounds'!$AE$2:$AE$401,'Player Rounds'!$A$2:$A$401,$A12,'Player Rounds'!$B$2:$B$401,$B12,'Player Rounds'!$C$2:$C$401,$D12)-_xlfn.MINIFS('Player Rounds'!$AE$2:$AE$401,'Player Rounds'!$A$2:$A$401,$A12,'Player Rounds'!$B$2:$B$401,$B12,'Player Rounds'!$C$2:$C$401,$C12))))</f>
      </c>
      <c r="R12" t="e">
        <f>IF($A12="","",IF(COUNTIFS('Player Rounds'!$A$2:$A$401,$A12,'Player Rounds'!$B$2:$B$401,$B12,'Player Rounds'!$L$2:$L$401,"&gt;0")=0,"",SIGN(_xlfn.MINIFS('Player Rounds'!$AF$2:$AF$401,'Player Rounds'!$A$2:$A$401,$A12,'Player Rounds'!$B$2:$B$401,$B12,'Player Rounds'!$C$2:$C$401,$D12)-_xlfn.MINIFS('Player Rounds'!$AF$2:$AF$401,'Player Rounds'!$A$2:$A$401,$A12,'Player Rounds'!$B$2:$B$401,$B12,'Player Rounds'!$C$2:$C$401,$C12))))</f>
      </c>
      <c r="S12" t="e">
        <f>IF($A12="","",IF(COUNTIFS('Player Rounds'!$A$2:$A$401,$A12,'Player Rounds'!$B$2:$B$401,$B12,'Player Rounds'!$M$2:$M$401,"&gt;0")=0,"",SIGN(_xlfn.MINIFS('Player Rounds'!$AG$2:$AG$401,'Player Rounds'!$A$2:$A$401,$A12,'Player Rounds'!$B$2:$B$401,$B12,'Player Rounds'!$C$2:$C$401,$D12)-_xlfn.MINIFS('Player Rounds'!$AG$2:$AG$401,'Player Rounds'!$A$2:$A$401,$A12,'Player Rounds'!$B$2:$B$401,$B12,'Player Rounds'!$C$2:$C$401,$C12))))</f>
      </c>
      <c r="T12" t="e">
        <f>IF($A12="","",IF(COUNTIFS('Player Rounds'!$A$2:$A$401,$A12,'Player Rounds'!$B$2:$B$401,$B12,'Player Rounds'!$N$2:$N$401,"&gt;0")=0,"",SIGN(_xlfn.MINIFS('Player Rounds'!$AH$2:$AH$401,'Player Rounds'!$A$2:$A$401,$A12,'Player Rounds'!$B$2:$B$401,$B12,'Player Rounds'!$C$2:$C$401,$D12)-_xlfn.MINIFS('Player Rounds'!$AH$2:$AH$401,'Player Rounds'!$A$2:$A$401,$A12,'Player Rounds'!$B$2:$B$401,$B12,'Player Rounds'!$C$2:$C$401,$C12))))</f>
      </c>
      <c r="U12" t="e">
        <f>IF($A12="","",IF(COUNTIFS('Player Rounds'!$A$2:$A$401,$A12,'Player Rounds'!$B$2:$B$401,$B12,'Player Rounds'!$O$2:$O$401,"&gt;0")=0,"",SIGN(_xlfn.MINIFS('Player Rounds'!$AI$2:$AI$401,'Player Rounds'!$A$2:$A$401,$A12,'Player Rounds'!$B$2:$B$401,$B12,'Player Rounds'!$C$2:$C$401,$D12)-_xlfn.MINIFS('Player Rounds'!$AI$2:$AI$401,'Player Rounds'!$A$2:$A$401,$A12,'Player Rounds'!$B$2:$B$401,$B12,'Player Rounds'!$C$2:$C$401,$C12))))</f>
      </c>
      <c r="V12" t="e">
        <f>IF($A12="","",IF(COUNTIFS('Player Rounds'!$A$2:$A$401,$A12,'Player Rounds'!$B$2:$B$401,$B12,'Player Rounds'!$P$2:$P$401,"&gt;0")=0,"",SIGN(_xlfn.MINIFS('Player Rounds'!$AJ$2:$AJ$401,'Player Rounds'!$A$2:$A$401,$A12,'Player Rounds'!$B$2:$B$401,$B12,'Player Rounds'!$C$2:$C$401,$D12)-_xlfn.MINIFS('Player Rounds'!$AJ$2:$AJ$401,'Player Rounds'!$A$2:$A$401,$A12,'Player Rounds'!$B$2:$B$401,$B12,'Player Rounds'!$C$2:$C$401,$C12))))</f>
      </c>
      <c r="W12" t="e">
        <f>IF($A12="","",IF(COUNTIFS('Player Rounds'!$A$2:$A$401,$A12,'Player Rounds'!$B$2:$B$401,$B12,'Player Rounds'!$Q$2:$Q$401,"&gt;0")=0,"",SIGN(_xlfn.MINIFS('Player Rounds'!$AK$2:$AK$401,'Player Rounds'!$A$2:$A$401,$A12,'Player Rounds'!$B$2:$B$401,$B12,'Player Rounds'!$C$2:$C$401,$D12)-_xlfn.MINIFS('Player Rounds'!$AK$2:$AK$401,'Player Rounds'!$A$2:$A$401,$A12,'Player Rounds'!$B$2:$B$401,$B12,'Player Rounds'!$C$2:$C$401,$C12))))</f>
      </c>
      <c r="X12" t="e">
        <f>IF($A12="","",IF(COUNTIFS('Player Rounds'!$A$2:$A$401,$A12,'Player Rounds'!$B$2:$B$401,$B12,'Player Rounds'!$R$2:$R$401,"&gt;0")=0,"",SIGN(_xlfn.MINIFS('Player Rounds'!$AL$2:$AL$401,'Player Rounds'!$A$2:$A$401,$A12,'Player Rounds'!$B$2:$B$401,$B12,'Player Rounds'!$C$2:$C$401,$D12)-_xlfn.MINIFS('Player Rounds'!$AL$2:$AL$401,'Player Rounds'!$A$2:$A$401,$A12,'Player Rounds'!$B$2:$B$401,$B12,'Player Rounds'!$C$2:$C$401,$C12))))</f>
      </c>
      <c r="Y12" t="e">
        <f>IF($A12="","",IF(COUNTIFS('Player Rounds'!$A$2:$A$401,$A12,'Player Rounds'!$B$2:$B$401,$B12,'Player Rounds'!$S$2:$S$401,"&gt;0")=0,"",SIGN(_xlfn.MINIFS('Player Rounds'!$AM$2:$AM$401,'Player Rounds'!$A$2:$A$401,$A12,'Player Rounds'!$B$2:$B$401,$B12,'Player Rounds'!$C$2:$C$401,$D12)-_xlfn.MINIFS('Player Rounds'!$AM$2:$AM$401,'Player Rounds'!$A$2:$A$401,$A12,'Player Rounds'!$B$2:$B$401,$B12,'Player Rounds'!$C$2:$C$401,$C12))))</f>
      </c>
      <c r="Z12" t="e">
        <f>IF($A12="","",IF(COUNTIFS('Player Rounds'!$A$2:$A$401,$A12,'Player Rounds'!$B$2:$B$401,$B12,'Player Rounds'!$T$2:$T$401,"&gt;0")=0,"",SIGN(_xlfn.MINIFS('Player Rounds'!$AN$2:$AN$401,'Player Rounds'!$A$2:$A$401,$A12,'Player Rounds'!$B$2:$B$401,$B12,'Player Rounds'!$C$2:$C$401,$D12)-_xlfn.MINIFS('Player Rounds'!$AN$2:$AN$401,'Player Rounds'!$A$2:$A$401,$A12,'Player Rounds'!$B$2:$B$401,$B12,'Player Rounds'!$C$2:$C$401,$C12))))</f>
      </c>
      <c r="AA12" t="e">
        <f>IF($A12="","",IF(COUNTIFS('Player Rounds'!$A$2:$A$401,$A12,'Player Rounds'!$B$2:$B$401,$B12,'Player Rounds'!$U$2:$U$401,"&gt;0")=0,"",SIGN(_xlfn.MINIFS('Player Rounds'!$AO$2:$AO$401,'Player Rounds'!$A$2:$A$401,$A12,'Player Rounds'!$B$2:$B$401,$B12,'Player Rounds'!$C$2:$C$401,$D12)-_xlfn.MINIFS('Player Rounds'!$AO$2:$AO$401,'Player Rounds'!$A$2:$A$401,$A12,'Player Rounds'!$B$2:$B$401,$B12,'Player Rounds'!$C$2:$C$401,$C12))))</f>
      </c>
      <c r="AB12" t="e">
        <f>IF($A12="","",IF(COUNTIFS('Player Rounds'!$A$2:$A$401,$A12,'Player Rounds'!$B$2:$B$401,$B12,'Player Rounds'!$V$2:$V$401,"&gt;0")=0,"",SIGN(_xlfn.MINIFS('Player Rounds'!$AP$2:$AP$401,'Player Rounds'!$A$2:$A$401,$A12,'Player Rounds'!$B$2:$B$401,$B12,'Player Rounds'!$C$2:$C$401,$D12)-_xlfn.MINIFS('Player Rounds'!$AP$2:$AP$401,'Player Rounds'!$A$2:$A$401,$A12,'Player Rounds'!$B$2:$B$401,$B12,'Player Rounds'!$C$2:$C$401,$C12))))</f>
      </c>
      <c r="AC12" t="e">
        <f>IF($A12="","",IF(COUNTIFS('Player Rounds'!$A$2:$A$401,$A12,'Player Rounds'!$B$2:$B$401,$B12,'Player Rounds'!$W$2:$W$401,"&gt;0")=0,"",SIGN(_xlfn.MINIFS('Player Rounds'!$AQ$2:$AQ$401,'Player Rounds'!$A$2:$A$401,$A12,'Player Rounds'!$B$2:$B$401,$B12,'Player Rounds'!$C$2:$C$401,$D12)-_xlfn.MINIFS('Player Rounds'!$AQ$2:$AQ$401,'Player Rounds'!$A$2:$A$401,$A12,'Player Rounds'!$B$2:$B$401,$B12,'Player Rounds'!$C$2:$C$401,$C12))))</f>
      </c>
      <c r="AD12" t="e">
        <f>IF($A12="","",SUM($L12:L12))</f>
      </c>
      <c r="AE12" t="e">
        <f>IF($A12="","",SUM($L12:M12))</f>
      </c>
      <c r="AF12" t="e">
        <f>IF($A12="","",SUM($L12:N12))</f>
      </c>
      <c r="AG12" t="e">
        <f>IF($A12="","",SUM($L12:O12))</f>
      </c>
      <c r="AH12" t="e">
        <f>IF($A12="","",SUM($L12:P12))</f>
      </c>
      <c r="AI12" t="e">
        <f>IF($A12="","",SUM($L12:Q12))</f>
      </c>
      <c r="AJ12" t="e">
        <f>IF($A12="","",SUM($L12:R12))</f>
      </c>
      <c r="AK12" t="e">
        <f>IF($A12="","",SUM($L12:S12))</f>
      </c>
      <c r="AL12" t="e">
        <f>IF($A12="","",SUM($L12:T12))</f>
      </c>
      <c r="AM12" t="e">
        <f>IF($A12="","",SUM($L12:U12))</f>
      </c>
      <c r="AN12" t="e">
        <f>IF($A12="","",SUM($L12:V12))</f>
      </c>
      <c r="AO12" t="e">
        <f>IF($A12="","",SUM($L12:W12))</f>
      </c>
      <c r="AP12" t="e">
        <f>IF($A12="","",SUM($L12:X12))</f>
      </c>
      <c r="AQ12" t="e">
        <f>IF($A12="","",SUM($L12:Y12))</f>
      </c>
      <c r="AR12" t="e">
        <f>IF($A12="","",SUM($L12:Z12))</f>
      </c>
      <c r="AS12" t="e">
        <f>IF($A12="","",SUM($L12:AA12))</f>
      </c>
      <c r="AT12" t="e">
        <f>IF($A12="","",SUM($L12:AB12))</f>
      </c>
      <c r="AU12" t="e">
        <f>IF($A12="","",SUM($L12:AC12))</f>
      </c>
      <c r="AV12" t="e">
        <f>IF(OR($A12="",L12=""),"",IF(ABS(AD12)&gt;17,1,""))</f>
      </c>
      <c r="AW12" t="e">
        <f>IF(OR($A12="",M12=""),"",IF(ABS(AE12)&gt;16,2,""))</f>
      </c>
      <c r="AX12" t="e">
        <f>IF(OR($A12="",N12=""),"",IF(ABS(AF12)&gt;15,3,""))</f>
      </c>
      <c r="AY12" t="e">
        <f>IF(OR($A12="",O12=""),"",IF(ABS(AG12)&gt;14,4,""))</f>
      </c>
      <c r="AZ12" t="e">
        <f>IF(OR($A12="",P12=""),"",IF(ABS(AH12)&gt;13,5,""))</f>
      </c>
      <c r="BA12" t="e">
        <f>IF(OR($A12="",Q12=""),"",IF(ABS(AI12)&gt;12,6,""))</f>
      </c>
      <c r="BB12" t="e">
        <f>IF(OR($A12="",R12=""),"",IF(ABS(AJ12)&gt;11,7,""))</f>
      </c>
      <c r="BC12" t="e">
        <f>IF(OR($A12="",S12=""),"",IF(ABS(AK12)&gt;10,8,""))</f>
      </c>
      <c r="BD12" t="e">
        <f>IF(OR($A12="",T12=""),"",IF(ABS(AL12)&gt;9,9,""))</f>
      </c>
      <c r="BE12" t="e">
        <f>IF(OR($A12="",U12=""),"",IF(ABS(AM12)&gt;8,10,""))</f>
      </c>
      <c r="BF12" t="e">
        <f>IF(OR($A12="",V12=""),"",IF(ABS(AN12)&gt;7,11,""))</f>
      </c>
      <c r="BG12" t="e">
        <f>IF(OR($A12="",W12=""),"",IF(ABS(AO12)&gt;6,12,""))</f>
      </c>
      <c r="BH12" t="e">
        <f>IF(OR($A12="",X12=""),"",IF(ABS(AP12)&gt;5,13,""))</f>
      </c>
      <c r="BI12" t="e">
        <f>IF(OR($A12="",Y12=""),"",IF(ABS(AQ12)&gt;4,14,""))</f>
      </c>
      <c r="BJ12" t="e">
        <f>IF(OR($A12="",Z12=""),"",IF(ABS(AR12)&gt;3,15,""))</f>
      </c>
      <c r="BK12" t="e">
        <f>IF(OR($A12="",AA12=""),"",IF(ABS(AS12)&gt;2,16,""))</f>
      </c>
      <c r="BL12" t="e">
        <f>IF(OR($A12="",AB12=""),"",IF(ABS(AT12)&gt;1,17,""))</f>
      </c>
      <c r="BM12" t="e">
        <f>IF(OR($A12="",AC12=""),"",IF(ABS(AU12)&gt;0,18,""))</f>
      </c>
    </row>
    <row r="13">
      <c r="C13" t="str">
        <f>IF($A13="","",INDEX('Tournament Setup'!$J:$J,MATCH($A13,'Tournament Setup'!$A:$A,0)))</f>
        <v/>
      </c>
      <c r="D13" t="str">
        <f>IF($A13="","",INDEX('Tournament Setup'!$K:$K,MATCH($A13,'Tournament Setup'!$A:$A,0)))</f>
        <v/>
      </c>
      <c r="E13" t="str">
        <f>IF($A13="","",IF(COUNT(L13:AC13)=0,"Not played",IF(AND($K13&gt;0,$K13&lt;18),IF(INDEX(AD13:AU13,1,$K13)&gt;0,$C13,$D13)&amp;" "&amp;ABS(INDEX(AD13:AU13,1,$K13))&amp;"&amp;"&amp;(18-$K13),IF($J13=0,"Halved (AS)",IF($J13&gt;0,$C13,$D13)&amp;" "&amp;ABS($J13)&amp;" UP"))))</f>
        <v/>
      </c>
      <c r="F13" t="e">
        <f>IF(OR($A13="",COUNT(L13:AC13)=0),"",INDEX('Tournament Setup'!$I:$I,MATCH($A13,'Tournament Setup'!$A:$A,0))*IF(INDEX('Tournament Setup'!$H:$H,MATCH($A13,'Tournament Setup'!$A:$A,0))="Yes",IF($H13&gt;0,1,IF($H13=0,0.5,0))+IF($I13&gt;0,1,IF($I13=0,0.5,0))+IF($J13&gt;0,1,IF($J13=0,0.5,0)),IF(IF(AND($K13&gt;0,$K13&lt;18),INDEX(AD13:AU13,1,$K13),$J13)&gt;0,1,IF(IF(AND($K13&gt;0,$K13&lt;18),INDEX(AD13:AU13,1,$K13),$J13)=0,0.5,0))))</f>
      </c>
      <c r="G13" t="e">
        <f>IF(OR($A13="",COUNT(L13:AC13)=0),"",INDEX('Tournament Setup'!$I:$I,MATCH($A13,'Tournament Setup'!$A:$A,0))*IF(INDEX('Tournament Setup'!$H:$H,MATCH($A13,'Tournament Setup'!$A:$A,0))="Yes",IF($H13&lt;0,1,IF($H13=0,0.5,0))+IF($I13&lt;0,1,IF($I13=0,0.5,0))+IF($J13&lt;0,1,IF($J13=0,0.5,0)),IF(IF(AND($K13&gt;0,$K13&lt;18),INDEX(AD13:AU13,1,$K13),$J13)&lt;0,1,IF(IF(AND($K13&gt;0,$K13&lt;18),INDEX(AD13:AU13,1,$K13),$J13)=0,0.5,0))))</f>
      </c>
      <c r="H13" t="e">
        <f>IF($A13="","",SUM(L13:T13))</f>
      </c>
      <c r="I13" t="e">
        <f>IF($A13="","",SUM(U13:AC13))</f>
      </c>
      <c r="J13" t="e">
        <f>IF($A13="","",SUM(L13:AC13))</f>
      </c>
      <c r="K13" t="e">
        <f>IF($A13="","",MIN(AV13:BM13))</f>
      </c>
      <c r="L13" t="e">
        <f>IF($A13="","",IF(COUNTIFS('Player Rounds'!$A$2:$A$401,$A13,'Player Rounds'!$B$2:$B$401,$B13,'Player Rounds'!$F$2:$F$401,"&gt;0")=0,"",SIGN(_xlfn.MINIFS('Player Rounds'!$Z$2:$Z$401,'Player Rounds'!$A$2:$A$401,$A13,'Player Rounds'!$B$2:$B$401,$B13,'Player Rounds'!$C$2:$C$401,$D13)-_xlfn.MINIFS('Player Rounds'!$Z$2:$Z$401,'Player Rounds'!$A$2:$A$401,$A13,'Player Rounds'!$B$2:$B$401,$B13,'Player Rounds'!$C$2:$C$401,$C13))))</f>
      </c>
      <c r="M13" t="e">
        <f>IF($A13="","",IF(COUNTIFS('Player Rounds'!$A$2:$A$401,$A13,'Player Rounds'!$B$2:$B$401,$B13,'Player Rounds'!$G$2:$G$401,"&gt;0")=0,"",SIGN(_xlfn.MINIFS('Player Rounds'!$AA$2:$AA$401,'Player Rounds'!$A$2:$A$401,$A13,'Player Rounds'!$B$2:$B$401,$B13,'Player Rounds'!$C$2:$C$401,$D13)-_xlfn.MINIFS('Player Rounds'!$AA$2:$AA$401,'Player Rounds'!$A$2:$A$401,$A13,'Player Rounds'!$B$2:$B$401,$B13,'Player Rounds'!$C$2:$C$401,$C13))))</f>
      </c>
      <c r="N13" t="e">
        <f>IF($A13="","",IF(COUNTIFS('Player Rounds'!$A$2:$A$401,$A13,'Player Rounds'!$B$2:$B$401,$B13,'Player Rounds'!$H$2:$H$401,"&gt;0")=0,"",SIGN(_xlfn.MINIFS('Player Rounds'!$AB$2:$AB$401,'Player Rounds'!$A$2:$A$401,$A13,'Player Rounds'!$B$2:$B$401,$B13,'Player Rounds'!$C$2:$C$401,$D13)-_xlfn.MINIFS('Player Rounds'!$AB$2:$AB$401,'Player Rounds'!$A$2:$A$401,$A13,'Player Rounds'!$B$2:$B$401,$B13,'Player Rounds'!$C$2:$C$401,$C13))))</f>
      </c>
      <c r="O13" t="e">
        <f>IF($A13="","",IF(COUNTIFS('Player Rounds'!$A$2:$A$401,$A13,'Player Rounds'!$B$2:$B$401,$B13,'Player Rounds'!$I$2:$I$401,"&gt;0")=0,"",SIGN(_xlfn.MINIFS('Player Rounds'!$AC$2:$AC$401,'Player Rounds'!$A$2:$A$401,$A13,'Player Rounds'!$B$2:$B$401,$B13,'Player Rounds'!$C$2:$C$401,$D13)-_xlfn.MINIFS('Player Rounds'!$AC$2:$AC$401,'Player Rounds'!$A$2:$A$401,$A13,'Player Rounds'!$B$2:$B$401,$B13,'Player Rounds'!$C$2:$C$401,$C13))))</f>
      </c>
      <c r="P13" t="e">
        <f>IF($A13="","",IF(COUNTIFS('Player Rounds'!$A$2:$A$401,$A13,'Player Rounds'!$B$2:$B$401,$B13,'Player Rounds'!$J$2:$J$401,"&gt;0")=0,"",SIGN(_xlfn.MINIFS('Player Rounds'!$AD$2:$AD$401,'Player Rounds'!$A$2:$A$401,$A13,'Player Rounds'!$B$2:$B$401,$B13,'Player Rounds'!$C$2:$C$401,$D13)-_xlfn.MINIFS('Player Rounds'!$AD$2:$AD$401,'Player Rounds'!$A$2:$A$401,$A13,'Player Rounds'!$B$2:$B$401,$B13,'Player Rounds'!$C$2:$C$401,$C13))))</f>
      </c>
      <c r="Q13" t="e">
        <f>IF($A13="","",IF(COUNTIFS('Player Rounds'!$A$2:$A$401,$A13,'Player Rounds'!$B$2:$B$401,$B13,'Player Rounds'!$K$2:$K$401,"&gt;0")=0,"",SIGN(_xlfn.MINIFS('Player Rounds'!$AE$2:$AE$401,'Player Rounds'!$A$2:$A$401,$A13,'Player Rounds'!$B$2:$B$401,$B13,'Player Rounds'!$C$2:$C$401,$D13)-_xlfn.MINIFS('Player Rounds'!$AE$2:$AE$401,'Player Rounds'!$A$2:$A$401,$A13,'Player Rounds'!$B$2:$B$401,$B13,'Player Rounds'!$C$2:$C$401,$C13))))</f>
      </c>
      <c r="R13" t="e">
        <f>IF($A13="","",IF(COUNTIFS('Player Rounds'!$A$2:$A$401,$A13,'Player Rounds'!$B$2:$B$401,$B13,'Player Rounds'!$L$2:$L$401,"&gt;0")=0,"",SIGN(_xlfn.MINIFS('Player Rounds'!$AF$2:$AF$401,'Player Rounds'!$A$2:$A$401,$A13,'Player Rounds'!$B$2:$B$401,$B13,'Player Rounds'!$C$2:$C$401,$D13)-_xlfn.MINIFS('Player Rounds'!$AF$2:$AF$401,'Player Rounds'!$A$2:$A$401,$A13,'Player Rounds'!$B$2:$B$401,$B13,'Player Rounds'!$C$2:$C$401,$C13))))</f>
      </c>
      <c r="S13" t="e">
        <f>IF($A13="","",IF(COUNTIFS('Player Rounds'!$A$2:$A$401,$A13,'Player Rounds'!$B$2:$B$401,$B13,'Player Rounds'!$M$2:$M$401,"&gt;0")=0,"",SIGN(_xlfn.MINIFS('Player Rounds'!$AG$2:$AG$401,'Player Rounds'!$A$2:$A$401,$A13,'Player Rounds'!$B$2:$B$401,$B13,'Player Rounds'!$C$2:$C$401,$D13)-_xlfn.MINIFS('Player Rounds'!$AG$2:$AG$401,'Player Rounds'!$A$2:$A$401,$A13,'Player Rounds'!$B$2:$B$401,$B13,'Player Rounds'!$C$2:$C$401,$C13))))</f>
      </c>
      <c r="T13" t="e">
        <f>IF($A13="","",IF(COUNTIFS('Player Rounds'!$A$2:$A$401,$A13,'Player Rounds'!$B$2:$B$401,$B13,'Player Rounds'!$N$2:$N$401,"&gt;0")=0,"",SIGN(_xlfn.MINIFS('Player Rounds'!$AH$2:$AH$401,'Player Rounds'!$A$2:$A$401,$A13,'Player Rounds'!$B$2:$B$401,$B13,'Player Rounds'!$C$2:$C$401,$D13)-_xlfn.MINIFS('Player Rounds'!$AH$2:$AH$401,'Player Rounds'!$A$2:$A$401,$A13,'Player Rounds'!$B$2:$B$401,$B13,'Player Rounds'!$C$2:$C$401,$C13))))</f>
      </c>
      <c r="U13" t="e">
        <f>IF($A13="","",IF(COUNTIFS('Player Rounds'!$A$2:$A$401,$A13,'Player Rounds'!$B$2:$B$401,$B13,'Player Rounds'!$O$2:$O$401,"&gt;0")=0,"",SIGN(_xlfn.MINIFS('Player Rounds'!$AI$2:$AI$401,'Player Rounds'!$A$2:$A$401,$A13,'Player Rounds'!$B$2:$B$401,$B13,'Player Rounds'!$C$2:$C$401,$D13)-_xlfn.MINIFS('Player Rounds'!$AI$2:$AI$401,'Player Rounds'!$A$2:$A$401,$A13,'Player Rounds'!$B$2:$B$401,$B13,'Player Rounds'!$C$2:$C$401,$C13))))</f>
      </c>
      <c r="V13" t="e">
        <f>IF($A13="","",IF(COUNTIFS('Player Rounds'!$A$2:$A$401,$A13,'Player Rounds'!$B$2:$B$401,$B13,'Player Rounds'!$P$2:$P$401,"&gt;0")=0,"",SIGN(_xlfn.MINIFS('Player Rounds'!$AJ$2:$AJ$401,'Player Rounds'!$A$2:$A$401,$A13,'Player Rounds'!$B$2:$B$401,$B13,'Player Rounds'!$C$2:$C$401,$D13)-_xlfn.MINIFS('Player Rounds'!$AJ$2:$AJ$401,'Player Rounds'!$A$2:$A$401,$A13,'Player Rounds'!$B$2:$B$401,$B13,'Player Rounds'!$C$2:$C$401,$C13))))</f>
      </c>
      <c r="W13" t="e">
        <f>IF($A13="","",IF(COUNTIFS('Player Rounds'!$A$2:$A$401,$A13,'Player Rounds'!$B$2:$B$401,$B13,'Player Rounds'!$Q$2:$Q$401,"&gt;0")=0,"",SIGN(_xlfn.MINIFS('Player Rounds'!$AK$2:$AK$401,'Player Rounds'!$A$2:$A$401,$A13,'Player Rounds'!$B$2:$B$401,$B13,'Player Rounds'!$C$2:$C$401,$D13)-_xlfn.MINIFS('Player Rounds'!$AK$2:$AK$401,'Player Rounds'!$A$2:$A$401,$A13,'Player Rounds'!$B$2:$B$401,$B13,'Player Rounds'!$C$2:$C$401,$C13))))</f>
      </c>
      <c r="X13" t="e">
        <f>IF($A13="","",IF(COUNTIFS('Player Rounds'!$A$2:$A$401,$A13,'Player Rounds'!$B$2:$B$401,$B13,'Player Rounds'!$R$2:$R$401,"&gt;0")=0,"",SIGN(_xlfn.MINIFS('Player Rounds'!$AL$2:$AL$401,'Player Rounds'!$A$2:$A$401,$A13,'Player Rounds'!$B$2:$B$401,$B13,'Player Rounds'!$C$2:$C$401,$D13)-_xlfn.MINIFS('Player Rounds'!$AL$2:$AL$401,'Player Rounds'!$A$2:$A$401,$A13,'Player Rounds'!$B$2:$B$401,$B13,'Player Rounds'!$C$2:$C$401,$C13))))</f>
      </c>
      <c r="Y13" t="e">
        <f>IF($A13="","",IF(COUNTIFS('Player Rounds'!$A$2:$A$401,$A13,'Player Rounds'!$B$2:$B$401,$B13,'Player Rounds'!$S$2:$S$401,"&gt;0")=0,"",SIGN(_xlfn.MINIFS('Player Rounds'!$AM$2:$AM$401,'Player Rounds'!$A$2:$A$401,$A13,'Player Rounds'!$B$2:$B$401,$B13,'Player Rounds'!$C$2:$C$401,$D13)-_xlfn.MINIFS('Player Rounds'!$AM$2:$AM$401,'Player Rounds'!$A$2:$A$401,$A13,'Player Rounds'!$B$2:$B$401,$B13,'Player Rounds'!$C$2:$C$401,$C13))))</f>
      </c>
      <c r="Z13" t="e">
        <f>IF($A13="","",IF(COUNTIFS('Player Rounds'!$A$2:$A$401,$A13,'Player Rounds'!$B$2:$B$401,$B13,'Player Rounds'!$T$2:$T$401,"&gt;0")=0,"",SIGN(_xlfn.MINIFS('Player Rounds'!$AN$2:$AN$401,'Player Rounds'!$A$2:$A$401,$A13,'Player Rounds'!$B$2:$B$401,$B13,'Player Rounds'!$C$2:$C$401,$D13)-_xlfn.MINIFS('Player Rounds'!$AN$2:$AN$401,'Player Rounds'!$A$2:$A$401,$A13,'Player Rounds'!$B$2:$B$401,$B13,'Player Rounds'!$C$2:$C$401,$C13))))</f>
      </c>
      <c r="AA13" t="e">
        <f>IF($A13="","",IF(COUNTIFS('Player Rounds'!$A$2:$A$401,$A13,'Player Rounds'!$B$2:$B$401,$B13,'Player Rounds'!$U$2:$U$401,"&gt;0")=0,"",SIGN(_xlfn.MINIFS('Player Rounds'!$AO$2:$AO$401,'Player Rounds'!$A$2:$A$401,$A13,'Player Rounds'!$B$2:$B$401,$B13,'Player Rounds'!$C$2:$C$401,$D13)-_xlfn.MINIFS('Player Rounds'!$AO$2:$AO$401,'Player Rounds'!$A$2:$A$401,$A13,'Player Rounds'!$B$2:$B$401,$B13,'Player Rounds'!$C$2:$C$401,$C13))))</f>
      </c>
      <c r="AB13" t="e">
        <f>IF($A13="","",IF(COUNTIFS('Player Rounds'!$A$2:$A$401,$A13,'Player Rounds'!$B$2:$B$401,$B13,'Player Rounds'!$V$2:$V$401,"&gt;0")=0,"",SIGN(_xlfn.MINIFS('Player Rounds'!$AP$2:$AP$401,'Player Rounds'!$A$2:$A$401,$A13,'Player Rounds'!$B$2:$B$401,$B13,'Player Rounds'!$C$2:$C$401,$D13)-_xlfn.MINIFS('Player Rounds'!$AP$2:$AP$401,'Player Rounds'!$A$2:$A$401,$A13,'Player Rounds'!$B$2:$B$401,$B13,'Player Rounds'!$C$2:$C$401,$C13))))</f>
      </c>
      <c r="AC13" t="e">
        <f>IF($A13="","",IF(COUNTIFS('Player Rounds'!$A$2:$A$401,$A13,'Player Rounds'!$B$2:$B$401,$B13,'Player Rounds'!$W$2:$W$401,"&gt;0")=0,"",SIGN(_xlfn.MINIFS('Player Rounds'!$AQ$2:$AQ$401,'Player Rounds'!$A$2:$A$401,$A13,'Player Rounds'!$B$2:$B$401,$B13,'Player Rounds'!$C$2:$C$401,$D13)-_xlfn.MINIFS('Player Rounds'!$AQ$2:$AQ$401,'Player Rounds'!$A$2:$A$401,$A13,'Player Rounds'!$B$2:$B$401,$B13,'Player Rounds'!$C$2:$C$401,$C13))))</f>
      </c>
      <c r="AD13" t="e">
        <f>IF($A13="","",SUM($L13:L13))</f>
      </c>
      <c r="AE13" t="e">
        <f>IF($A13="","",SUM($L13:M13))</f>
      </c>
      <c r="AF13" t="e">
        <f>IF($A13="","",SUM($L13:N13))</f>
      </c>
      <c r="AG13" t="e">
        <f>IF($A13="","",SUM($L13:O13))</f>
      </c>
      <c r="AH13" t="e">
        <f>IF($A13="","",SUM($L13:P13))</f>
      </c>
      <c r="AI13" t="e">
        <f>IF($A13="","",SUM($L13:Q13))</f>
      </c>
      <c r="AJ13" t="e">
        <f>IF($A13="","",SUM($L13:R13))</f>
      </c>
      <c r="AK13" t="e">
        <f>IF($A13="","",SUM($L13:S13))</f>
      </c>
      <c r="AL13" t="e">
        <f>IF($A13="","",SUM($L13:T13))</f>
      </c>
      <c r="AM13" t="e">
        <f>IF($A13="","",SUM($L13:U13))</f>
      </c>
      <c r="AN13" t="e">
        <f>IF($A13="","",SUM($L13:V13))</f>
      </c>
      <c r="AO13" t="e">
        <f>IF($A13="","",SUM($L13:W13))</f>
      </c>
      <c r="AP13" t="e">
        <f>IF($A13="","",SUM($L13:X13))</f>
      </c>
      <c r="AQ13" t="e">
        <f>IF($A13="","",SUM($L13:Y13))</f>
      </c>
      <c r="AR13" t="e">
        <f>IF($A13="","",SUM($L13:Z13))</f>
      </c>
      <c r="AS13" t="e">
        <f>IF($A13="","",SUM($L13:AA13))</f>
      </c>
      <c r="AT13" t="e">
        <f>IF($A13="","",SUM($L13:AB13))</f>
      </c>
      <c r="AU13" t="e">
        <f>IF($A13="","",SUM($L13:AC13))</f>
      </c>
      <c r="AV13" t="e">
        <f>IF(OR($A13="",L13=""),"",IF(ABS(AD13)&gt;17,1,""))</f>
      </c>
      <c r="AW13" t="e">
        <f>IF(OR($A13="",M13=""),"",IF(ABS(AE13)&gt;16,2,""))</f>
      </c>
      <c r="AX13" t="e">
        <f>IF(OR($A13="",N13=""),"",IF(ABS(AF13)&gt;15,3,""))</f>
      </c>
      <c r="AY13" t="e">
        <f>IF(OR($A13="",O13=""),"",IF(ABS(AG13)&gt;14,4,""))</f>
      </c>
      <c r="AZ13" t="e">
        <f>IF(OR($A13="",P13=""),"",IF(ABS(AH13)&gt;13,5,""))</f>
      </c>
      <c r="BA13" t="e">
        <f>IF(OR($A13="",Q13=""),"",IF(ABS(AI13)&gt;12,6,""))</f>
      </c>
      <c r="BB13" t="e">
        <f>IF(OR($A13="",R13=""),"",IF(ABS(AJ13)&gt;11,7,""))</f>
      </c>
      <c r="BC13" t="e">
        <f>IF(OR($A13="",S13=""),"",IF(ABS(AK13)&gt;10,8,""))</f>
      </c>
      <c r="BD13" t="e">
        <f>IF(OR($A13="",T13=""),"",IF(ABS(AL13)&gt;9,9,""))</f>
      </c>
      <c r="BE13" t="e">
        <f>IF(OR($A13="",U13=""),"",IF(ABS(AM13)&gt;8,10,""))</f>
      </c>
      <c r="BF13" t="e">
        <f>IF(OR($A13="",V13=""),"",IF(ABS(AN13)&gt;7,11,""))</f>
      </c>
      <c r="BG13" t="e">
        <f>IF(OR($A13="",W13=""),"",IF(ABS(AO13)&gt;6,12,""))</f>
      </c>
      <c r="BH13" t="e">
        <f>IF(OR($A13="",X13=""),"",IF(ABS(AP13)&gt;5,13,""))</f>
      </c>
      <c r="BI13" t="e">
        <f>IF(OR($A13="",Y13=""),"",IF(ABS(AQ13)&gt;4,14,""))</f>
      </c>
      <c r="BJ13" t="e">
        <f>IF(OR($A13="",Z13=""),"",IF(ABS(AR13)&gt;3,15,""))</f>
      </c>
      <c r="BK13" t="e">
        <f>IF(OR($A13="",AA13=""),"",IF(ABS(AS13)&gt;2,16,""))</f>
      </c>
      <c r="BL13" t="e">
        <f>IF(OR($A13="",AB13=""),"",IF(ABS(AT13)&gt;1,17,""))</f>
      </c>
      <c r="BM13" t="e">
        <f>IF(OR($A13="",AC13=""),"",IF(ABS(AU13)&gt;0,18,""))</f>
      </c>
    </row>
    <row r="14">
      <c r="C14" t="str">
        <f>IF($A14="","",INDEX('Tournament Setup'!$J:$J,MATCH($A14,'Tournament Setup'!$A:$A,0)))</f>
        <v/>
      </c>
      <c r="D14" t="str">
        <f>IF($A14="","",INDEX('Tournament Setup'!$K:$K,MATCH($A14,'Tournament Setup'!$A:$A,0)))</f>
        <v/>
      </c>
      <c r="E14" t="str">
        <f>IF($A14="","",IF(COUNT(L14:AC14)=0,"Not played",IF(AND($K14&gt;0,$K14&lt;18),IF(INDEX(AD14:AU14,1,$K14)&gt;0,$C14,$D14)&amp;" "&amp;ABS(INDEX(AD14:AU14,1,$K14))&amp;"&amp;"&amp;(18-$K14),IF($J14=0,"Halved (AS)",IF($J14&gt;0,$C14,$D14)&amp;" "&amp;ABS($J14)&amp;" UP"))))</f>
        <v/>
      </c>
      <c r="F14" t="e">
        <f>IF(OR($A14="",COUNT(L14:AC14)=0),"",INDEX('Tournament Setup'!$I:$I,MATCH($A14,'Tournament Setup'!$A:$A,0))*IF(INDEX('Tournament Setup'!$H:$H,MATCH($A14,'Tournament Setup'!$A:$A,0))="Yes",IF($H14&gt;0,1,IF($H14=0,0.5,0))+IF($I14&gt;0,1,IF($I14=0,0.5,0))+IF($J14&gt;0,1,IF($J14=0,0.5,0)),IF(IF(AND($K14&gt;0,$K14&lt;18),INDEX(AD14:AU14,1,$K14),$J14)&gt;0,1,IF(IF(AND($K14&gt;0,$K14&lt;18),INDEX(AD14:AU14,1,$K14),$J14)=0,0.5,0))))</f>
      </c>
      <c r="G14" t="e">
        <f>IF(OR($A14="",COUNT(L14:AC14)=0),"",INDEX('Tournament Setup'!$I:$I,MATCH($A14,'Tournament Setup'!$A:$A,0))*IF(INDEX('Tournament Setup'!$H:$H,MATCH($A14,'Tournament Setup'!$A:$A,0))="Yes",IF($H14&lt;0,1,IF($H14=0,0.5,0))+IF($I14&lt;0,1,IF($I14=0,0.5,0))+IF($J14&lt;0,1,IF($J14=0,0.5,0)),IF(IF(AND($K14&gt;0,$K14&lt;18),INDEX(AD14:AU14,1,$K14),$J14)&lt;0,1,IF(IF(AND($K14&gt;0,$K14&lt;18),INDEX(AD14:AU14,1,$K14),$J14)=0,0.5,0))))</f>
      </c>
      <c r="H14" t="e">
        <f>IF($A14="","",SUM(L14:T14))</f>
      </c>
      <c r="I14" t="e">
        <f>IF($A14="","",SUM(U14:AC14))</f>
      </c>
      <c r="J14" t="e">
        <f>IF($A14="","",SUM(L14:AC14))</f>
      </c>
      <c r="K14" t="e">
        <f>IF($A14="","",MIN(AV14:BM14))</f>
      </c>
      <c r="L14" t="e">
        <f>IF($A14="","",IF(COUNTIFS('Player Rounds'!$A$2:$A$401,$A14,'Player Rounds'!$B$2:$B$401,$B14,'Player Rounds'!$F$2:$F$401,"&gt;0")=0,"",SIGN(_xlfn.MINIFS('Player Rounds'!$Z$2:$Z$401,'Player Rounds'!$A$2:$A$401,$A14,'Player Rounds'!$B$2:$B$401,$B14,'Player Rounds'!$C$2:$C$401,$D14)-_xlfn.MINIFS('Player Rounds'!$Z$2:$Z$401,'Player Rounds'!$A$2:$A$401,$A14,'Player Rounds'!$B$2:$B$401,$B14,'Player Rounds'!$C$2:$C$401,$C14))))</f>
      </c>
      <c r="M14" t="e">
        <f>IF($A14="","",IF(COUNTIFS('Player Rounds'!$A$2:$A$401,$A14,'Player Rounds'!$B$2:$B$401,$B14,'Player Rounds'!$G$2:$G$401,"&gt;0")=0,"",SIGN(_xlfn.MINIFS('Player Rounds'!$AA$2:$AA$401,'Player Rounds'!$A$2:$A$401,$A14,'Player Rounds'!$B$2:$B$401,$B14,'Player Rounds'!$C$2:$C$401,$D14)-_xlfn.MINIFS('Player Rounds'!$AA$2:$AA$401,'Player Rounds'!$A$2:$A$401,$A14,'Player Rounds'!$B$2:$B$401,$B14,'Player Rounds'!$C$2:$C$401,$C14))))</f>
      </c>
      <c r="N14" t="e">
        <f>IF($A14="","",IF(COUNTIFS('Player Rounds'!$A$2:$A$401,$A14,'Player Rounds'!$B$2:$B$401,$B14,'Player Rounds'!$H$2:$H$401,"&gt;0")=0,"",SIGN(_xlfn.MINIFS('Player Rounds'!$AB$2:$AB$401,'Player Rounds'!$A$2:$A$401,$A14,'Player Rounds'!$B$2:$B$401,$B14,'Player Rounds'!$C$2:$C$401,$D14)-_xlfn.MINIFS('Player Rounds'!$AB$2:$AB$401,'Player Rounds'!$A$2:$A$401,$A14,'Player Rounds'!$B$2:$B$401,$B14,'Player Rounds'!$C$2:$C$401,$C14))))</f>
      </c>
      <c r="O14" t="e">
        <f>IF($A14="","",IF(COUNTIFS('Player Rounds'!$A$2:$A$401,$A14,'Player Rounds'!$B$2:$B$401,$B14,'Player Rounds'!$I$2:$I$401,"&gt;0")=0,"",SIGN(_xlfn.MINIFS('Player Rounds'!$AC$2:$AC$401,'Player Rounds'!$A$2:$A$401,$A14,'Player Rounds'!$B$2:$B$401,$B14,'Player Rounds'!$C$2:$C$401,$D14)-_xlfn.MINIFS('Player Rounds'!$AC$2:$AC$401,'Player Rounds'!$A$2:$A$401,$A14,'Player Rounds'!$B$2:$B$401,$B14,'Player Rounds'!$C$2:$C$401,$C14))))</f>
      </c>
      <c r="P14" t="e">
        <f>IF($A14="","",IF(COUNTIFS('Player Rounds'!$A$2:$A$401,$A14,'Player Rounds'!$B$2:$B$401,$B14,'Player Rounds'!$J$2:$J$401,"&gt;0")=0,"",SIGN(_xlfn.MINIFS('Player Rounds'!$AD$2:$AD$401,'Player Rounds'!$A$2:$A$401,$A14,'Player Rounds'!$B$2:$B$401,$B14,'Player Rounds'!$C$2:$C$401,$D14)-_xlfn.MINIFS('Player Rounds'!$AD$2:$AD$401,'Player Rounds'!$A$2:$A$401,$A14,'Player Rounds'!$B$2:$B$401,$B14,'Player Rounds'!$C$2:$C$401,$C14))))</f>
      </c>
      <c r="Q14" t="e">
        <f>IF($A14="","",IF(COUNTIFS('Player Rounds'!$A$2:$A$401,$A14,'Player Rounds'!$B$2:$B$401,$B14,'Player Rounds'!$K$2:$K$401,"&gt;0")=0,"",SIGN(_xlfn.MINIFS('Player Rounds'!$AE$2:$AE$401,'Player Rounds'!$A$2:$A$401,$A14,'Player Rounds'!$B$2:$B$401,$B14,'Player Rounds'!$C$2:$C$401,$D14)-_xlfn.MINIFS('Player Rounds'!$AE$2:$AE$401,'Player Rounds'!$A$2:$A$401,$A14,'Player Rounds'!$B$2:$B$401,$B14,'Player Rounds'!$C$2:$C$401,$C14))))</f>
      </c>
      <c r="R14" t="e">
        <f>IF($A14="","",IF(COUNTIFS('Player Rounds'!$A$2:$A$401,$A14,'Player Rounds'!$B$2:$B$401,$B14,'Player Rounds'!$L$2:$L$401,"&gt;0")=0,"",SIGN(_xlfn.MINIFS('Player Rounds'!$AF$2:$AF$401,'Player Rounds'!$A$2:$A$401,$A14,'Player Rounds'!$B$2:$B$401,$B14,'Player Rounds'!$C$2:$C$401,$D14)-_xlfn.MINIFS('Player Rounds'!$AF$2:$AF$401,'Player Rounds'!$A$2:$A$401,$A14,'Player Rounds'!$B$2:$B$401,$B14,'Player Rounds'!$C$2:$C$401,$C14))))</f>
      </c>
      <c r="S14" t="e">
        <f>IF($A14="","",IF(COUNTIFS('Player Rounds'!$A$2:$A$401,$A14,'Player Rounds'!$B$2:$B$401,$B14,'Player Rounds'!$M$2:$M$401,"&gt;0")=0,"",SIGN(_xlfn.MINIFS('Player Rounds'!$AG$2:$AG$401,'Player Rounds'!$A$2:$A$401,$A14,'Player Rounds'!$B$2:$B$401,$B14,'Player Rounds'!$C$2:$C$401,$D14)-_xlfn.MINIFS('Player Rounds'!$AG$2:$AG$401,'Player Rounds'!$A$2:$A$401,$A14,'Player Rounds'!$B$2:$B$401,$B14,'Player Rounds'!$C$2:$C$401,$C14))))</f>
      </c>
      <c r="T14" t="e">
        <f>IF($A14="","",IF(COUNTIFS('Player Rounds'!$A$2:$A$401,$A14,'Player Rounds'!$B$2:$B$401,$B14,'Player Rounds'!$N$2:$N$401,"&gt;0")=0,"",SIGN(_xlfn.MINIFS('Player Rounds'!$AH$2:$AH$401,'Player Rounds'!$A$2:$A$401,$A14,'Player Rounds'!$B$2:$B$401,$B14,'Player Rounds'!$C$2:$C$401,$D14)-_xlfn.MINIFS('Player Rounds'!$AH$2:$AH$401,'Player Rounds'!$A$2:$A$401,$A14,'Player Rounds'!$B$2:$B$401,$B14,'Player Rounds'!$C$2:$C$401,$C14))))</f>
      </c>
      <c r="U14" t="e">
        <f>IF($A14="","",IF(COUNTIFS('Player Rounds'!$A$2:$A$401,$A14,'Player Rounds'!$B$2:$B$401,$B14,'Player Rounds'!$O$2:$O$401,"&gt;0")=0,"",SIGN(_xlfn.MINIFS('Player Rounds'!$AI$2:$AI$401,'Player Rounds'!$A$2:$A$401,$A14,'Player Rounds'!$B$2:$B$401,$B14,'Player Rounds'!$C$2:$C$401,$D14)-_xlfn.MINIFS('Player Rounds'!$AI$2:$AI$401,'Player Rounds'!$A$2:$A$401,$A14,'Player Rounds'!$B$2:$B$401,$B14,'Player Rounds'!$C$2:$C$401,$C14))))</f>
      </c>
      <c r="V14" t="e">
        <f>IF($A14="","",IF(COUNTIFS('Player Rounds'!$A$2:$A$401,$A14,'Player Rounds'!$B$2:$B$401,$B14,'Player Rounds'!$P$2:$P$401,"&gt;0")=0,"",SIGN(_xlfn.MINIFS('Player Rounds'!$AJ$2:$AJ$401,'Player Rounds'!$A$2:$A$401,$A14,'Player Rounds'!$B$2:$B$401,$B14,'Player Rounds'!$C$2:$C$401,$D14)-_xlfn.MINIFS('Player Rounds'!$AJ$2:$AJ$401,'Player Rounds'!$A$2:$A$401,$A14,'Player Rounds'!$B$2:$B$401,$B14,'Player Rounds'!$C$2:$C$401,$C14))))</f>
      </c>
      <c r="W14" t="e">
        <f>IF($A14="","",IF(COUNTIFS('Player Rounds'!$A$2:$A$401,$A14,'Player Rounds'!$B$2:$B$401,$B14,'Player Rounds'!$Q$2:$Q$401,"&gt;0")=0,"",SIGN(_xlfn.MINIFS('Player Rounds'!$AK$2:$AK$401,'Player Rounds'!$A$2:$A$401,$A14,'Player Rounds'!$B$2:$B$401,$B14,'Player Rounds'!$C$2:$C$401,$D14)-_xlfn.MINIFS('Player Rounds'!$AK$2:$AK$401,'Player Rounds'!$A$2:$A$401,$A14,'Player Rounds'!$B$2:$B$401,$B14,'Player Rounds'!$C$2:$C$401,$C14))))</f>
      </c>
      <c r="X14" t="e">
        <f>IF($A14="","",IF(COUNTIFS('Player Rounds'!$A$2:$A$401,$A14,'Player Rounds'!$B$2:$B$401,$B14,'Player Rounds'!$R$2:$R$401,"&gt;0")=0,"",SIGN(_xlfn.MINIFS('Player Rounds'!$AL$2:$AL$401,'Player Rounds'!$A$2:$A$401,$A14,'Player Rounds'!$B$2:$B$401,$B14,'Player Rounds'!$C$2:$C$401,$D14)-_xlfn.MINIFS('Player Rounds'!$AL$2:$AL$401,'Player Rounds'!$A$2:$A$401,$A14,'Player Rounds'!$B$2:$B$401,$B14,'Player Rounds'!$C$2:$C$401,$C14))))</f>
      </c>
      <c r="Y14" t="e">
        <f>IF($A14="","",IF(COUNTIFS('Player Rounds'!$A$2:$A$401,$A14,'Player Rounds'!$B$2:$B$401,$B14,'Player Rounds'!$S$2:$S$401,"&gt;0")=0,"",SIGN(_xlfn.MINIFS('Player Rounds'!$AM$2:$AM$401,'Player Rounds'!$A$2:$A$401,$A14,'Player Rounds'!$B$2:$B$401,$B14,'Player Rounds'!$C$2:$C$401,$D14)-_xlfn.MINIFS('Player Rounds'!$AM$2:$AM$401,'Player Rounds'!$A$2:$A$401,$A14,'Player Rounds'!$B$2:$B$401,$B14,'Player Rounds'!$C$2:$C$401,$C14))))</f>
      </c>
      <c r="Z14" t="e">
        <f>IF($A14="","",IF(COUNTIFS('Player Rounds'!$A$2:$A$401,$A14,'Player Rounds'!$B$2:$B$401,$B14,'Player Rounds'!$T$2:$T$401,"&gt;0")=0,"",SIGN(_xlfn.MINIFS('Player Rounds'!$AN$2:$AN$401,'Player Rounds'!$A$2:$A$401,$A14,'Player Rounds'!$B$2:$B$401,$B14,'Player Rounds'!$C$2:$C$401,$D14)-_xlfn.MINIFS('Player Rounds'!$AN$2:$AN$401,'Player Rounds'!$A$2:$A$401,$A14,'Player Rounds'!$B$2:$B$401,$B14,'Player Rounds'!$C$2:$C$401,$C14))))</f>
      </c>
      <c r="AA14" t="e">
        <f>IF($A14="","",IF(COUNTIFS('Player Rounds'!$A$2:$A$401,$A14,'Player Rounds'!$B$2:$B$401,$B14,'Player Rounds'!$U$2:$U$401,"&gt;0")=0,"",SIGN(_xlfn.MINIFS('Player Rounds'!$AO$2:$AO$401,'Player Rounds'!$A$2:$A$401,$A14,'Player Rounds'!$B$2:$B$401,$B14,'Player Rounds'!$C$2:$C$401,$D14)-_xlfn.MINIFS('Player Rounds'!$AO$2:$AO$401,'Player Rounds'!$A$2:$A$401,$A14,'Player Rounds'!$B$2:$B$401,$B14,'Player Rounds'!$C$2:$C$401,$C14))))</f>
      </c>
      <c r="AB14" t="e">
        <f>IF($A14="","",IF(COUNTIFS('Player Rounds'!$A$2:$A$401,$A14,'Player Rounds'!$B$2:$B$401,$B14,'Player Rounds'!$V$2:$V$401,"&gt;0")=0,"",SIGN(_xlfn.MINIFS('Player Rounds'!$AP$2:$AP$401,'Player Rounds'!$A$2:$A$401,$A14,'Player Rounds'!$B$2:$B$401,$B14,'Player Rounds'!$C$2:$C$401,$D14)-_xlfn.MINIFS('Player Rounds'!$AP$2:$AP$401,'Player Rounds'!$A$2:$A$401,$A14,'Player Rounds'!$B$2:$B$401,$B14,'Player Rounds'!$C$2:$C$401,$C14))))</f>
      </c>
      <c r="AC14" t="e">
        <f>IF($A14="","",IF(COUNTIFS('Player Rounds'!$A$2:$A$401,$A14,'Player Rounds'!$B$2:$B$401,$B14,'Player Rounds'!$W$2:$W$401,"&gt;0")=0,"",SIGN(_xlfn.MINIFS('Player Rounds'!$AQ$2:$AQ$401,'Player Rounds'!$A$2:$A$401,$A14,'Player Rounds'!$B$2:$B$401,$B14,'Player Rounds'!$C$2:$C$401,$D14)-_xlfn.MINIFS('Player Rounds'!$AQ$2:$AQ$401,'Player Rounds'!$A$2:$A$401,$A14,'Player Rounds'!$B$2:$B$401,$B14,'Player Rounds'!$C$2:$C$401,$C14))))</f>
      </c>
      <c r="AD14" t="e">
        <f>IF($A14="","",SUM($L14:L14))</f>
      </c>
      <c r="AE14" t="e">
        <f>IF($A14="","",SUM($L14:M14))</f>
      </c>
      <c r="AF14" t="e">
        <f>IF($A14="","",SUM($L14:N14))</f>
      </c>
      <c r="AG14" t="e">
        <f>IF($A14="","",SUM($L14:O14))</f>
      </c>
      <c r="AH14" t="e">
        <f>IF($A14="","",SUM($L14:P14))</f>
      </c>
      <c r="AI14" t="e">
        <f>IF($A14="","",SUM($L14:Q14))</f>
      </c>
      <c r="AJ14" t="e">
        <f>IF($A14="","",SUM($L14:R14))</f>
      </c>
      <c r="AK14" t="e">
        <f>IF($A14="","",SUM($L14:S14))</f>
      </c>
      <c r="AL14" t="e">
        <f>IF($A14="","",SUM($L14:T14))</f>
      </c>
      <c r="AM14" t="e">
        <f>IF($A14="","",SUM($L14:U14))</f>
      </c>
      <c r="AN14" t="e">
        <f>IF($A14="","",SUM($L14:V14))</f>
      </c>
      <c r="AO14" t="e">
        <f>IF($A14="","",SUM($L14:W14))</f>
      </c>
      <c r="AP14" t="e">
        <f>IF($A14="","",SUM($L14:X14))</f>
      </c>
      <c r="AQ14" t="e">
        <f>IF($A14="","",SUM($L14:Y14))</f>
      </c>
      <c r="AR14" t="e">
        <f>IF($A14="","",SUM($L14:Z14))</f>
      </c>
      <c r="AS14" t="e">
        <f>IF($A14="","",SUM($L14:AA14))</f>
      </c>
      <c r="AT14" t="e">
        <f>IF($A14="","",SUM($L14:AB14))</f>
      </c>
      <c r="AU14" t="e">
        <f>IF($A14="","",SUM($L14:AC14))</f>
      </c>
      <c r="AV14" t="e">
        <f>IF(OR($A14="",L14=""),"",IF(ABS(AD14)&gt;17,1,""))</f>
      </c>
      <c r="AW14" t="e">
        <f>IF(OR($A14="",M14=""),"",IF(ABS(AE14)&gt;16,2,""))</f>
      </c>
      <c r="AX14" t="e">
        <f>IF(OR($A14="",N14=""),"",IF(ABS(AF14)&gt;15,3,""))</f>
      </c>
      <c r="AY14" t="e">
        <f>IF(OR($A14="",O14=""),"",IF(ABS(AG14)&gt;14,4,""))</f>
      </c>
      <c r="AZ14" t="e">
        <f>IF(OR($A14="",P14=""),"",IF(ABS(AH14)&gt;13,5,""))</f>
      </c>
      <c r="BA14" t="e">
        <f>IF(OR($A14="",Q14=""),"",IF(ABS(AI14)&gt;12,6,""))</f>
      </c>
      <c r="BB14" t="e">
        <f>IF(OR($A14="",R14=""),"",IF(ABS(AJ14)&gt;11,7,""))</f>
      </c>
      <c r="BC14" t="e">
        <f>IF(OR($A14="",S14=""),"",IF(ABS(AK14)&gt;10,8,""))</f>
      </c>
      <c r="BD14" t="e">
        <f>IF(OR($A14="",T14=""),"",IF(ABS(AL14)&gt;9,9,""))</f>
      </c>
      <c r="BE14" t="e">
        <f>IF(OR($A14="",U14=""),"",IF(ABS(AM14)&gt;8,10,""))</f>
      </c>
      <c r="BF14" t="e">
        <f>IF(OR($A14="",V14=""),"",IF(ABS(AN14)&gt;7,11,""))</f>
      </c>
      <c r="BG14" t="e">
        <f>IF(OR($A14="",W14=""),"",IF(ABS(AO14)&gt;6,12,""))</f>
      </c>
      <c r="BH14" t="e">
        <f>IF(OR($A14="",X14=""),"",IF(ABS(AP14)&gt;5,13,""))</f>
      </c>
      <c r="BI14" t="e">
        <f>IF(OR($A14="",Y14=""),"",IF(ABS(AQ14)&gt;4,14,""))</f>
      </c>
      <c r="BJ14" t="e">
        <f>IF(OR($A14="",Z14=""),"",IF(ABS(AR14)&gt;3,15,""))</f>
      </c>
      <c r="BK14" t="e">
        <f>IF(OR($A14="",AA14=""),"",IF(ABS(AS14)&gt;2,16,""))</f>
      </c>
      <c r="BL14" t="e">
        <f>IF(OR($A14="",AB14=""),"",IF(ABS(AT14)&gt;1,17,""))</f>
      </c>
      <c r="BM14" t="e">
        <f>IF(OR($A14="",AC14=""),"",IF(ABS(AU14)&gt;0,18,""))</f>
      </c>
    </row>
    <row r="15">
      <c r="C15" t="str">
        <f>IF($A15="","",INDEX('Tournament Setup'!$J:$J,MATCH($A15,'Tournament Setup'!$A:$A,0)))</f>
        <v/>
      </c>
      <c r="D15" t="str">
        <f>IF($A15="","",INDEX('Tournament Setup'!$K:$K,MATCH($A15,'Tournament Setup'!$A:$A,0)))</f>
        <v/>
      </c>
      <c r="E15" t="str">
        <f>IF($A15="","",IF(COUNT(L15:AC15)=0,"Not played",IF(AND($K15&gt;0,$K15&lt;18),IF(INDEX(AD15:AU15,1,$K15)&gt;0,$C15,$D15)&amp;" "&amp;ABS(INDEX(AD15:AU15,1,$K15))&amp;"&amp;"&amp;(18-$K15),IF($J15=0,"Halved (AS)",IF($J15&gt;0,$C15,$D15)&amp;" "&amp;ABS($J15)&amp;" UP"))))</f>
        <v/>
      </c>
      <c r="F15" t="e">
        <f>IF(OR($A15="",COUNT(L15:AC15)=0),"",INDEX('Tournament Setup'!$I:$I,MATCH($A15,'Tournament Setup'!$A:$A,0))*IF(INDEX('Tournament Setup'!$H:$H,MATCH($A15,'Tournament Setup'!$A:$A,0))="Yes",IF($H15&gt;0,1,IF($H15=0,0.5,0))+IF($I15&gt;0,1,IF($I15=0,0.5,0))+IF($J15&gt;0,1,IF($J15=0,0.5,0)),IF(IF(AND($K15&gt;0,$K15&lt;18),INDEX(AD15:AU15,1,$K15),$J15)&gt;0,1,IF(IF(AND($K15&gt;0,$K15&lt;18),INDEX(AD15:AU15,1,$K15),$J15)=0,0.5,0))))</f>
      </c>
      <c r="G15" t="e">
        <f>IF(OR($A15="",COUNT(L15:AC15)=0),"",INDEX('Tournament Setup'!$I:$I,MATCH($A15,'Tournament Setup'!$A:$A,0))*IF(INDEX('Tournament Setup'!$H:$H,MATCH($A15,'Tournament Setup'!$A:$A,0))="Yes",IF($H15&lt;0,1,IF($H15=0,0.5,0))+IF($I15&lt;0,1,IF($I15=0,0.5,0))+IF($J15&lt;0,1,IF($J15=0,0.5,0)),IF(IF(AND($K15&gt;0,$K15&lt;18),INDEX(AD15:AU15,1,$K15),$J15)&lt;0,1,IF(IF(AND($K15&gt;0,$K15&lt;18),INDEX(AD15:AU15,1,$K15),$J15)=0,0.5,0))))</f>
      </c>
      <c r="H15" t="e">
        <f>IF($A15="","",SUM(L15:T15))</f>
      </c>
      <c r="I15" t="e">
        <f>IF($A15="","",SUM(U15:AC15))</f>
      </c>
      <c r="J15" t="e">
        <f>IF($A15="","",SUM(L15:AC15))</f>
      </c>
      <c r="K15" t="e">
        <f>IF($A15="","",MIN(AV15:BM15))</f>
      </c>
      <c r="L15" t="e">
        <f>IF($A15="","",IF(COUNTIFS('Player Rounds'!$A$2:$A$401,$A15,'Player Rounds'!$B$2:$B$401,$B15,'Player Rounds'!$F$2:$F$401,"&gt;0")=0,"",SIGN(_xlfn.MINIFS('Player Rounds'!$Z$2:$Z$401,'Player Rounds'!$A$2:$A$401,$A15,'Player Rounds'!$B$2:$B$401,$B15,'Player Rounds'!$C$2:$C$401,$D15)-_xlfn.MINIFS('Player Rounds'!$Z$2:$Z$401,'Player Rounds'!$A$2:$A$401,$A15,'Player Rounds'!$B$2:$B$401,$B15,'Player Rounds'!$C$2:$C$401,$C15))))</f>
      </c>
      <c r="M15" t="e">
        <f>IF($A15="","",IF(COUNTIFS('Player Rounds'!$A$2:$A$401,$A15,'Player Rounds'!$B$2:$B$401,$B15,'Player Rounds'!$G$2:$G$401,"&gt;0")=0,"",SIGN(_xlfn.MINIFS('Player Rounds'!$AA$2:$AA$401,'Player Rounds'!$A$2:$A$401,$A15,'Player Rounds'!$B$2:$B$401,$B15,'Player Rounds'!$C$2:$C$401,$D15)-_xlfn.MINIFS('Player Rounds'!$AA$2:$AA$401,'Player Rounds'!$A$2:$A$401,$A15,'Player Rounds'!$B$2:$B$401,$B15,'Player Rounds'!$C$2:$C$401,$C15))))</f>
      </c>
      <c r="N15" t="e">
        <f>IF($A15="","",IF(COUNTIFS('Player Rounds'!$A$2:$A$401,$A15,'Player Rounds'!$B$2:$B$401,$B15,'Player Rounds'!$H$2:$H$401,"&gt;0")=0,"",SIGN(_xlfn.MINIFS('Player Rounds'!$AB$2:$AB$401,'Player Rounds'!$A$2:$A$401,$A15,'Player Rounds'!$B$2:$B$401,$B15,'Player Rounds'!$C$2:$C$401,$D15)-_xlfn.MINIFS('Player Rounds'!$AB$2:$AB$401,'Player Rounds'!$A$2:$A$401,$A15,'Player Rounds'!$B$2:$B$401,$B15,'Player Rounds'!$C$2:$C$401,$C15))))</f>
      </c>
      <c r="O15" t="e">
        <f>IF($A15="","",IF(COUNTIFS('Player Rounds'!$A$2:$A$401,$A15,'Player Rounds'!$B$2:$B$401,$B15,'Player Rounds'!$I$2:$I$401,"&gt;0")=0,"",SIGN(_xlfn.MINIFS('Player Rounds'!$AC$2:$AC$401,'Player Rounds'!$A$2:$A$401,$A15,'Player Rounds'!$B$2:$B$401,$B15,'Player Rounds'!$C$2:$C$401,$D15)-_xlfn.MINIFS('Player Rounds'!$AC$2:$AC$401,'Player Rounds'!$A$2:$A$401,$A15,'Player Rounds'!$B$2:$B$401,$B15,'Player Rounds'!$C$2:$C$401,$C15))))</f>
      </c>
      <c r="P15" t="e">
        <f>IF($A15="","",IF(COUNTIFS('Player Rounds'!$A$2:$A$401,$A15,'Player Rounds'!$B$2:$B$401,$B15,'Player Rounds'!$J$2:$J$401,"&gt;0")=0,"",SIGN(_xlfn.MINIFS('Player Rounds'!$AD$2:$AD$401,'Player Rounds'!$A$2:$A$401,$A15,'Player Rounds'!$B$2:$B$401,$B15,'Player Rounds'!$C$2:$C$401,$D15)-_xlfn.MINIFS('Player Rounds'!$AD$2:$AD$401,'Player Rounds'!$A$2:$A$401,$A15,'Player Rounds'!$B$2:$B$401,$B15,'Player Rounds'!$C$2:$C$401,$C15))))</f>
      </c>
      <c r="Q15" t="e">
        <f>IF($A15="","",IF(COUNTIFS('Player Rounds'!$A$2:$A$401,$A15,'Player Rounds'!$B$2:$B$401,$B15,'Player Rounds'!$K$2:$K$401,"&gt;0")=0,"",SIGN(_xlfn.MINIFS('Player Rounds'!$AE$2:$AE$401,'Player Rounds'!$A$2:$A$401,$A15,'Player Rounds'!$B$2:$B$401,$B15,'Player Rounds'!$C$2:$C$401,$D15)-_xlfn.MINIFS('Player Rounds'!$AE$2:$AE$401,'Player Rounds'!$A$2:$A$401,$A15,'Player Rounds'!$B$2:$B$401,$B15,'Player Rounds'!$C$2:$C$401,$C15))))</f>
      </c>
      <c r="R15" t="e">
        <f>IF($A15="","",IF(COUNTIFS('Player Rounds'!$A$2:$A$401,$A15,'Player Rounds'!$B$2:$B$401,$B15,'Player Rounds'!$L$2:$L$401,"&gt;0")=0,"",SIGN(_xlfn.MINIFS('Player Rounds'!$AF$2:$AF$401,'Player Rounds'!$A$2:$A$401,$A15,'Player Rounds'!$B$2:$B$401,$B15,'Player Rounds'!$C$2:$C$401,$D15)-_xlfn.MINIFS('Player Rounds'!$AF$2:$AF$401,'Player Rounds'!$A$2:$A$401,$A15,'Player Rounds'!$B$2:$B$401,$B15,'Player Rounds'!$C$2:$C$401,$C15))))</f>
      </c>
      <c r="S15" t="e">
        <f>IF($A15="","",IF(COUNTIFS('Player Rounds'!$A$2:$A$401,$A15,'Player Rounds'!$B$2:$B$401,$B15,'Player Rounds'!$M$2:$M$401,"&gt;0")=0,"",SIGN(_xlfn.MINIFS('Player Rounds'!$AG$2:$AG$401,'Player Rounds'!$A$2:$A$401,$A15,'Player Rounds'!$B$2:$B$401,$B15,'Player Rounds'!$C$2:$C$401,$D15)-_xlfn.MINIFS('Player Rounds'!$AG$2:$AG$401,'Player Rounds'!$A$2:$A$401,$A15,'Player Rounds'!$B$2:$B$401,$B15,'Player Rounds'!$C$2:$C$401,$C15))))</f>
      </c>
      <c r="T15" t="e">
        <f>IF($A15="","",IF(COUNTIFS('Player Rounds'!$A$2:$A$401,$A15,'Player Rounds'!$B$2:$B$401,$B15,'Player Rounds'!$N$2:$N$401,"&gt;0")=0,"",SIGN(_xlfn.MINIFS('Player Rounds'!$AH$2:$AH$401,'Player Rounds'!$A$2:$A$401,$A15,'Player Rounds'!$B$2:$B$401,$B15,'Player Rounds'!$C$2:$C$401,$D15)-_xlfn.MINIFS('Player Rounds'!$AH$2:$AH$401,'Player Rounds'!$A$2:$A$401,$A15,'Player Rounds'!$B$2:$B$401,$B15,'Player Rounds'!$C$2:$C$401,$C15))))</f>
      </c>
      <c r="U15" t="e">
        <f>IF($A15="","",IF(COUNTIFS('Player Rounds'!$A$2:$A$401,$A15,'Player Rounds'!$B$2:$B$401,$B15,'Player Rounds'!$O$2:$O$401,"&gt;0")=0,"",SIGN(_xlfn.MINIFS('Player Rounds'!$AI$2:$AI$401,'Player Rounds'!$A$2:$A$401,$A15,'Player Rounds'!$B$2:$B$401,$B15,'Player Rounds'!$C$2:$C$401,$D15)-_xlfn.MINIFS('Player Rounds'!$AI$2:$AI$401,'Player Rounds'!$A$2:$A$401,$A15,'Player Rounds'!$B$2:$B$401,$B15,'Player Rounds'!$C$2:$C$401,$C15))))</f>
      </c>
      <c r="V15" t="e">
        <f>IF($A15="","",IF(COUNTIFS('Player Rounds'!$A$2:$A$401,$A15,'Player Rounds'!$B$2:$B$401,$B15,'Player Rounds'!$P$2:$P$401,"&gt;0")=0,"",SIGN(_xlfn.MINIFS('Player Rounds'!$AJ$2:$AJ$401,'Player Rounds'!$A$2:$A$401,$A15,'Player Rounds'!$B$2:$B$401,$B15,'Player Rounds'!$C$2:$C$401,$D15)-_xlfn.MINIFS('Player Rounds'!$AJ$2:$AJ$401,'Player Rounds'!$A$2:$A$401,$A15,'Player Rounds'!$B$2:$B$401,$B15,'Player Rounds'!$C$2:$C$401,$C15))))</f>
      </c>
      <c r="W15" t="e">
        <f>IF($A15="","",IF(COUNTIFS('Player Rounds'!$A$2:$A$401,$A15,'Player Rounds'!$B$2:$B$401,$B15,'Player Rounds'!$Q$2:$Q$401,"&gt;0")=0,"",SIGN(_xlfn.MINIFS('Player Rounds'!$AK$2:$AK$401,'Player Rounds'!$A$2:$A$401,$A15,'Player Rounds'!$B$2:$B$401,$B15,'Player Rounds'!$C$2:$C$401,$D15)-_xlfn.MINIFS('Player Rounds'!$AK$2:$AK$401,'Player Rounds'!$A$2:$A$401,$A15,'Player Rounds'!$B$2:$B$401,$B15,'Player Rounds'!$C$2:$C$401,$C15))))</f>
      </c>
      <c r="X15" t="e">
        <f>IF($A15="","",IF(COUNTIFS('Player Rounds'!$A$2:$A$401,$A15,'Player Rounds'!$B$2:$B$401,$B15,'Player Rounds'!$R$2:$R$401,"&gt;0")=0,"",SIGN(_xlfn.MINIFS('Player Rounds'!$AL$2:$AL$401,'Player Rounds'!$A$2:$A$401,$A15,'Player Rounds'!$B$2:$B$401,$B15,'Player Rounds'!$C$2:$C$401,$D15)-_xlfn.MINIFS('Player Rounds'!$AL$2:$AL$401,'Player Rounds'!$A$2:$A$401,$A15,'Player Rounds'!$B$2:$B$401,$B15,'Player Rounds'!$C$2:$C$401,$C15))))</f>
      </c>
      <c r="Y15" t="e">
        <f>IF($A15="","",IF(COUNTIFS('Player Rounds'!$A$2:$A$401,$A15,'Player Rounds'!$B$2:$B$401,$B15,'Player Rounds'!$S$2:$S$401,"&gt;0")=0,"",SIGN(_xlfn.MINIFS('Player Rounds'!$AM$2:$AM$401,'Player Rounds'!$A$2:$A$401,$A15,'Player Rounds'!$B$2:$B$401,$B15,'Player Rounds'!$C$2:$C$401,$D15)-_xlfn.MINIFS('Player Rounds'!$AM$2:$AM$401,'Player Rounds'!$A$2:$A$401,$A15,'Player Rounds'!$B$2:$B$401,$B15,'Player Rounds'!$C$2:$C$401,$C15))))</f>
      </c>
      <c r="Z15" t="e">
        <f>IF($A15="","",IF(COUNTIFS('Player Rounds'!$A$2:$A$401,$A15,'Player Rounds'!$B$2:$B$401,$B15,'Player Rounds'!$T$2:$T$401,"&gt;0")=0,"",SIGN(_xlfn.MINIFS('Player Rounds'!$AN$2:$AN$401,'Player Rounds'!$A$2:$A$401,$A15,'Player Rounds'!$B$2:$B$401,$B15,'Player Rounds'!$C$2:$C$401,$D15)-_xlfn.MINIFS('Player Rounds'!$AN$2:$AN$401,'Player Rounds'!$A$2:$A$401,$A15,'Player Rounds'!$B$2:$B$401,$B15,'Player Rounds'!$C$2:$C$401,$C15))))</f>
      </c>
      <c r="AA15" t="e">
        <f>IF($A15="","",IF(COUNTIFS('Player Rounds'!$A$2:$A$401,$A15,'Player Rounds'!$B$2:$B$401,$B15,'Player Rounds'!$U$2:$U$401,"&gt;0")=0,"",SIGN(_xlfn.MINIFS('Player Rounds'!$AO$2:$AO$401,'Player Rounds'!$A$2:$A$401,$A15,'Player Rounds'!$B$2:$B$401,$B15,'Player Rounds'!$C$2:$C$401,$D15)-_xlfn.MINIFS('Player Rounds'!$AO$2:$AO$401,'Player Rounds'!$A$2:$A$401,$A15,'Player Rounds'!$B$2:$B$401,$B15,'Player Rounds'!$C$2:$C$401,$C15))))</f>
      </c>
      <c r="AB15" t="e">
        <f>IF($A15="","",IF(COUNTIFS('Player Rounds'!$A$2:$A$401,$A15,'Player Rounds'!$B$2:$B$401,$B15,'Player Rounds'!$V$2:$V$401,"&gt;0")=0,"",SIGN(_xlfn.MINIFS('Player Rounds'!$AP$2:$AP$401,'Player Rounds'!$A$2:$A$401,$A15,'Player Rounds'!$B$2:$B$401,$B15,'Player Rounds'!$C$2:$C$401,$D15)-_xlfn.MINIFS('Player Rounds'!$AP$2:$AP$401,'Player Rounds'!$A$2:$A$401,$A15,'Player Rounds'!$B$2:$B$401,$B15,'Player Rounds'!$C$2:$C$401,$C15))))</f>
      </c>
      <c r="AC15" t="e">
        <f>IF($A15="","",IF(COUNTIFS('Player Rounds'!$A$2:$A$401,$A15,'Player Rounds'!$B$2:$B$401,$B15,'Player Rounds'!$W$2:$W$401,"&gt;0")=0,"",SIGN(_xlfn.MINIFS('Player Rounds'!$AQ$2:$AQ$401,'Player Rounds'!$A$2:$A$401,$A15,'Player Rounds'!$B$2:$B$401,$B15,'Player Rounds'!$C$2:$C$401,$D15)-_xlfn.MINIFS('Player Rounds'!$AQ$2:$AQ$401,'Player Rounds'!$A$2:$A$401,$A15,'Player Rounds'!$B$2:$B$401,$B15,'Player Rounds'!$C$2:$C$401,$C15))))</f>
      </c>
      <c r="AD15" t="e">
        <f>IF($A15="","",SUM($L15:L15))</f>
      </c>
      <c r="AE15" t="e">
        <f>IF($A15="","",SUM($L15:M15))</f>
      </c>
      <c r="AF15" t="e">
        <f>IF($A15="","",SUM($L15:N15))</f>
      </c>
      <c r="AG15" t="e">
        <f>IF($A15="","",SUM($L15:O15))</f>
      </c>
      <c r="AH15" t="e">
        <f>IF($A15="","",SUM($L15:P15))</f>
      </c>
      <c r="AI15" t="e">
        <f>IF($A15="","",SUM($L15:Q15))</f>
      </c>
      <c r="AJ15" t="e">
        <f>IF($A15="","",SUM($L15:R15))</f>
      </c>
      <c r="AK15" t="e">
        <f>IF($A15="","",SUM($L15:S15))</f>
      </c>
      <c r="AL15" t="e">
        <f>IF($A15="","",SUM($L15:T15))</f>
      </c>
      <c r="AM15" t="e">
        <f>IF($A15="","",SUM($L15:U15))</f>
      </c>
      <c r="AN15" t="e">
        <f>IF($A15="","",SUM($L15:V15))</f>
      </c>
      <c r="AO15" t="e">
        <f>IF($A15="","",SUM($L15:W15))</f>
      </c>
      <c r="AP15" t="e">
        <f>IF($A15="","",SUM($L15:X15))</f>
      </c>
      <c r="AQ15" t="e">
        <f>IF($A15="","",SUM($L15:Y15))</f>
      </c>
      <c r="AR15" t="e">
        <f>IF($A15="","",SUM($L15:Z15))</f>
      </c>
      <c r="AS15" t="e">
        <f>IF($A15="","",SUM($L15:AA15))</f>
      </c>
      <c r="AT15" t="e">
        <f>IF($A15="","",SUM($L15:AB15))</f>
      </c>
      <c r="AU15" t="e">
        <f>IF($A15="","",SUM($L15:AC15))</f>
      </c>
      <c r="AV15" t="e">
        <f>IF(OR($A15="",L15=""),"",IF(ABS(AD15)&gt;17,1,""))</f>
      </c>
      <c r="AW15" t="e">
        <f>IF(OR($A15="",M15=""),"",IF(ABS(AE15)&gt;16,2,""))</f>
      </c>
      <c r="AX15" t="e">
        <f>IF(OR($A15="",N15=""),"",IF(ABS(AF15)&gt;15,3,""))</f>
      </c>
      <c r="AY15" t="e">
        <f>IF(OR($A15="",O15=""),"",IF(ABS(AG15)&gt;14,4,""))</f>
      </c>
      <c r="AZ15" t="e">
        <f>IF(OR($A15="",P15=""),"",IF(ABS(AH15)&gt;13,5,""))</f>
      </c>
      <c r="BA15" t="e">
        <f>IF(OR($A15="",Q15=""),"",IF(ABS(AI15)&gt;12,6,""))</f>
      </c>
      <c r="BB15" t="e">
        <f>IF(OR($A15="",R15=""),"",IF(ABS(AJ15)&gt;11,7,""))</f>
      </c>
      <c r="BC15" t="e">
        <f>IF(OR($A15="",S15=""),"",IF(ABS(AK15)&gt;10,8,""))</f>
      </c>
      <c r="BD15" t="e">
        <f>IF(OR($A15="",T15=""),"",IF(ABS(AL15)&gt;9,9,""))</f>
      </c>
      <c r="BE15" t="e">
        <f>IF(OR($A15="",U15=""),"",IF(ABS(AM15)&gt;8,10,""))</f>
      </c>
      <c r="BF15" t="e">
        <f>IF(OR($A15="",V15=""),"",IF(ABS(AN15)&gt;7,11,""))</f>
      </c>
      <c r="BG15" t="e">
        <f>IF(OR($A15="",W15=""),"",IF(ABS(AO15)&gt;6,12,""))</f>
      </c>
      <c r="BH15" t="e">
        <f>IF(OR($A15="",X15=""),"",IF(ABS(AP15)&gt;5,13,""))</f>
      </c>
      <c r="BI15" t="e">
        <f>IF(OR($A15="",Y15=""),"",IF(ABS(AQ15)&gt;4,14,""))</f>
      </c>
      <c r="BJ15" t="e">
        <f>IF(OR($A15="",Z15=""),"",IF(ABS(AR15)&gt;3,15,""))</f>
      </c>
      <c r="BK15" t="e">
        <f>IF(OR($A15="",AA15=""),"",IF(ABS(AS15)&gt;2,16,""))</f>
      </c>
      <c r="BL15" t="e">
        <f>IF(OR($A15="",AB15=""),"",IF(ABS(AT15)&gt;1,17,""))</f>
      </c>
      <c r="BM15" t="e">
        <f>IF(OR($A15="",AC15=""),"",IF(ABS(AU15)&gt;0,18,""))</f>
      </c>
    </row>
    <row r="16">
      <c r="C16" t="str">
        <f>IF($A16="","",INDEX('Tournament Setup'!$J:$J,MATCH($A16,'Tournament Setup'!$A:$A,0)))</f>
        <v/>
      </c>
      <c r="D16" t="str">
        <f>IF($A16="","",INDEX('Tournament Setup'!$K:$K,MATCH($A16,'Tournament Setup'!$A:$A,0)))</f>
        <v/>
      </c>
      <c r="E16" t="str">
        <f>IF($A16="","",IF(COUNT(L16:AC16)=0,"Not played",IF(AND($K16&gt;0,$K16&lt;18),IF(INDEX(AD16:AU16,1,$K16)&gt;0,$C16,$D16)&amp;" "&amp;ABS(INDEX(AD16:AU16,1,$K16))&amp;"&amp;"&amp;(18-$K16),IF($J16=0,"Halved (AS)",IF($J16&gt;0,$C16,$D16)&amp;" "&amp;ABS($J16)&amp;" UP"))))</f>
        <v/>
      </c>
      <c r="F16" t="e">
        <f>IF(OR($A16="",COUNT(L16:AC16)=0),"",INDEX('Tournament Setup'!$I:$I,MATCH($A16,'Tournament Setup'!$A:$A,0))*IF(INDEX('Tournament Setup'!$H:$H,MATCH($A16,'Tournament Setup'!$A:$A,0))="Yes",IF($H16&gt;0,1,IF($H16=0,0.5,0))+IF($I16&gt;0,1,IF($I16=0,0.5,0))+IF($J16&gt;0,1,IF($J16=0,0.5,0)),IF(IF(AND($K16&gt;0,$K16&lt;18),INDEX(AD16:AU16,1,$K16),$J16)&gt;0,1,IF(IF(AND($K16&gt;0,$K16&lt;18),INDEX(AD16:AU16,1,$K16),$J16)=0,0.5,0))))</f>
      </c>
      <c r="G16" t="e">
        <f>IF(OR($A16="",COUNT(L16:AC16)=0),"",INDEX('Tournament Setup'!$I:$I,MATCH($A16,'Tournament Setup'!$A:$A,0))*IF(INDEX('Tournament Setup'!$H:$H,MATCH($A16,'Tournament Setup'!$A:$A,0))="Yes",IF($H16&lt;0,1,IF($H16=0,0.5,0))+IF($I16&lt;0,1,IF($I16=0,0.5,0))+IF($J16&lt;0,1,IF($J16=0,0.5,0)),IF(IF(AND($K16&gt;0,$K16&lt;18),INDEX(AD16:AU16,1,$K16),$J16)&lt;0,1,IF(IF(AND($K16&gt;0,$K16&lt;18),INDEX(AD16:AU16,1,$K16),$J16)=0,0.5,0))))</f>
      </c>
      <c r="H16" t="e">
        <f>IF($A16="","",SUM(L16:T16))</f>
      </c>
      <c r="I16" t="e">
        <f>IF($A16="","",SUM(U16:AC16))</f>
      </c>
      <c r="J16" t="e">
        <f>IF($A16="","",SUM(L16:AC16))</f>
      </c>
      <c r="K16" t="e">
        <f>IF($A16="","",MIN(AV16:BM16))</f>
      </c>
      <c r="L16" t="e">
        <f>IF($A16="","",IF(COUNTIFS('Player Rounds'!$A$2:$A$401,$A16,'Player Rounds'!$B$2:$B$401,$B16,'Player Rounds'!$F$2:$F$401,"&gt;0")=0,"",SIGN(_xlfn.MINIFS('Player Rounds'!$Z$2:$Z$401,'Player Rounds'!$A$2:$A$401,$A16,'Player Rounds'!$B$2:$B$401,$B16,'Player Rounds'!$C$2:$C$401,$D16)-_xlfn.MINIFS('Player Rounds'!$Z$2:$Z$401,'Player Rounds'!$A$2:$A$401,$A16,'Player Rounds'!$B$2:$B$401,$B16,'Player Rounds'!$C$2:$C$401,$C16))))</f>
      </c>
      <c r="M16" t="e">
        <f>IF($A16="","",IF(COUNTIFS('Player Rounds'!$A$2:$A$401,$A16,'Player Rounds'!$B$2:$B$401,$B16,'Player Rounds'!$G$2:$G$401,"&gt;0")=0,"",SIGN(_xlfn.MINIFS('Player Rounds'!$AA$2:$AA$401,'Player Rounds'!$A$2:$A$401,$A16,'Player Rounds'!$B$2:$B$401,$B16,'Player Rounds'!$C$2:$C$401,$D16)-_xlfn.MINIFS('Player Rounds'!$AA$2:$AA$401,'Player Rounds'!$A$2:$A$401,$A16,'Player Rounds'!$B$2:$B$401,$B16,'Player Rounds'!$C$2:$C$401,$C16))))</f>
      </c>
      <c r="N16" t="e">
        <f>IF($A16="","",IF(COUNTIFS('Player Rounds'!$A$2:$A$401,$A16,'Player Rounds'!$B$2:$B$401,$B16,'Player Rounds'!$H$2:$H$401,"&gt;0")=0,"",SIGN(_xlfn.MINIFS('Player Rounds'!$AB$2:$AB$401,'Player Rounds'!$A$2:$A$401,$A16,'Player Rounds'!$B$2:$B$401,$B16,'Player Rounds'!$C$2:$C$401,$D16)-_xlfn.MINIFS('Player Rounds'!$AB$2:$AB$401,'Player Rounds'!$A$2:$A$401,$A16,'Player Rounds'!$B$2:$B$401,$B16,'Player Rounds'!$C$2:$C$401,$C16))))</f>
      </c>
      <c r="O16" t="e">
        <f>IF($A16="","",IF(COUNTIFS('Player Rounds'!$A$2:$A$401,$A16,'Player Rounds'!$B$2:$B$401,$B16,'Player Rounds'!$I$2:$I$401,"&gt;0")=0,"",SIGN(_xlfn.MINIFS('Player Rounds'!$AC$2:$AC$401,'Player Rounds'!$A$2:$A$401,$A16,'Player Rounds'!$B$2:$B$401,$B16,'Player Rounds'!$C$2:$C$401,$D16)-_xlfn.MINIFS('Player Rounds'!$AC$2:$AC$401,'Player Rounds'!$A$2:$A$401,$A16,'Player Rounds'!$B$2:$B$401,$B16,'Player Rounds'!$C$2:$C$401,$C16))))</f>
      </c>
      <c r="P16" t="e">
        <f>IF($A16="","",IF(COUNTIFS('Player Rounds'!$A$2:$A$401,$A16,'Player Rounds'!$B$2:$B$401,$B16,'Player Rounds'!$J$2:$J$401,"&gt;0")=0,"",SIGN(_xlfn.MINIFS('Player Rounds'!$AD$2:$AD$401,'Player Rounds'!$A$2:$A$401,$A16,'Player Rounds'!$B$2:$B$401,$B16,'Player Rounds'!$C$2:$C$401,$D16)-_xlfn.MINIFS('Player Rounds'!$AD$2:$AD$401,'Player Rounds'!$A$2:$A$401,$A16,'Player Rounds'!$B$2:$B$401,$B16,'Player Rounds'!$C$2:$C$401,$C16))))</f>
      </c>
      <c r="Q16" t="e">
        <f>IF($A16="","",IF(COUNTIFS('Player Rounds'!$A$2:$A$401,$A16,'Player Rounds'!$B$2:$B$401,$B16,'Player Rounds'!$K$2:$K$401,"&gt;0")=0,"",SIGN(_xlfn.MINIFS('Player Rounds'!$AE$2:$AE$401,'Player Rounds'!$A$2:$A$401,$A16,'Player Rounds'!$B$2:$B$401,$B16,'Player Rounds'!$C$2:$C$401,$D16)-_xlfn.MINIFS('Player Rounds'!$AE$2:$AE$401,'Player Rounds'!$A$2:$A$401,$A16,'Player Rounds'!$B$2:$B$401,$B16,'Player Rounds'!$C$2:$C$401,$C16))))</f>
      </c>
      <c r="R16" t="e">
        <f>IF($A16="","",IF(COUNTIFS('Player Rounds'!$A$2:$A$401,$A16,'Player Rounds'!$B$2:$B$401,$B16,'Player Rounds'!$L$2:$L$401,"&gt;0")=0,"",SIGN(_xlfn.MINIFS('Player Rounds'!$AF$2:$AF$401,'Player Rounds'!$A$2:$A$401,$A16,'Player Rounds'!$B$2:$B$401,$B16,'Player Rounds'!$C$2:$C$401,$D16)-_xlfn.MINIFS('Player Rounds'!$AF$2:$AF$401,'Player Rounds'!$A$2:$A$401,$A16,'Player Rounds'!$B$2:$B$401,$B16,'Player Rounds'!$C$2:$C$401,$C16))))</f>
      </c>
      <c r="S16" t="e">
        <f>IF($A16="","",IF(COUNTIFS('Player Rounds'!$A$2:$A$401,$A16,'Player Rounds'!$B$2:$B$401,$B16,'Player Rounds'!$M$2:$M$401,"&gt;0")=0,"",SIGN(_xlfn.MINIFS('Player Rounds'!$AG$2:$AG$401,'Player Rounds'!$A$2:$A$401,$A16,'Player Rounds'!$B$2:$B$401,$B16,'Player Rounds'!$C$2:$C$401,$D16)-_xlfn.MINIFS('Player Rounds'!$AG$2:$AG$401,'Player Rounds'!$A$2:$A$401,$A16,'Player Rounds'!$B$2:$B$401,$B16,'Player Rounds'!$C$2:$C$401,$C16))))</f>
      </c>
      <c r="T16" t="e">
        <f>IF($A16="","",IF(COUNTIFS('Player Rounds'!$A$2:$A$401,$A16,'Player Rounds'!$B$2:$B$401,$B16,'Player Rounds'!$N$2:$N$401,"&gt;0")=0,"",SIGN(_xlfn.MINIFS('Player Rounds'!$AH$2:$AH$401,'Player Rounds'!$A$2:$A$401,$A16,'Player Rounds'!$B$2:$B$401,$B16,'Player Rounds'!$C$2:$C$401,$D16)-_xlfn.MINIFS('Player Rounds'!$AH$2:$AH$401,'Player Rounds'!$A$2:$A$401,$A16,'Player Rounds'!$B$2:$B$401,$B16,'Player Rounds'!$C$2:$C$401,$C16))))</f>
      </c>
      <c r="U16" t="e">
        <f>IF($A16="","",IF(COUNTIFS('Player Rounds'!$A$2:$A$401,$A16,'Player Rounds'!$B$2:$B$401,$B16,'Player Rounds'!$O$2:$O$401,"&gt;0")=0,"",SIGN(_xlfn.MINIFS('Player Rounds'!$AI$2:$AI$401,'Player Rounds'!$A$2:$A$401,$A16,'Player Rounds'!$B$2:$B$401,$B16,'Player Rounds'!$C$2:$C$401,$D16)-_xlfn.MINIFS('Player Rounds'!$AI$2:$AI$401,'Player Rounds'!$A$2:$A$401,$A16,'Player Rounds'!$B$2:$B$401,$B16,'Player Rounds'!$C$2:$C$401,$C16))))</f>
      </c>
      <c r="V16" t="e">
        <f>IF($A16="","",IF(COUNTIFS('Player Rounds'!$A$2:$A$401,$A16,'Player Rounds'!$B$2:$B$401,$B16,'Player Rounds'!$P$2:$P$401,"&gt;0")=0,"",SIGN(_xlfn.MINIFS('Player Rounds'!$AJ$2:$AJ$401,'Player Rounds'!$A$2:$A$401,$A16,'Player Rounds'!$B$2:$B$401,$B16,'Player Rounds'!$C$2:$C$401,$D16)-_xlfn.MINIFS('Player Rounds'!$AJ$2:$AJ$401,'Player Rounds'!$A$2:$A$401,$A16,'Player Rounds'!$B$2:$B$401,$B16,'Player Rounds'!$C$2:$C$401,$C16))))</f>
      </c>
      <c r="W16" t="e">
        <f>IF($A16="","",IF(COUNTIFS('Player Rounds'!$A$2:$A$401,$A16,'Player Rounds'!$B$2:$B$401,$B16,'Player Rounds'!$Q$2:$Q$401,"&gt;0")=0,"",SIGN(_xlfn.MINIFS('Player Rounds'!$AK$2:$AK$401,'Player Rounds'!$A$2:$A$401,$A16,'Player Rounds'!$B$2:$B$401,$B16,'Player Rounds'!$C$2:$C$401,$D16)-_xlfn.MINIFS('Player Rounds'!$AK$2:$AK$401,'Player Rounds'!$A$2:$A$401,$A16,'Player Rounds'!$B$2:$B$401,$B16,'Player Rounds'!$C$2:$C$401,$C16))))</f>
      </c>
      <c r="X16" t="e">
        <f>IF($A16="","",IF(COUNTIFS('Player Rounds'!$A$2:$A$401,$A16,'Player Rounds'!$B$2:$B$401,$B16,'Player Rounds'!$R$2:$R$401,"&gt;0")=0,"",SIGN(_xlfn.MINIFS('Player Rounds'!$AL$2:$AL$401,'Player Rounds'!$A$2:$A$401,$A16,'Player Rounds'!$B$2:$B$401,$B16,'Player Rounds'!$C$2:$C$401,$D16)-_xlfn.MINIFS('Player Rounds'!$AL$2:$AL$401,'Player Rounds'!$A$2:$A$401,$A16,'Player Rounds'!$B$2:$B$401,$B16,'Player Rounds'!$C$2:$C$401,$C16))))</f>
      </c>
      <c r="Y16" t="e">
        <f>IF($A16="","",IF(COUNTIFS('Player Rounds'!$A$2:$A$401,$A16,'Player Rounds'!$B$2:$B$401,$B16,'Player Rounds'!$S$2:$S$401,"&gt;0")=0,"",SIGN(_xlfn.MINIFS('Player Rounds'!$AM$2:$AM$401,'Player Rounds'!$A$2:$A$401,$A16,'Player Rounds'!$B$2:$B$401,$B16,'Player Rounds'!$C$2:$C$401,$D16)-_xlfn.MINIFS('Player Rounds'!$AM$2:$AM$401,'Player Rounds'!$A$2:$A$401,$A16,'Player Rounds'!$B$2:$B$401,$B16,'Player Rounds'!$C$2:$C$401,$C16))))</f>
      </c>
      <c r="Z16" t="e">
        <f>IF($A16="","",IF(COUNTIFS('Player Rounds'!$A$2:$A$401,$A16,'Player Rounds'!$B$2:$B$401,$B16,'Player Rounds'!$T$2:$T$401,"&gt;0")=0,"",SIGN(_xlfn.MINIFS('Player Rounds'!$AN$2:$AN$401,'Player Rounds'!$A$2:$A$401,$A16,'Player Rounds'!$B$2:$B$401,$B16,'Player Rounds'!$C$2:$C$401,$D16)-_xlfn.MINIFS('Player Rounds'!$AN$2:$AN$401,'Player Rounds'!$A$2:$A$401,$A16,'Player Rounds'!$B$2:$B$401,$B16,'Player Rounds'!$C$2:$C$401,$C16))))</f>
      </c>
      <c r="AA16" t="e">
        <f>IF($A16="","",IF(COUNTIFS('Player Rounds'!$A$2:$A$401,$A16,'Player Rounds'!$B$2:$B$401,$B16,'Player Rounds'!$U$2:$U$401,"&gt;0")=0,"",SIGN(_xlfn.MINIFS('Player Rounds'!$AO$2:$AO$401,'Player Rounds'!$A$2:$A$401,$A16,'Player Rounds'!$B$2:$B$401,$B16,'Player Rounds'!$C$2:$C$401,$D16)-_xlfn.MINIFS('Player Rounds'!$AO$2:$AO$401,'Player Rounds'!$A$2:$A$401,$A16,'Player Rounds'!$B$2:$B$401,$B16,'Player Rounds'!$C$2:$C$401,$C16))))</f>
      </c>
      <c r="AB16" t="e">
        <f>IF($A16="","",IF(COUNTIFS('Player Rounds'!$A$2:$A$401,$A16,'Player Rounds'!$B$2:$B$401,$B16,'Player Rounds'!$V$2:$V$401,"&gt;0")=0,"",SIGN(_xlfn.MINIFS('Player Rounds'!$AP$2:$AP$401,'Player Rounds'!$A$2:$A$401,$A16,'Player Rounds'!$B$2:$B$401,$B16,'Player Rounds'!$C$2:$C$401,$D16)-_xlfn.MINIFS('Player Rounds'!$AP$2:$AP$401,'Player Rounds'!$A$2:$A$401,$A16,'Player Rounds'!$B$2:$B$401,$B16,'Player Rounds'!$C$2:$C$401,$C16))))</f>
      </c>
      <c r="AC16" t="e">
        <f>IF($A16="","",IF(COUNTIFS('Player Rounds'!$A$2:$A$401,$A16,'Player Rounds'!$B$2:$B$401,$B16,'Player Rounds'!$W$2:$W$401,"&gt;0")=0,"",SIGN(_xlfn.MINIFS('Player Rounds'!$AQ$2:$AQ$401,'Player Rounds'!$A$2:$A$401,$A16,'Player Rounds'!$B$2:$B$401,$B16,'Player Rounds'!$C$2:$C$401,$D16)-_xlfn.MINIFS('Player Rounds'!$AQ$2:$AQ$401,'Player Rounds'!$A$2:$A$401,$A16,'Player Rounds'!$B$2:$B$401,$B16,'Player Rounds'!$C$2:$C$401,$C16))))</f>
      </c>
      <c r="AD16" t="e">
        <f>IF($A16="","",SUM($L16:L16))</f>
      </c>
      <c r="AE16" t="e">
        <f>IF($A16="","",SUM($L16:M16))</f>
      </c>
      <c r="AF16" t="e">
        <f>IF($A16="","",SUM($L16:N16))</f>
      </c>
      <c r="AG16" t="e">
        <f>IF($A16="","",SUM($L16:O16))</f>
      </c>
      <c r="AH16" t="e">
        <f>IF($A16="","",SUM($L16:P16))</f>
      </c>
      <c r="AI16" t="e">
        <f>IF($A16="","",SUM($L16:Q16))</f>
      </c>
      <c r="AJ16" t="e">
        <f>IF($A16="","",SUM($L16:R16))</f>
      </c>
      <c r="AK16" t="e">
        <f>IF($A16="","",SUM($L16:S16))</f>
      </c>
      <c r="AL16" t="e">
        <f>IF($A16="","",SUM($L16:T16))</f>
      </c>
      <c r="AM16" t="e">
        <f>IF($A16="","",SUM($L16:U16))</f>
      </c>
      <c r="AN16" t="e">
        <f>IF($A16="","",SUM($L16:V16))</f>
      </c>
      <c r="AO16" t="e">
        <f>IF($A16="","",SUM($L16:W16))</f>
      </c>
      <c r="AP16" t="e">
        <f>IF($A16="","",SUM($L16:X16))</f>
      </c>
      <c r="AQ16" t="e">
        <f>IF($A16="","",SUM($L16:Y16))</f>
      </c>
      <c r="AR16" t="e">
        <f>IF($A16="","",SUM($L16:Z16))</f>
      </c>
      <c r="AS16" t="e">
        <f>IF($A16="","",SUM($L16:AA16))</f>
      </c>
      <c r="AT16" t="e">
        <f>IF($A16="","",SUM($L16:AB16))</f>
      </c>
      <c r="AU16" t="e">
        <f>IF($A16="","",SUM($L16:AC16))</f>
      </c>
      <c r="AV16" t="e">
        <f>IF(OR($A16="",L16=""),"",IF(ABS(AD16)&gt;17,1,""))</f>
      </c>
      <c r="AW16" t="e">
        <f>IF(OR($A16="",M16=""),"",IF(ABS(AE16)&gt;16,2,""))</f>
      </c>
      <c r="AX16" t="e">
        <f>IF(OR($A16="",N16=""),"",IF(ABS(AF16)&gt;15,3,""))</f>
      </c>
      <c r="AY16" t="e">
        <f>IF(OR($A16="",O16=""),"",IF(ABS(AG16)&gt;14,4,""))</f>
      </c>
      <c r="AZ16" t="e">
        <f>IF(OR($A16="",P16=""),"",IF(ABS(AH16)&gt;13,5,""))</f>
      </c>
      <c r="BA16" t="e">
        <f>IF(OR($A16="",Q16=""),"",IF(ABS(AI16)&gt;12,6,""))</f>
      </c>
      <c r="BB16" t="e">
        <f>IF(OR($A16="",R16=""),"",IF(ABS(AJ16)&gt;11,7,""))</f>
      </c>
      <c r="BC16" t="e">
        <f>IF(OR($A16="",S16=""),"",IF(ABS(AK16)&gt;10,8,""))</f>
      </c>
      <c r="BD16" t="e">
        <f>IF(OR($A16="",T16=""),"",IF(ABS(AL16)&gt;9,9,""))</f>
      </c>
      <c r="BE16" t="e">
        <f>IF(OR($A16="",U16=""),"",IF(ABS(AM16)&gt;8,10,""))</f>
      </c>
      <c r="BF16" t="e">
        <f>IF(OR($A16="",V16=""),"",IF(ABS(AN16)&gt;7,11,""))</f>
      </c>
      <c r="BG16" t="e">
        <f>IF(OR($A16="",W16=""),"",IF(ABS(AO16)&gt;6,12,""))</f>
      </c>
      <c r="BH16" t="e">
        <f>IF(OR($A16="",X16=""),"",IF(ABS(AP16)&gt;5,13,""))</f>
      </c>
      <c r="BI16" t="e">
        <f>IF(OR($A16="",Y16=""),"",IF(ABS(AQ16)&gt;4,14,""))</f>
      </c>
      <c r="BJ16" t="e">
        <f>IF(OR($A16="",Z16=""),"",IF(ABS(AR16)&gt;3,15,""))</f>
      </c>
      <c r="BK16" t="e">
        <f>IF(OR($A16="",AA16=""),"",IF(ABS(AS16)&gt;2,16,""))</f>
      </c>
      <c r="BL16" t="e">
        <f>IF(OR($A16="",AB16=""),"",IF(ABS(AT16)&gt;1,17,""))</f>
      </c>
      <c r="BM16" t="e">
        <f>IF(OR($A16="",AC16=""),"",IF(ABS(AU16)&gt;0,18,""))</f>
      </c>
    </row>
    <row r="17">
      <c r="C17" t="str">
        <f>IF($A17="","",INDEX('Tournament Setup'!$J:$J,MATCH($A17,'Tournament Setup'!$A:$A,0)))</f>
        <v/>
      </c>
      <c r="D17" t="str">
        <f>IF($A17="","",INDEX('Tournament Setup'!$K:$K,MATCH($A17,'Tournament Setup'!$A:$A,0)))</f>
        <v/>
      </c>
      <c r="E17" t="str">
        <f>IF($A17="","",IF(COUNT(L17:AC17)=0,"Not played",IF(AND($K17&gt;0,$K17&lt;18),IF(INDEX(AD17:AU17,1,$K17)&gt;0,$C17,$D17)&amp;" "&amp;ABS(INDEX(AD17:AU17,1,$K17))&amp;"&amp;"&amp;(18-$K17),IF($J17=0,"Halved (AS)",IF($J17&gt;0,$C17,$D17)&amp;" "&amp;ABS($J17)&amp;" UP"))))</f>
        <v/>
      </c>
      <c r="F17" t="e">
        <f>IF(OR($A17="",COUNT(L17:AC17)=0),"",INDEX('Tournament Setup'!$I:$I,MATCH($A17,'Tournament Setup'!$A:$A,0))*IF(INDEX('Tournament Setup'!$H:$H,MATCH($A17,'Tournament Setup'!$A:$A,0))="Yes",IF($H17&gt;0,1,IF($H17=0,0.5,0))+IF($I17&gt;0,1,IF($I17=0,0.5,0))+IF($J17&gt;0,1,IF($J17=0,0.5,0)),IF(IF(AND($K17&gt;0,$K17&lt;18),INDEX(AD17:AU17,1,$K17),$J17)&gt;0,1,IF(IF(AND($K17&gt;0,$K17&lt;18),INDEX(AD17:AU17,1,$K17),$J17)=0,0.5,0))))</f>
      </c>
      <c r="G17" t="e">
        <f>IF(OR($A17="",COUNT(L17:AC17)=0),"",INDEX('Tournament Setup'!$I:$I,MATCH($A17,'Tournament Setup'!$A:$A,0))*IF(INDEX('Tournament Setup'!$H:$H,MATCH($A17,'Tournament Setup'!$A:$A,0))="Yes",IF($H17&lt;0,1,IF($H17=0,0.5,0))+IF($I17&lt;0,1,IF($I17=0,0.5,0))+IF($J17&lt;0,1,IF($J17=0,0.5,0)),IF(IF(AND($K17&gt;0,$K17&lt;18),INDEX(AD17:AU17,1,$K17),$J17)&lt;0,1,IF(IF(AND($K17&gt;0,$K17&lt;18),INDEX(AD17:AU17,1,$K17),$J17)=0,0.5,0))))</f>
      </c>
      <c r="H17" t="e">
        <f>IF($A17="","",SUM(L17:T17))</f>
      </c>
      <c r="I17" t="e">
        <f>IF($A17="","",SUM(U17:AC17))</f>
      </c>
      <c r="J17" t="e">
        <f>IF($A17="","",SUM(L17:AC17))</f>
      </c>
      <c r="K17" t="e">
        <f>IF($A17="","",MIN(AV17:BM17))</f>
      </c>
      <c r="L17" t="e">
        <f>IF($A17="","",IF(COUNTIFS('Player Rounds'!$A$2:$A$401,$A17,'Player Rounds'!$B$2:$B$401,$B17,'Player Rounds'!$F$2:$F$401,"&gt;0")=0,"",SIGN(_xlfn.MINIFS('Player Rounds'!$Z$2:$Z$401,'Player Rounds'!$A$2:$A$401,$A17,'Player Rounds'!$B$2:$B$401,$B17,'Player Rounds'!$C$2:$C$401,$D17)-_xlfn.MINIFS('Player Rounds'!$Z$2:$Z$401,'Player Rounds'!$A$2:$A$401,$A17,'Player Rounds'!$B$2:$B$401,$B17,'Player Rounds'!$C$2:$C$401,$C17))))</f>
      </c>
      <c r="M17" t="e">
        <f>IF($A17="","",IF(COUNTIFS('Player Rounds'!$A$2:$A$401,$A17,'Player Rounds'!$B$2:$B$401,$B17,'Player Rounds'!$G$2:$G$401,"&gt;0")=0,"",SIGN(_xlfn.MINIFS('Player Rounds'!$AA$2:$AA$401,'Player Rounds'!$A$2:$A$401,$A17,'Player Rounds'!$B$2:$B$401,$B17,'Player Rounds'!$C$2:$C$401,$D17)-_xlfn.MINIFS('Player Rounds'!$AA$2:$AA$401,'Player Rounds'!$A$2:$A$401,$A17,'Player Rounds'!$B$2:$B$401,$B17,'Player Rounds'!$C$2:$C$401,$C17))))</f>
      </c>
      <c r="N17" t="e">
        <f>IF($A17="","",IF(COUNTIFS('Player Rounds'!$A$2:$A$401,$A17,'Player Rounds'!$B$2:$B$401,$B17,'Player Rounds'!$H$2:$H$401,"&gt;0")=0,"",SIGN(_xlfn.MINIFS('Player Rounds'!$AB$2:$AB$401,'Player Rounds'!$A$2:$A$401,$A17,'Player Rounds'!$B$2:$B$401,$B17,'Player Rounds'!$C$2:$C$401,$D17)-_xlfn.MINIFS('Player Rounds'!$AB$2:$AB$401,'Player Rounds'!$A$2:$A$401,$A17,'Player Rounds'!$B$2:$B$401,$B17,'Player Rounds'!$C$2:$C$401,$C17))))</f>
      </c>
      <c r="O17" t="e">
        <f>IF($A17="","",IF(COUNTIFS('Player Rounds'!$A$2:$A$401,$A17,'Player Rounds'!$B$2:$B$401,$B17,'Player Rounds'!$I$2:$I$401,"&gt;0")=0,"",SIGN(_xlfn.MINIFS('Player Rounds'!$AC$2:$AC$401,'Player Rounds'!$A$2:$A$401,$A17,'Player Rounds'!$B$2:$B$401,$B17,'Player Rounds'!$C$2:$C$401,$D17)-_xlfn.MINIFS('Player Rounds'!$AC$2:$AC$401,'Player Rounds'!$A$2:$A$401,$A17,'Player Rounds'!$B$2:$B$401,$B17,'Player Rounds'!$C$2:$C$401,$C17))))</f>
      </c>
      <c r="P17" t="e">
        <f>IF($A17="","",IF(COUNTIFS('Player Rounds'!$A$2:$A$401,$A17,'Player Rounds'!$B$2:$B$401,$B17,'Player Rounds'!$J$2:$J$401,"&gt;0")=0,"",SIGN(_xlfn.MINIFS('Player Rounds'!$AD$2:$AD$401,'Player Rounds'!$A$2:$A$401,$A17,'Player Rounds'!$B$2:$B$401,$B17,'Player Rounds'!$C$2:$C$401,$D17)-_xlfn.MINIFS('Player Rounds'!$AD$2:$AD$401,'Player Rounds'!$A$2:$A$401,$A17,'Player Rounds'!$B$2:$B$401,$B17,'Player Rounds'!$C$2:$C$401,$C17))))</f>
      </c>
      <c r="Q17" t="e">
        <f>IF($A17="","",IF(COUNTIFS('Player Rounds'!$A$2:$A$401,$A17,'Player Rounds'!$B$2:$B$401,$B17,'Player Rounds'!$K$2:$K$401,"&gt;0")=0,"",SIGN(_xlfn.MINIFS('Player Rounds'!$AE$2:$AE$401,'Player Rounds'!$A$2:$A$401,$A17,'Player Rounds'!$B$2:$B$401,$B17,'Player Rounds'!$C$2:$C$401,$D17)-_xlfn.MINIFS('Player Rounds'!$AE$2:$AE$401,'Player Rounds'!$A$2:$A$401,$A17,'Player Rounds'!$B$2:$B$401,$B17,'Player Rounds'!$C$2:$C$401,$C17))))</f>
      </c>
      <c r="R17" t="e">
        <f>IF($A17="","",IF(COUNTIFS('Player Rounds'!$A$2:$A$401,$A17,'Player Rounds'!$B$2:$B$401,$B17,'Player Rounds'!$L$2:$L$401,"&gt;0")=0,"",SIGN(_xlfn.MINIFS('Player Rounds'!$AF$2:$AF$401,'Player Rounds'!$A$2:$A$401,$A17,'Player Rounds'!$B$2:$B$401,$B17,'Player Rounds'!$C$2:$C$401,$D17)-_xlfn.MINIFS('Player Rounds'!$AF$2:$AF$401,'Player Rounds'!$A$2:$A$401,$A17,'Player Rounds'!$B$2:$B$401,$B17,'Player Rounds'!$C$2:$C$401,$C17))))</f>
      </c>
      <c r="S17" t="e">
        <f>IF($A17="","",IF(COUNTIFS('Player Rounds'!$A$2:$A$401,$A17,'Player Rounds'!$B$2:$B$401,$B17,'Player Rounds'!$M$2:$M$401,"&gt;0")=0,"",SIGN(_xlfn.MINIFS('Player Rounds'!$AG$2:$AG$401,'Player Rounds'!$A$2:$A$401,$A17,'Player Rounds'!$B$2:$B$401,$B17,'Player Rounds'!$C$2:$C$401,$D17)-_xlfn.MINIFS('Player Rounds'!$AG$2:$AG$401,'Player Rounds'!$A$2:$A$401,$A17,'Player Rounds'!$B$2:$B$401,$B17,'Player Rounds'!$C$2:$C$401,$C17))))</f>
      </c>
      <c r="T17" t="e">
        <f>IF($A17="","",IF(COUNTIFS('Player Rounds'!$A$2:$A$401,$A17,'Player Rounds'!$B$2:$B$401,$B17,'Player Rounds'!$N$2:$N$401,"&gt;0")=0,"",SIGN(_xlfn.MINIFS('Player Rounds'!$AH$2:$AH$401,'Player Rounds'!$A$2:$A$401,$A17,'Player Rounds'!$B$2:$B$401,$B17,'Player Rounds'!$C$2:$C$401,$D17)-_xlfn.MINIFS('Player Rounds'!$AH$2:$AH$401,'Player Rounds'!$A$2:$A$401,$A17,'Player Rounds'!$B$2:$B$401,$B17,'Player Rounds'!$C$2:$C$401,$C17))))</f>
      </c>
      <c r="U17" t="e">
        <f>IF($A17="","",IF(COUNTIFS('Player Rounds'!$A$2:$A$401,$A17,'Player Rounds'!$B$2:$B$401,$B17,'Player Rounds'!$O$2:$O$401,"&gt;0")=0,"",SIGN(_xlfn.MINIFS('Player Rounds'!$AI$2:$AI$401,'Player Rounds'!$A$2:$A$401,$A17,'Player Rounds'!$B$2:$B$401,$B17,'Player Rounds'!$C$2:$C$401,$D17)-_xlfn.MINIFS('Player Rounds'!$AI$2:$AI$401,'Player Rounds'!$A$2:$A$401,$A17,'Player Rounds'!$B$2:$B$401,$B17,'Player Rounds'!$C$2:$C$401,$C17))))</f>
      </c>
      <c r="V17" t="e">
        <f>IF($A17="","",IF(COUNTIFS('Player Rounds'!$A$2:$A$401,$A17,'Player Rounds'!$B$2:$B$401,$B17,'Player Rounds'!$P$2:$P$401,"&gt;0")=0,"",SIGN(_xlfn.MINIFS('Player Rounds'!$AJ$2:$AJ$401,'Player Rounds'!$A$2:$A$401,$A17,'Player Rounds'!$B$2:$B$401,$B17,'Player Rounds'!$C$2:$C$401,$D17)-_xlfn.MINIFS('Player Rounds'!$AJ$2:$AJ$401,'Player Rounds'!$A$2:$A$401,$A17,'Player Rounds'!$B$2:$B$401,$B17,'Player Rounds'!$C$2:$C$401,$C17))))</f>
      </c>
      <c r="W17" t="e">
        <f>IF($A17="","",IF(COUNTIFS('Player Rounds'!$A$2:$A$401,$A17,'Player Rounds'!$B$2:$B$401,$B17,'Player Rounds'!$Q$2:$Q$401,"&gt;0")=0,"",SIGN(_xlfn.MINIFS('Player Rounds'!$AK$2:$AK$401,'Player Rounds'!$A$2:$A$401,$A17,'Player Rounds'!$B$2:$B$401,$B17,'Player Rounds'!$C$2:$C$401,$D17)-_xlfn.MINIFS('Player Rounds'!$AK$2:$AK$401,'Player Rounds'!$A$2:$A$401,$A17,'Player Rounds'!$B$2:$B$401,$B17,'Player Rounds'!$C$2:$C$401,$C17))))</f>
      </c>
      <c r="X17" t="e">
        <f>IF($A17="","",IF(COUNTIFS('Player Rounds'!$A$2:$A$401,$A17,'Player Rounds'!$B$2:$B$401,$B17,'Player Rounds'!$R$2:$R$401,"&gt;0")=0,"",SIGN(_xlfn.MINIFS('Player Rounds'!$AL$2:$AL$401,'Player Rounds'!$A$2:$A$401,$A17,'Player Rounds'!$B$2:$B$401,$B17,'Player Rounds'!$C$2:$C$401,$D17)-_xlfn.MINIFS('Player Rounds'!$AL$2:$AL$401,'Player Rounds'!$A$2:$A$401,$A17,'Player Rounds'!$B$2:$B$401,$B17,'Player Rounds'!$C$2:$C$401,$C17))))</f>
      </c>
      <c r="Y17" t="e">
        <f>IF($A17="","",IF(COUNTIFS('Player Rounds'!$A$2:$A$401,$A17,'Player Rounds'!$B$2:$B$401,$B17,'Player Rounds'!$S$2:$S$401,"&gt;0")=0,"",SIGN(_xlfn.MINIFS('Player Rounds'!$AM$2:$AM$401,'Player Rounds'!$A$2:$A$401,$A17,'Player Rounds'!$B$2:$B$401,$B17,'Player Rounds'!$C$2:$C$401,$D17)-_xlfn.MINIFS('Player Rounds'!$AM$2:$AM$401,'Player Rounds'!$A$2:$A$401,$A17,'Player Rounds'!$B$2:$B$401,$B17,'Player Rounds'!$C$2:$C$401,$C17))))</f>
      </c>
      <c r="Z17" t="e">
        <f>IF($A17="","",IF(COUNTIFS('Player Rounds'!$A$2:$A$401,$A17,'Player Rounds'!$B$2:$B$401,$B17,'Player Rounds'!$T$2:$T$401,"&gt;0")=0,"",SIGN(_xlfn.MINIFS('Player Rounds'!$AN$2:$AN$401,'Player Rounds'!$A$2:$A$401,$A17,'Player Rounds'!$B$2:$B$401,$B17,'Player Rounds'!$C$2:$C$401,$D17)-_xlfn.MINIFS('Player Rounds'!$AN$2:$AN$401,'Player Rounds'!$A$2:$A$401,$A17,'Player Rounds'!$B$2:$B$401,$B17,'Player Rounds'!$C$2:$C$401,$C17))))</f>
      </c>
      <c r="AA17" t="e">
        <f>IF($A17="","",IF(COUNTIFS('Player Rounds'!$A$2:$A$401,$A17,'Player Rounds'!$B$2:$B$401,$B17,'Player Rounds'!$U$2:$U$401,"&gt;0")=0,"",SIGN(_xlfn.MINIFS('Player Rounds'!$AO$2:$AO$401,'Player Rounds'!$A$2:$A$401,$A17,'Player Rounds'!$B$2:$B$401,$B17,'Player Rounds'!$C$2:$C$401,$D17)-_xlfn.MINIFS('Player Rounds'!$AO$2:$AO$401,'Player Rounds'!$A$2:$A$401,$A17,'Player Rounds'!$B$2:$B$401,$B17,'Player Rounds'!$C$2:$C$401,$C17))))</f>
      </c>
      <c r="AB17" t="e">
        <f>IF($A17="","",IF(COUNTIFS('Player Rounds'!$A$2:$A$401,$A17,'Player Rounds'!$B$2:$B$401,$B17,'Player Rounds'!$V$2:$V$401,"&gt;0")=0,"",SIGN(_xlfn.MINIFS('Player Rounds'!$AP$2:$AP$401,'Player Rounds'!$A$2:$A$401,$A17,'Player Rounds'!$B$2:$B$401,$B17,'Player Rounds'!$C$2:$C$401,$D17)-_xlfn.MINIFS('Player Rounds'!$AP$2:$AP$401,'Player Rounds'!$A$2:$A$401,$A17,'Player Rounds'!$B$2:$B$401,$B17,'Player Rounds'!$C$2:$C$401,$C17))))</f>
      </c>
      <c r="AC17" t="e">
        <f>IF($A17="","",IF(COUNTIFS('Player Rounds'!$A$2:$A$401,$A17,'Player Rounds'!$B$2:$B$401,$B17,'Player Rounds'!$W$2:$W$401,"&gt;0")=0,"",SIGN(_xlfn.MINIFS('Player Rounds'!$AQ$2:$AQ$401,'Player Rounds'!$A$2:$A$401,$A17,'Player Rounds'!$B$2:$B$401,$B17,'Player Rounds'!$C$2:$C$401,$D17)-_xlfn.MINIFS('Player Rounds'!$AQ$2:$AQ$401,'Player Rounds'!$A$2:$A$401,$A17,'Player Rounds'!$B$2:$B$401,$B17,'Player Rounds'!$C$2:$C$401,$C17))))</f>
      </c>
      <c r="AD17" t="e">
        <f>IF($A17="","",SUM($L17:L17))</f>
      </c>
      <c r="AE17" t="e">
        <f>IF($A17="","",SUM($L17:M17))</f>
      </c>
      <c r="AF17" t="e">
        <f>IF($A17="","",SUM($L17:N17))</f>
      </c>
      <c r="AG17" t="e">
        <f>IF($A17="","",SUM($L17:O17))</f>
      </c>
      <c r="AH17" t="e">
        <f>IF($A17="","",SUM($L17:P17))</f>
      </c>
      <c r="AI17" t="e">
        <f>IF($A17="","",SUM($L17:Q17))</f>
      </c>
      <c r="AJ17" t="e">
        <f>IF($A17="","",SUM($L17:R17))</f>
      </c>
      <c r="AK17" t="e">
        <f>IF($A17="","",SUM($L17:S17))</f>
      </c>
      <c r="AL17" t="e">
        <f>IF($A17="","",SUM($L17:T17))</f>
      </c>
      <c r="AM17" t="e">
        <f>IF($A17="","",SUM($L17:U17))</f>
      </c>
      <c r="AN17" t="e">
        <f>IF($A17="","",SUM($L17:V17))</f>
      </c>
      <c r="AO17" t="e">
        <f>IF($A17="","",SUM($L17:W17))</f>
      </c>
      <c r="AP17" t="e">
        <f>IF($A17="","",SUM($L17:X17))</f>
      </c>
      <c r="AQ17" t="e">
        <f>IF($A17="","",SUM($L17:Y17))</f>
      </c>
      <c r="AR17" t="e">
        <f>IF($A17="","",SUM($L17:Z17))</f>
      </c>
      <c r="AS17" t="e">
        <f>IF($A17="","",SUM($L17:AA17))</f>
      </c>
      <c r="AT17" t="e">
        <f>IF($A17="","",SUM($L17:AB17))</f>
      </c>
      <c r="AU17" t="e">
        <f>IF($A17="","",SUM($L17:AC17))</f>
      </c>
      <c r="AV17" t="e">
        <f>IF(OR($A17="",L17=""),"",IF(ABS(AD17)&gt;17,1,""))</f>
      </c>
      <c r="AW17" t="e">
        <f>IF(OR($A17="",M17=""),"",IF(ABS(AE17)&gt;16,2,""))</f>
      </c>
      <c r="AX17" t="e">
        <f>IF(OR($A17="",N17=""),"",IF(ABS(AF17)&gt;15,3,""))</f>
      </c>
      <c r="AY17" t="e">
        <f>IF(OR($A17="",O17=""),"",IF(ABS(AG17)&gt;14,4,""))</f>
      </c>
      <c r="AZ17" t="e">
        <f>IF(OR($A17="",P17=""),"",IF(ABS(AH17)&gt;13,5,""))</f>
      </c>
      <c r="BA17" t="e">
        <f>IF(OR($A17="",Q17=""),"",IF(ABS(AI17)&gt;12,6,""))</f>
      </c>
      <c r="BB17" t="e">
        <f>IF(OR($A17="",R17=""),"",IF(ABS(AJ17)&gt;11,7,""))</f>
      </c>
      <c r="BC17" t="e">
        <f>IF(OR($A17="",S17=""),"",IF(ABS(AK17)&gt;10,8,""))</f>
      </c>
      <c r="BD17" t="e">
        <f>IF(OR($A17="",T17=""),"",IF(ABS(AL17)&gt;9,9,""))</f>
      </c>
      <c r="BE17" t="e">
        <f>IF(OR($A17="",U17=""),"",IF(ABS(AM17)&gt;8,10,""))</f>
      </c>
      <c r="BF17" t="e">
        <f>IF(OR($A17="",V17=""),"",IF(ABS(AN17)&gt;7,11,""))</f>
      </c>
      <c r="BG17" t="e">
        <f>IF(OR($A17="",W17=""),"",IF(ABS(AO17)&gt;6,12,""))</f>
      </c>
      <c r="BH17" t="e">
        <f>IF(OR($A17="",X17=""),"",IF(ABS(AP17)&gt;5,13,""))</f>
      </c>
      <c r="BI17" t="e">
        <f>IF(OR($A17="",Y17=""),"",IF(ABS(AQ17)&gt;4,14,""))</f>
      </c>
      <c r="BJ17" t="e">
        <f>IF(OR($A17="",Z17=""),"",IF(ABS(AR17)&gt;3,15,""))</f>
      </c>
      <c r="BK17" t="e">
        <f>IF(OR($A17="",AA17=""),"",IF(ABS(AS17)&gt;2,16,""))</f>
      </c>
      <c r="BL17" t="e">
        <f>IF(OR($A17="",AB17=""),"",IF(ABS(AT17)&gt;1,17,""))</f>
      </c>
      <c r="BM17" t="e">
        <f>IF(OR($A17="",AC17=""),"",IF(ABS(AU17)&gt;0,18,""))</f>
      </c>
    </row>
    <row r="18">
      <c r="C18" t="str">
        <f>IF($A18="","",INDEX('Tournament Setup'!$J:$J,MATCH($A18,'Tournament Setup'!$A:$A,0)))</f>
        <v/>
      </c>
      <c r="D18" t="str">
        <f>IF($A18="","",INDEX('Tournament Setup'!$K:$K,MATCH($A18,'Tournament Setup'!$A:$A,0)))</f>
        <v/>
      </c>
      <c r="E18" t="str">
        <f>IF($A18="","",IF(COUNT(L18:AC18)=0,"Not played",IF(AND($K18&gt;0,$K18&lt;18),IF(INDEX(AD18:AU18,1,$K18)&gt;0,$C18,$D18)&amp;" "&amp;ABS(INDEX(AD18:AU18,1,$K18))&amp;"&amp;"&amp;(18-$K18),IF($J18=0,"Halved (AS)",IF($J18&gt;0,$C18,$D18)&amp;" "&amp;ABS($J18)&amp;" UP"))))</f>
        <v/>
      </c>
      <c r="F18" t="e">
        <f>IF(OR($A18="",COUNT(L18:AC18)=0),"",INDEX('Tournament Setup'!$I:$I,MATCH($A18,'Tournament Setup'!$A:$A,0))*IF(INDEX('Tournament Setup'!$H:$H,MATCH($A18,'Tournament Setup'!$A:$A,0))="Yes",IF($H18&gt;0,1,IF($H18=0,0.5,0))+IF($I18&gt;0,1,IF($I18=0,0.5,0))+IF($J18&gt;0,1,IF($J18=0,0.5,0)),IF(IF(AND($K18&gt;0,$K18&lt;18),INDEX(AD18:AU18,1,$K18),$J18)&gt;0,1,IF(IF(AND($K18&gt;0,$K18&lt;18),INDEX(AD18:AU18,1,$K18),$J18)=0,0.5,0))))</f>
      </c>
      <c r="G18" t="e">
        <f>IF(OR($A18="",COUNT(L18:AC18)=0),"",INDEX('Tournament Setup'!$I:$I,MATCH($A18,'Tournament Setup'!$A:$A,0))*IF(INDEX('Tournament Setup'!$H:$H,MATCH($A18,'Tournament Setup'!$A:$A,0))="Yes",IF($H18&lt;0,1,IF($H18=0,0.5,0))+IF($I18&lt;0,1,IF($I18=0,0.5,0))+IF($J18&lt;0,1,IF($J18=0,0.5,0)),IF(IF(AND($K18&gt;0,$K18&lt;18),INDEX(AD18:AU18,1,$K18),$J18)&lt;0,1,IF(IF(AND($K18&gt;0,$K18&lt;18),INDEX(AD18:AU18,1,$K18),$J18)=0,0.5,0))))</f>
      </c>
      <c r="H18" t="e">
        <f>IF($A18="","",SUM(L18:T18))</f>
      </c>
      <c r="I18" t="e">
        <f>IF($A18="","",SUM(U18:AC18))</f>
      </c>
      <c r="J18" t="e">
        <f>IF($A18="","",SUM(L18:AC18))</f>
      </c>
      <c r="K18" t="e">
        <f>IF($A18="","",MIN(AV18:BM18))</f>
      </c>
      <c r="L18" t="e">
        <f>IF($A18="","",IF(COUNTIFS('Player Rounds'!$A$2:$A$401,$A18,'Player Rounds'!$B$2:$B$401,$B18,'Player Rounds'!$F$2:$F$401,"&gt;0")=0,"",SIGN(_xlfn.MINIFS('Player Rounds'!$Z$2:$Z$401,'Player Rounds'!$A$2:$A$401,$A18,'Player Rounds'!$B$2:$B$401,$B18,'Player Rounds'!$C$2:$C$401,$D18)-_xlfn.MINIFS('Player Rounds'!$Z$2:$Z$401,'Player Rounds'!$A$2:$A$401,$A18,'Player Rounds'!$B$2:$B$401,$B18,'Player Rounds'!$C$2:$C$401,$C18))))</f>
      </c>
      <c r="M18" t="e">
        <f>IF($A18="","",IF(COUNTIFS('Player Rounds'!$A$2:$A$401,$A18,'Player Rounds'!$B$2:$B$401,$B18,'Player Rounds'!$G$2:$G$401,"&gt;0")=0,"",SIGN(_xlfn.MINIFS('Player Rounds'!$AA$2:$AA$401,'Player Rounds'!$A$2:$A$401,$A18,'Player Rounds'!$B$2:$B$401,$B18,'Player Rounds'!$C$2:$C$401,$D18)-_xlfn.MINIFS('Player Rounds'!$AA$2:$AA$401,'Player Rounds'!$A$2:$A$401,$A18,'Player Rounds'!$B$2:$B$401,$B18,'Player Rounds'!$C$2:$C$401,$C18))))</f>
      </c>
      <c r="N18" t="e">
        <f>IF($A18="","",IF(COUNTIFS('Player Rounds'!$A$2:$A$401,$A18,'Player Rounds'!$B$2:$B$401,$B18,'Player Rounds'!$H$2:$H$401,"&gt;0")=0,"",SIGN(_xlfn.MINIFS('Player Rounds'!$AB$2:$AB$401,'Player Rounds'!$A$2:$A$401,$A18,'Player Rounds'!$B$2:$B$401,$B18,'Player Rounds'!$C$2:$C$401,$D18)-_xlfn.MINIFS('Player Rounds'!$AB$2:$AB$401,'Player Rounds'!$A$2:$A$401,$A18,'Player Rounds'!$B$2:$B$401,$B18,'Player Rounds'!$C$2:$C$401,$C18))))</f>
      </c>
      <c r="O18" t="e">
        <f>IF($A18="","",IF(COUNTIFS('Player Rounds'!$A$2:$A$401,$A18,'Player Rounds'!$B$2:$B$401,$B18,'Player Rounds'!$I$2:$I$401,"&gt;0")=0,"",SIGN(_xlfn.MINIFS('Player Rounds'!$AC$2:$AC$401,'Player Rounds'!$A$2:$A$401,$A18,'Player Rounds'!$B$2:$B$401,$B18,'Player Rounds'!$C$2:$C$401,$D18)-_xlfn.MINIFS('Player Rounds'!$AC$2:$AC$401,'Player Rounds'!$A$2:$A$401,$A18,'Player Rounds'!$B$2:$B$401,$B18,'Player Rounds'!$C$2:$C$401,$C18))))</f>
      </c>
      <c r="P18" t="e">
        <f>IF($A18="","",IF(COUNTIFS('Player Rounds'!$A$2:$A$401,$A18,'Player Rounds'!$B$2:$B$401,$B18,'Player Rounds'!$J$2:$J$401,"&gt;0")=0,"",SIGN(_xlfn.MINIFS('Player Rounds'!$AD$2:$AD$401,'Player Rounds'!$A$2:$A$401,$A18,'Player Rounds'!$B$2:$B$401,$B18,'Player Rounds'!$C$2:$C$401,$D18)-_xlfn.MINIFS('Player Rounds'!$AD$2:$AD$401,'Player Rounds'!$A$2:$A$401,$A18,'Player Rounds'!$B$2:$B$401,$B18,'Player Rounds'!$C$2:$C$401,$C18))))</f>
      </c>
      <c r="Q18" t="e">
        <f>IF($A18="","",IF(COUNTIFS('Player Rounds'!$A$2:$A$401,$A18,'Player Rounds'!$B$2:$B$401,$B18,'Player Rounds'!$K$2:$K$401,"&gt;0")=0,"",SIGN(_xlfn.MINIFS('Player Rounds'!$AE$2:$AE$401,'Player Rounds'!$A$2:$A$401,$A18,'Player Rounds'!$B$2:$B$401,$B18,'Player Rounds'!$C$2:$C$401,$D18)-_xlfn.MINIFS('Player Rounds'!$AE$2:$AE$401,'Player Rounds'!$A$2:$A$401,$A18,'Player Rounds'!$B$2:$B$401,$B18,'Player Rounds'!$C$2:$C$401,$C18))))</f>
      </c>
      <c r="R18" t="e">
        <f>IF($A18="","",IF(COUNTIFS('Player Rounds'!$A$2:$A$401,$A18,'Player Rounds'!$B$2:$B$401,$B18,'Player Rounds'!$L$2:$L$401,"&gt;0")=0,"",SIGN(_xlfn.MINIFS('Player Rounds'!$AF$2:$AF$401,'Player Rounds'!$A$2:$A$401,$A18,'Player Rounds'!$B$2:$B$401,$B18,'Player Rounds'!$C$2:$C$401,$D18)-_xlfn.MINIFS('Player Rounds'!$AF$2:$AF$401,'Player Rounds'!$A$2:$A$401,$A18,'Player Rounds'!$B$2:$B$401,$B18,'Player Rounds'!$C$2:$C$401,$C18))))</f>
      </c>
      <c r="S18" t="e">
        <f>IF($A18="","",IF(COUNTIFS('Player Rounds'!$A$2:$A$401,$A18,'Player Rounds'!$B$2:$B$401,$B18,'Player Rounds'!$M$2:$M$401,"&gt;0")=0,"",SIGN(_xlfn.MINIFS('Player Rounds'!$AG$2:$AG$401,'Player Rounds'!$A$2:$A$401,$A18,'Player Rounds'!$B$2:$B$401,$B18,'Player Rounds'!$C$2:$C$401,$D18)-_xlfn.MINIFS('Player Rounds'!$AG$2:$AG$401,'Player Rounds'!$A$2:$A$401,$A18,'Player Rounds'!$B$2:$B$401,$B18,'Player Rounds'!$C$2:$C$401,$C18))))</f>
      </c>
      <c r="T18" t="e">
        <f>IF($A18="","",IF(COUNTIFS('Player Rounds'!$A$2:$A$401,$A18,'Player Rounds'!$B$2:$B$401,$B18,'Player Rounds'!$N$2:$N$401,"&gt;0")=0,"",SIGN(_xlfn.MINIFS('Player Rounds'!$AH$2:$AH$401,'Player Rounds'!$A$2:$A$401,$A18,'Player Rounds'!$B$2:$B$401,$B18,'Player Rounds'!$C$2:$C$401,$D18)-_xlfn.MINIFS('Player Rounds'!$AH$2:$AH$401,'Player Rounds'!$A$2:$A$401,$A18,'Player Rounds'!$B$2:$B$401,$B18,'Player Rounds'!$C$2:$C$401,$C18))))</f>
      </c>
      <c r="U18" t="e">
        <f>IF($A18="","",IF(COUNTIFS('Player Rounds'!$A$2:$A$401,$A18,'Player Rounds'!$B$2:$B$401,$B18,'Player Rounds'!$O$2:$O$401,"&gt;0")=0,"",SIGN(_xlfn.MINIFS('Player Rounds'!$AI$2:$AI$401,'Player Rounds'!$A$2:$A$401,$A18,'Player Rounds'!$B$2:$B$401,$B18,'Player Rounds'!$C$2:$C$401,$D18)-_xlfn.MINIFS('Player Rounds'!$AI$2:$AI$401,'Player Rounds'!$A$2:$A$401,$A18,'Player Rounds'!$B$2:$B$401,$B18,'Player Rounds'!$C$2:$C$401,$C18))))</f>
      </c>
      <c r="V18" t="e">
        <f>IF($A18="","",IF(COUNTIFS('Player Rounds'!$A$2:$A$401,$A18,'Player Rounds'!$B$2:$B$401,$B18,'Player Rounds'!$P$2:$P$401,"&gt;0")=0,"",SIGN(_xlfn.MINIFS('Player Rounds'!$AJ$2:$AJ$401,'Player Rounds'!$A$2:$A$401,$A18,'Player Rounds'!$B$2:$B$401,$B18,'Player Rounds'!$C$2:$C$401,$D18)-_xlfn.MINIFS('Player Rounds'!$AJ$2:$AJ$401,'Player Rounds'!$A$2:$A$401,$A18,'Player Rounds'!$B$2:$B$401,$B18,'Player Rounds'!$C$2:$C$401,$C18))))</f>
      </c>
      <c r="W18" t="e">
        <f>IF($A18="","",IF(COUNTIFS('Player Rounds'!$A$2:$A$401,$A18,'Player Rounds'!$B$2:$B$401,$B18,'Player Rounds'!$Q$2:$Q$401,"&gt;0")=0,"",SIGN(_xlfn.MINIFS('Player Rounds'!$AK$2:$AK$401,'Player Rounds'!$A$2:$A$401,$A18,'Player Rounds'!$B$2:$B$401,$B18,'Player Rounds'!$C$2:$C$401,$D18)-_xlfn.MINIFS('Player Rounds'!$AK$2:$AK$401,'Player Rounds'!$A$2:$A$401,$A18,'Player Rounds'!$B$2:$B$401,$B18,'Player Rounds'!$C$2:$C$401,$C18))))</f>
      </c>
      <c r="X18" t="e">
        <f>IF($A18="","",IF(COUNTIFS('Player Rounds'!$A$2:$A$401,$A18,'Player Rounds'!$B$2:$B$401,$B18,'Player Rounds'!$R$2:$R$401,"&gt;0")=0,"",SIGN(_xlfn.MINIFS('Player Rounds'!$AL$2:$AL$401,'Player Rounds'!$A$2:$A$401,$A18,'Player Rounds'!$B$2:$B$401,$B18,'Player Rounds'!$C$2:$C$401,$D18)-_xlfn.MINIFS('Player Rounds'!$AL$2:$AL$401,'Player Rounds'!$A$2:$A$401,$A18,'Player Rounds'!$B$2:$B$401,$B18,'Player Rounds'!$C$2:$C$401,$C18))))</f>
      </c>
      <c r="Y18" t="e">
        <f>IF($A18="","",IF(COUNTIFS('Player Rounds'!$A$2:$A$401,$A18,'Player Rounds'!$B$2:$B$401,$B18,'Player Rounds'!$S$2:$S$401,"&gt;0")=0,"",SIGN(_xlfn.MINIFS('Player Rounds'!$AM$2:$AM$401,'Player Rounds'!$A$2:$A$401,$A18,'Player Rounds'!$B$2:$B$401,$B18,'Player Rounds'!$C$2:$C$401,$D18)-_xlfn.MINIFS('Player Rounds'!$AM$2:$AM$401,'Player Rounds'!$A$2:$A$401,$A18,'Player Rounds'!$B$2:$B$401,$B18,'Player Rounds'!$C$2:$C$401,$C18))))</f>
      </c>
      <c r="Z18" t="e">
        <f>IF($A18="","",IF(COUNTIFS('Player Rounds'!$A$2:$A$401,$A18,'Player Rounds'!$B$2:$B$401,$B18,'Player Rounds'!$T$2:$T$401,"&gt;0")=0,"",SIGN(_xlfn.MINIFS('Player Rounds'!$AN$2:$AN$401,'Player Rounds'!$A$2:$A$401,$A18,'Player Rounds'!$B$2:$B$401,$B18,'Player Rounds'!$C$2:$C$401,$D18)-_xlfn.MINIFS('Player Rounds'!$AN$2:$AN$401,'Player Rounds'!$A$2:$A$401,$A18,'Player Rounds'!$B$2:$B$401,$B18,'Player Rounds'!$C$2:$C$401,$C18))))</f>
      </c>
      <c r="AA18" t="e">
        <f>IF($A18="","",IF(COUNTIFS('Player Rounds'!$A$2:$A$401,$A18,'Player Rounds'!$B$2:$B$401,$B18,'Player Rounds'!$U$2:$U$401,"&gt;0")=0,"",SIGN(_xlfn.MINIFS('Player Rounds'!$AO$2:$AO$401,'Player Rounds'!$A$2:$A$401,$A18,'Player Rounds'!$B$2:$B$401,$B18,'Player Rounds'!$C$2:$C$401,$D18)-_xlfn.MINIFS('Player Rounds'!$AO$2:$AO$401,'Player Rounds'!$A$2:$A$401,$A18,'Player Rounds'!$B$2:$B$401,$B18,'Player Rounds'!$C$2:$C$401,$C18))))</f>
      </c>
      <c r="AB18" t="e">
        <f>IF($A18="","",IF(COUNTIFS('Player Rounds'!$A$2:$A$401,$A18,'Player Rounds'!$B$2:$B$401,$B18,'Player Rounds'!$V$2:$V$401,"&gt;0")=0,"",SIGN(_xlfn.MINIFS('Player Rounds'!$AP$2:$AP$401,'Player Rounds'!$A$2:$A$401,$A18,'Player Rounds'!$B$2:$B$401,$B18,'Player Rounds'!$C$2:$C$401,$D18)-_xlfn.MINIFS('Player Rounds'!$AP$2:$AP$401,'Player Rounds'!$A$2:$A$401,$A18,'Player Rounds'!$B$2:$B$401,$B18,'Player Rounds'!$C$2:$C$401,$C18))))</f>
      </c>
      <c r="AC18" t="e">
        <f>IF($A18="","",IF(COUNTIFS('Player Rounds'!$A$2:$A$401,$A18,'Player Rounds'!$B$2:$B$401,$B18,'Player Rounds'!$W$2:$W$401,"&gt;0")=0,"",SIGN(_xlfn.MINIFS('Player Rounds'!$AQ$2:$AQ$401,'Player Rounds'!$A$2:$A$401,$A18,'Player Rounds'!$B$2:$B$401,$B18,'Player Rounds'!$C$2:$C$401,$D18)-_xlfn.MINIFS('Player Rounds'!$AQ$2:$AQ$401,'Player Rounds'!$A$2:$A$401,$A18,'Player Rounds'!$B$2:$B$401,$B18,'Player Rounds'!$C$2:$C$401,$C18))))</f>
      </c>
      <c r="AD18" t="e">
        <f>IF($A18="","",SUM($L18:L18))</f>
      </c>
      <c r="AE18" t="e">
        <f>IF($A18="","",SUM($L18:M18))</f>
      </c>
      <c r="AF18" t="e">
        <f>IF($A18="","",SUM($L18:N18))</f>
      </c>
      <c r="AG18" t="e">
        <f>IF($A18="","",SUM($L18:O18))</f>
      </c>
      <c r="AH18" t="e">
        <f>IF($A18="","",SUM($L18:P18))</f>
      </c>
      <c r="AI18" t="e">
        <f>IF($A18="","",SUM($L18:Q18))</f>
      </c>
      <c r="AJ18" t="e">
        <f>IF($A18="","",SUM($L18:R18))</f>
      </c>
      <c r="AK18" t="e">
        <f>IF($A18="","",SUM($L18:S18))</f>
      </c>
      <c r="AL18" t="e">
        <f>IF($A18="","",SUM($L18:T18))</f>
      </c>
      <c r="AM18" t="e">
        <f>IF($A18="","",SUM($L18:U18))</f>
      </c>
      <c r="AN18" t="e">
        <f>IF($A18="","",SUM($L18:V18))</f>
      </c>
      <c r="AO18" t="e">
        <f>IF($A18="","",SUM($L18:W18))</f>
      </c>
      <c r="AP18" t="e">
        <f>IF($A18="","",SUM($L18:X18))</f>
      </c>
      <c r="AQ18" t="e">
        <f>IF($A18="","",SUM($L18:Y18))</f>
      </c>
      <c r="AR18" t="e">
        <f>IF($A18="","",SUM($L18:Z18))</f>
      </c>
      <c r="AS18" t="e">
        <f>IF($A18="","",SUM($L18:AA18))</f>
      </c>
      <c r="AT18" t="e">
        <f>IF($A18="","",SUM($L18:AB18))</f>
      </c>
      <c r="AU18" t="e">
        <f>IF($A18="","",SUM($L18:AC18))</f>
      </c>
      <c r="AV18" t="e">
        <f>IF(OR($A18="",L18=""),"",IF(ABS(AD18)&gt;17,1,""))</f>
      </c>
      <c r="AW18" t="e">
        <f>IF(OR($A18="",M18=""),"",IF(ABS(AE18)&gt;16,2,""))</f>
      </c>
      <c r="AX18" t="e">
        <f>IF(OR($A18="",N18=""),"",IF(ABS(AF18)&gt;15,3,""))</f>
      </c>
      <c r="AY18" t="e">
        <f>IF(OR($A18="",O18=""),"",IF(ABS(AG18)&gt;14,4,""))</f>
      </c>
      <c r="AZ18" t="e">
        <f>IF(OR($A18="",P18=""),"",IF(ABS(AH18)&gt;13,5,""))</f>
      </c>
      <c r="BA18" t="e">
        <f>IF(OR($A18="",Q18=""),"",IF(ABS(AI18)&gt;12,6,""))</f>
      </c>
      <c r="BB18" t="e">
        <f>IF(OR($A18="",R18=""),"",IF(ABS(AJ18)&gt;11,7,""))</f>
      </c>
      <c r="BC18" t="e">
        <f>IF(OR($A18="",S18=""),"",IF(ABS(AK18)&gt;10,8,""))</f>
      </c>
      <c r="BD18" t="e">
        <f>IF(OR($A18="",T18=""),"",IF(ABS(AL18)&gt;9,9,""))</f>
      </c>
      <c r="BE18" t="e">
        <f>IF(OR($A18="",U18=""),"",IF(ABS(AM18)&gt;8,10,""))</f>
      </c>
      <c r="BF18" t="e">
        <f>IF(OR($A18="",V18=""),"",IF(ABS(AN18)&gt;7,11,""))</f>
      </c>
      <c r="BG18" t="e">
        <f>IF(OR($A18="",W18=""),"",IF(ABS(AO18)&gt;6,12,""))</f>
      </c>
      <c r="BH18" t="e">
        <f>IF(OR($A18="",X18=""),"",IF(ABS(AP18)&gt;5,13,""))</f>
      </c>
      <c r="BI18" t="e">
        <f>IF(OR($A18="",Y18=""),"",IF(ABS(AQ18)&gt;4,14,""))</f>
      </c>
      <c r="BJ18" t="e">
        <f>IF(OR($A18="",Z18=""),"",IF(ABS(AR18)&gt;3,15,""))</f>
      </c>
      <c r="BK18" t="e">
        <f>IF(OR($A18="",AA18=""),"",IF(ABS(AS18)&gt;2,16,""))</f>
      </c>
      <c r="BL18" t="e">
        <f>IF(OR($A18="",AB18=""),"",IF(ABS(AT18)&gt;1,17,""))</f>
      </c>
      <c r="BM18" t="e">
        <f>IF(OR($A18="",AC18=""),"",IF(ABS(AU18)&gt;0,18,""))</f>
      </c>
    </row>
    <row r="19">
      <c r="C19" t="str">
        <f>IF($A19="","",INDEX('Tournament Setup'!$J:$J,MATCH($A19,'Tournament Setup'!$A:$A,0)))</f>
        <v/>
      </c>
      <c r="D19" t="str">
        <f>IF($A19="","",INDEX('Tournament Setup'!$K:$K,MATCH($A19,'Tournament Setup'!$A:$A,0)))</f>
        <v/>
      </c>
      <c r="E19" t="str">
        <f>IF($A19="","",IF(COUNT(L19:AC19)=0,"Not played",IF(AND($K19&gt;0,$K19&lt;18),IF(INDEX(AD19:AU19,1,$K19)&gt;0,$C19,$D19)&amp;" "&amp;ABS(INDEX(AD19:AU19,1,$K19))&amp;"&amp;"&amp;(18-$K19),IF($J19=0,"Halved (AS)",IF($J19&gt;0,$C19,$D19)&amp;" "&amp;ABS($J19)&amp;" UP"))))</f>
        <v/>
      </c>
      <c r="F19" t="e">
        <f>IF(OR($A19="",COUNT(L19:AC19)=0),"",INDEX('Tournament Setup'!$I:$I,MATCH($A19,'Tournament Setup'!$A:$A,0))*IF(INDEX('Tournament Setup'!$H:$H,MATCH($A19,'Tournament Setup'!$A:$A,0))="Yes",IF($H19&gt;0,1,IF($H19=0,0.5,0))+IF($I19&gt;0,1,IF($I19=0,0.5,0))+IF($J19&gt;0,1,IF($J19=0,0.5,0)),IF(IF(AND($K19&gt;0,$K19&lt;18),INDEX(AD19:AU19,1,$K19),$J19)&gt;0,1,IF(IF(AND($K19&gt;0,$K19&lt;18),INDEX(AD19:AU19,1,$K19),$J19)=0,0.5,0))))</f>
      </c>
      <c r="G19" t="e">
        <f>IF(OR($A19="",COUNT(L19:AC19)=0),"",INDEX('Tournament Setup'!$I:$I,MATCH($A19,'Tournament Setup'!$A:$A,0))*IF(INDEX('Tournament Setup'!$H:$H,MATCH($A19,'Tournament Setup'!$A:$A,0))="Yes",IF($H19&lt;0,1,IF($H19=0,0.5,0))+IF($I19&lt;0,1,IF($I19=0,0.5,0))+IF($J19&lt;0,1,IF($J19=0,0.5,0)),IF(IF(AND($K19&gt;0,$K19&lt;18),INDEX(AD19:AU19,1,$K19),$J19)&lt;0,1,IF(IF(AND($K19&gt;0,$K19&lt;18),INDEX(AD19:AU19,1,$K19),$J19)=0,0.5,0))))</f>
      </c>
      <c r="H19" t="e">
        <f>IF($A19="","",SUM(L19:T19))</f>
      </c>
      <c r="I19" t="e">
        <f>IF($A19="","",SUM(U19:AC19))</f>
      </c>
      <c r="J19" t="e">
        <f>IF($A19="","",SUM(L19:AC19))</f>
      </c>
      <c r="K19" t="e">
        <f>IF($A19="","",MIN(AV19:BM19))</f>
      </c>
      <c r="L19" t="e">
        <f>IF($A19="","",IF(COUNTIFS('Player Rounds'!$A$2:$A$401,$A19,'Player Rounds'!$B$2:$B$401,$B19,'Player Rounds'!$F$2:$F$401,"&gt;0")=0,"",SIGN(_xlfn.MINIFS('Player Rounds'!$Z$2:$Z$401,'Player Rounds'!$A$2:$A$401,$A19,'Player Rounds'!$B$2:$B$401,$B19,'Player Rounds'!$C$2:$C$401,$D19)-_xlfn.MINIFS('Player Rounds'!$Z$2:$Z$401,'Player Rounds'!$A$2:$A$401,$A19,'Player Rounds'!$B$2:$B$401,$B19,'Player Rounds'!$C$2:$C$401,$C19))))</f>
      </c>
      <c r="M19" t="e">
        <f>IF($A19="","",IF(COUNTIFS('Player Rounds'!$A$2:$A$401,$A19,'Player Rounds'!$B$2:$B$401,$B19,'Player Rounds'!$G$2:$G$401,"&gt;0")=0,"",SIGN(_xlfn.MINIFS('Player Rounds'!$AA$2:$AA$401,'Player Rounds'!$A$2:$A$401,$A19,'Player Rounds'!$B$2:$B$401,$B19,'Player Rounds'!$C$2:$C$401,$D19)-_xlfn.MINIFS('Player Rounds'!$AA$2:$AA$401,'Player Rounds'!$A$2:$A$401,$A19,'Player Rounds'!$B$2:$B$401,$B19,'Player Rounds'!$C$2:$C$401,$C19))))</f>
      </c>
      <c r="N19" t="e">
        <f>IF($A19="","",IF(COUNTIFS('Player Rounds'!$A$2:$A$401,$A19,'Player Rounds'!$B$2:$B$401,$B19,'Player Rounds'!$H$2:$H$401,"&gt;0")=0,"",SIGN(_xlfn.MINIFS('Player Rounds'!$AB$2:$AB$401,'Player Rounds'!$A$2:$A$401,$A19,'Player Rounds'!$B$2:$B$401,$B19,'Player Rounds'!$C$2:$C$401,$D19)-_xlfn.MINIFS('Player Rounds'!$AB$2:$AB$401,'Player Rounds'!$A$2:$A$401,$A19,'Player Rounds'!$B$2:$B$401,$B19,'Player Rounds'!$C$2:$C$401,$C19))))</f>
      </c>
      <c r="O19" t="e">
        <f>IF($A19="","",IF(COUNTIFS('Player Rounds'!$A$2:$A$401,$A19,'Player Rounds'!$B$2:$B$401,$B19,'Player Rounds'!$I$2:$I$401,"&gt;0")=0,"",SIGN(_xlfn.MINIFS('Player Rounds'!$AC$2:$AC$401,'Player Rounds'!$A$2:$A$401,$A19,'Player Rounds'!$B$2:$B$401,$B19,'Player Rounds'!$C$2:$C$401,$D19)-_xlfn.MINIFS('Player Rounds'!$AC$2:$AC$401,'Player Rounds'!$A$2:$A$401,$A19,'Player Rounds'!$B$2:$B$401,$B19,'Player Rounds'!$C$2:$C$401,$C19))))</f>
      </c>
      <c r="P19" t="e">
        <f>IF($A19="","",IF(COUNTIFS('Player Rounds'!$A$2:$A$401,$A19,'Player Rounds'!$B$2:$B$401,$B19,'Player Rounds'!$J$2:$J$401,"&gt;0")=0,"",SIGN(_xlfn.MINIFS('Player Rounds'!$AD$2:$AD$401,'Player Rounds'!$A$2:$A$401,$A19,'Player Rounds'!$B$2:$B$401,$B19,'Player Rounds'!$C$2:$C$401,$D19)-_xlfn.MINIFS('Player Rounds'!$AD$2:$AD$401,'Player Rounds'!$A$2:$A$401,$A19,'Player Rounds'!$B$2:$B$401,$B19,'Player Rounds'!$C$2:$C$401,$C19))))</f>
      </c>
      <c r="Q19" t="e">
        <f>IF($A19="","",IF(COUNTIFS('Player Rounds'!$A$2:$A$401,$A19,'Player Rounds'!$B$2:$B$401,$B19,'Player Rounds'!$K$2:$K$401,"&gt;0")=0,"",SIGN(_xlfn.MINIFS('Player Rounds'!$AE$2:$AE$401,'Player Rounds'!$A$2:$A$401,$A19,'Player Rounds'!$B$2:$B$401,$B19,'Player Rounds'!$C$2:$C$401,$D19)-_xlfn.MINIFS('Player Rounds'!$AE$2:$AE$401,'Player Rounds'!$A$2:$A$401,$A19,'Player Rounds'!$B$2:$B$401,$B19,'Player Rounds'!$C$2:$C$401,$C19))))</f>
      </c>
      <c r="R19" t="e">
        <f>IF($A19="","",IF(COUNTIFS('Player Rounds'!$A$2:$A$401,$A19,'Player Rounds'!$B$2:$B$401,$B19,'Player Rounds'!$L$2:$L$401,"&gt;0")=0,"",SIGN(_xlfn.MINIFS('Player Rounds'!$AF$2:$AF$401,'Player Rounds'!$A$2:$A$401,$A19,'Player Rounds'!$B$2:$B$401,$B19,'Player Rounds'!$C$2:$C$401,$D19)-_xlfn.MINIFS('Player Rounds'!$AF$2:$AF$401,'Player Rounds'!$A$2:$A$401,$A19,'Player Rounds'!$B$2:$B$401,$B19,'Player Rounds'!$C$2:$C$401,$C19))))</f>
      </c>
      <c r="S19" t="e">
        <f>IF($A19="","",IF(COUNTIFS('Player Rounds'!$A$2:$A$401,$A19,'Player Rounds'!$B$2:$B$401,$B19,'Player Rounds'!$M$2:$M$401,"&gt;0")=0,"",SIGN(_xlfn.MINIFS('Player Rounds'!$AG$2:$AG$401,'Player Rounds'!$A$2:$A$401,$A19,'Player Rounds'!$B$2:$B$401,$B19,'Player Rounds'!$C$2:$C$401,$D19)-_xlfn.MINIFS('Player Rounds'!$AG$2:$AG$401,'Player Rounds'!$A$2:$A$401,$A19,'Player Rounds'!$B$2:$B$401,$B19,'Player Rounds'!$C$2:$C$401,$C19))))</f>
      </c>
      <c r="T19" t="e">
        <f>IF($A19="","",IF(COUNTIFS('Player Rounds'!$A$2:$A$401,$A19,'Player Rounds'!$B$2:$B$401,$B19,'Player Rounds'!$N$2:$N$401,"&gt;0")=0,"",SIGN(_xlfn.MINIFS('Player Rounds'!$AH$2:$AH$401,'Player Rounds'!$A$2:$A$401,$A19,'Player Rounds'!$B$2:$B$401,$B19,'Player Rounds'!$C$2:$C$401,$D19)-_xlfn.MINIFS('Player Rounds'!$AH$2:$AH$401,'Player Rounds'!$A$2:$A$401,$A19,'Player Rounds'!$B$2:$B$401,$B19,'Player Rounds'!$C$2:$C$401,$C19))))</f>
      </c>
      <c r="U19" t="e">
        <f>IF($A19="","",IF(COUNTIFS('Player Rounds'!$A$2:$A$401,$A19,'Player Rounds'!$B$2:$B$401,$B19,'Player Rounds'!$O$2:$O$401,"&gt;0")=0,"",SIGN(_xlfn.MINIFS('Player Rounds'!$AI$2:$AI$401,'Player Rounds'!$A$2:$A$401,$A19,'Player Rounds'!$B$2:$B$401,$B19,'Player Rounds'!$C$2:$C$401,$D19)-_xlfn.MINIFS('Player Rounds'!$AI$2:$AI$401,'Player Rounds'!$A$2:$A$401,$A19,'Player Rounds'!$B$2:$B$401,$B19,'Player Rounds'!$C$2:$C$401,$C19))))</f>
      </c>
      <c r="V19" t="e">
        <f>IF($A19="","",IF(COUNTIFS('Player Rounds'!$A$2:$A$401,$A19,'Player Rounds'!$B$2:$B$401,$B19,'Player Rounds'!$P$2:$P$401,"&gt;0")=0,"",SIGN(_xlfn.MINIFS('Player Rounds'!$AJ$2:$AJ$401,'Player Rounds'!$A$2:$A$401,$A19,'Player Rounds'!$B$2:$B$401,$B19,'Player Rounds'!$C$2:$C$401,$D19)-_xlfn.MINIFS('Player Rounds'!$AJ$2:$AJ$401,'Player Rounds'!$A$2:$A$401,$A19,'Player Rounds'!$B$2:$B$401,$B19,'Player Rounds'!$C$2:$C$401,$C19))))</f>
      </c>
      <c r="W19" t="e">
        <f>IF($A19="","",IF(COUNTIFS('Player Rounds'!$A$2:$A$401,$A19,'Player Rounds'!$B$2:$B$401,$B19,'Player Rounds'!$Q$2:$Q$401,"&gt;0")=0,"",SIGN(_xlfn.MINIFS('Player Rounds'!$AK$2:$AK$401,'Player Rounds'!$A$2:$A$401,$A19,'Player Rounds'!$B$2:$B$401,$B19,'Player Rounds'!$C$2:$C$401,$D19)-_xlfn.MINIFS('Player Rounds'!$AK$2:$AK$401,'Player Rounds'!$A$2:$A$401,$A19,'Player Rounds'!$B$2:$B$401,$B19,'Player Rounds'!$C$2:$C$401,$C19))))</f>
      </c>
      <c r="X19" t="e">
        <f>IF($A19="","",IF(COUNTIFS('Player Rounds'!$A$2:$A$401,$A19,'Player Rounds'!$B$2:$B$401,$B19,'Player Rounds'!$R$2:$R$401,"&gt;0")=0,"",SIGN(_xlfn.MINIFS('Player Rounds'!$AL$2:$AL$401,'Player Rounds'!$A$2:$A$401,$A19,'Player Rounds'!$B$2:$B$401,$B19,'Player Rounds'!$C$2:$C$401,$D19)-_xlfn.MINIFS('Player Rounds'!$AL$2:$AL$401,'Player Rounds'!$A$2:$A$401,$A19,'Player Rounds'!$B$2:$B$401,$B19,'Player Rounds'!$C$2:$C$401,$C19))))</f>
      </c>
      <c r="Y19" t="e">
        <f>IF($A19="","",IF(COUNTIFS('Player Rounds'!$A$2:$A$401,$A19,'Player Rounds'!$B$2:$B$401,$B19,'Player Rounds'!$S$2:$S$401,"&gt;0")=0,"",SIGN(_xlfn.MINIFS('Player Rounds'!$AM$2:$AM$401,'Player Rounds'!$A$2:$A$401,$A19,'Player Rounds'!$B$2:$B$401,$B19,'Player Rounds'!$C$2:$C$401,$D19)-_xlfn.MINIFS('Player Rounds'!$AM$2:$AM$401,'Player Rounds'!$A$2:$A$401,$A19,'Player Rounds'!$B$2:$B$401,$B19,'Player Rounds'!$C$2:$C$401,$C19))))</f>
      </c>
      <c r="Z19" t="e">
        <f>IF($A19="","",IF(COUNTIFS('Player Rounds'!$A$2:$A$401,$A19,'Player Rounds'!$B$2:$B$401,$B19,'Player Rounds'!$T$2:$T$401,"&gt;0")=0,"",SIGN(_xlfn.MINIFS('Player Rounds'!$AN$2:$AN$401,'Player Rounds'!$A$2:$A$401,$A19,'Player Rounds'!$B$2:$B$401,$B19,'Player Rounds'!$C$2:$C$401,$D19)-_xlfn.MINIFS('Player Rounds'!$AN$2:$AN$401,'Player Rounds'!$A$2:$A$401,$A19,'Player Rounds'!$B$2:$B$401,$B19,'Player Rounds'!$C$2:$C$401,$C19))))</f>
      </c>
      <c r="AA19" t="e">
        <f>IF($A19="","",IF(COUNTIFS('Player Rounds'!$A$2:$A$401,$A19,'Player Rounds'!$B$2:$B$401,$B19,'Player Rounds'!$U$2:$U$401,"&gt;0")=0,"",SIGN(_xlfn.MINIFS('Player Rounds'!$AO$2:$AO$401,'Player Rounds'!$A$2:$A$401,$A19,'Player Rounds'!$B$2:$B$401,$B19,'Player Rounds'!$C$2:$C$401,$D19)-_xlfn.MINIFS('Player Rounds'!$AO$2:$AO$401,'Player Rounds'!$A$2:$A$401,$A19,'Player Rounds'!$B$2:$B$401,$B19,'Player Rounds'!$C$2:$C$401,$C19))))</f>
      </c>
      <c r="AB19" t="e">
        <f>IF($A19="","",IF(COUNTIFS('Player Rounds'!$A$2:$A$401,$A19,'Player Rounds'!$B$2:$B$401,$B19,'Player Rounds'!$V$2:$V$401,"&gt;0")=0,"",SIGN(_xlfn.MINIFS('Player Rounds'!$AP$2:$AP$401,'Player Rounds'!$A$2:$A$401,$A19,'Player Rounds'!$B$2:$B$401,$B19,'Player Rounds'!$C$2:$C$401,$D19)-_xlfn.MINIFS('Player Rounds'!$AP$2:$AP$401,'Player Rounds'!$A$2:$A$401,$A19,'Player Rounds'!$B$2:$B$401,$B19,'Player Rounds'!$C$2:$C$401,$C19))))</f>
      </c>
      <c r="AC19" t="e">
        <f>IF($A19="","",IF(COUNTIFS('Player Rounds'!$A$2:$A$401,$A19,'Player Rounds'!$B$2:$B$401,$B19,'Player Rounds'!$W$2:$W$401,"&gt;0")=0,"",SIGN(_xlfn.MINIFS('Player Rounds'!$AQ$2:$AQ$401,'Player Rounds'!$A$2:$A$401,$A19,'Player Rounds'!$B$2:$B$401,$B19,'Player Rounds'!$C$2:$C$401,$D19)-_xlfn.MINIFS('Player Rounds'!$AQ$2:$AQ$401,'Player Rounds'!$A$2:$A$401,$A19,'Player Rounds'!$B$2:$B$401,$B19,'Player Rounds'!$C$2:$C$401,$C19))))</f>
      </c>
      <c r="AD19" t="e">
        <f>IF($A19="","",SUM($L19:L19))</f>
      </c>
      <c r="AE19" t="e">
        <f>IF($A19="","",SUM($L19:M19))</f>
      </c>
      <c r="AF19" t="e">
        <f>IF($A19="","",SUM($L19:N19))</f>
      </c>
      <c r="AG19" t="e">
        <f>IF($A19="","",SUM($L19:O19))</f>
      </c>
      <c r="AH19" t="e">
        <f>IF($A19="","",SUM($L19:P19))</f>
      </c>
      <c r="AI19" t="e">
        <f>IF($A19="","",SUM($L19:Q19))</f>
      </c>
      <c r="AJ19" t="e">
        <f>IF($A19="","",SUM($L19:R19))</f>
      </c>
      <c r="AK19" t="e">
        <f>IF($A19="","",SUM($L19:S19))</f>
      </c>
      <c r="AL19" t="e">
        <f>IF($A19="","",SUM($L19:T19))</f>
      </c>
      <c r="AM19" t="e">
        <f>IF($A19="","",SUM($L19:U19))</f>
      </c>
      <c r="AN19" t="e">
        <f>IF($A19="","",SUM($L19:V19))</f>
      </c>
      <c r="AO19" t="e">
        <f>IF($A19="","",SUM($L19:W19))</f>
      </c>
      <c r="AP19" t="e">
        <f>IF($A19="","",SUM($L19:X19))</f>
      </c>
      <c r="AQ19" t="e">
        <f>IF($A19="","",SUM($L19:Y19))</f>
      </c>
      <c r="AR19" t="e">
        <f>IF($A19="","",SUM($L19:Z19))</f>
      </c>
      <c r="AS19" t="e">
        <f>IF($A19="","",SUM($L19:AA19))</f>
      </c>
      <c r="AT19" t="e">
        <f>IF($A19="","",SUM($L19:AB19))</f>
      </c>
      <c r="AU19" t="e">
        <f>IF($A19="","",SUM($L19:AC19))</f>
      </c>
      <c r="AV19" t="e">
        <f>IF(OR($A19="",L19=""),"",IF(ABS(AD19)&gt;17,1,""))</f>
      </c>
      <c r="AW19" t="e">
        <f>IF(OR($A19="",M19=""),"",IF(ABS(AE19)&gt;16,2,""))</f>
      </c>
      <c r="AX19" t="e">
        <f>IF(OR($A19="",N19=""),"",IF(ABS(AF19)&gt;15,3,""))</f>
      </c>
      <c r="AY19" t="e">
        <f>IF(OR($A19="",O19=""),"",IF(ABS(AG19)&gt;14,4,""))</f>
      </c>
      <c r="AZ19" t="e">
        <f>IF(OR($A19="",P19=""),"",IF(ABS(AH19)&gt;13,5,""))</f>
      </c>
      <c r="BA19" t="e">
        <f>IF(OR($A19="",Q19=""),"",IF(ABS(AI19)&gt;12,6,""))</f>
      </c>
      <c r="BB19" t="e">
        <f>IF(OR($A19="",R19=""),"",IF(ABS(AJ19)&gt;11,7,""))</f>
      </c>
      <c r="BC19" t="e">
        <f>IF(OR($A19="",S19=""),"",IF(ABS(AK19)&gt;10,8,""))</f>
      </c>
      <c r="BD19" t="e">
        <f>IF(OR($A19="",T19=""),"",IF(ABS(AL19)&gt;9,9,""))</f>
      </c>
      <c r="BE19" t="e">
        <f>IF(OR($A19="",U19=""),"",IF(ABS(AM19)&gt;8,10,""))</f>
      </c>
      <c r="BF19" t="e">
        <f>IF(OR($A19="",V19=""),"",IF(ABS(AN19)&gt;7,11,""))</f>
      </c>
      <c r="BG19" t="e">
        <f>IF(OR($A19="",W19=""),"",IF(ABS(AO19)&gt;6,12,""))</f>
      </c>
      <c r="BH19" t="e">
        <f>IF(OR($A19="",X19=""),"",IF(ABS(AP19)&gt;5,13,""))</f>
      </c>
      <c r="BI19" t="e">
        <f>IF(OR($A19="",Y19=""),"",IF(ABS(AQ19)&gt;4,14,""))</f>
      </c>
      <c r="BJ19" t="e">
        <f>IF(OR($A19="",Z19=""),"",IF(ABS(AR19)&gt;3,15,""))</f>
      </c>
      <c r="BK19" t="e">
        <f>IF(OR($A19="",AA19=""),"",IF(ABS(AS19)&gt;2,16,""))</f>
      </c>
      <c r="BL19" t="e">
        <f>IF(OR($A19="",AB19=""),"",IF(ABS(AT19)&gt;1,17,""))</f>
      </c>
      <c r="BM19" t="e">
        <f>IF(OR($A19="",AC19=""),"",IF(ABS(AU19)&gt;0,18,""))</f>
      </c>
    </row>
    <row r="20">
      <c r="C20" t="str">
        <f>IF($A20="","",INDEX('Tournament Setup'!$J:$J,MATCH($A20,'Tournament Setup'!$A:$A,0)))</f>
        <v/>
      </c>
      <c r="D20" t="str">
        <f>IF($A20="","",INDEX('Tournament Setup'!$K:$K,MATCH($A20,'Tournament Setup'!$A:$A,0)))</f>
        <v/>
      </c>
      <c r="E20" t="str">
        <f>IF($A20="","",IF(COUNT(L20:AC20)=0,"Not played",IF(AND($K20&gt;0,$K20&lt;18),IF(INDEX(AD20:AU20,1,$K20)&gt;0,$C20,$D20)&amp;" "&amp;ABS(INDEX(AD20:AU20,1,$K20))&amp;"&amp;"&amp;(18-$K20),IF($J20=0,"Halved (AS)",IF($J20&gt;0,$C20,$D20)&amp;" "&amp;ABS($J20)&amp;" UP"))))</f>
        <v/>
      </c>
      <c r="F20" t="e">
        <f>IF(OR($A20="",COUNT(L20:AC20)=0),"",INDEX('Tournament Setup'!$I:$I,MATCH($A20,'Tournament Setup'!$A:$A,0))*IF(INDEX('Tournament Setup'!$H:$H,MATCH($A20,'Tournament Setup'!$A:$A,0))="Yes",IF($H20&gt;0,1,IF($H20=0,0.5,0))+IF($I20&gt;0,1,IF($I20=0,0.5,0))+IF($J20&gt;0,1,IF($J20=0,0.5,0)),IF(IF(AND($K20&gt;0,$K20&lt;18),INDEX(AD20:AU20,1,$K20),$J20)&gt;0,1,IF(IF(AND($K20&gt;0,$K20&lt;18),INDEX(AD20:AU20,1,$K20),$J20)=0,0.5,0))))</f>
      </c>
      <c r="G20" t="e">
        <f>IF(OR($A20="",COUNT(L20:AC20)=0),"",INDEX('Tournament Setup'!$I:$I,MATCH($A20,'Tournament Setup'!$A:$A,0))*IF(INDEX('Tournament Setup'!$H:$H,MATCH($A20,'Tournament Setup'!$A:$A,0))="Yes",IF($H20&lt;0,1,IF($H20=0,0.5,0))+IF($I20&lt;0,1,IF($I20=0,0.5,0))+IF($J20&lt;0,1,IF($J20=0,0.5,0)),IF(IF(AND($K20&gt;0,$K20&lt;18),INDEX(AD20:AU20,1,$K20),$J20)&lt;0,1,IF(IF(AND($K20&gt;0,$K20&lt;18),INDEX(AD20:AU20,1,$K20),$J20)=0,0.5,0))))</f>
      </c>
      <c r="H20" t="e">
        <f>IF($A20="","",SUM(L20:T20))</f>
      </c>
      <c r="I20" t="e">
        <f>IF($A20="","",SUM(U20:AC20))</f>
      </c>
      <c r="J20" t="e">
        <f>IF($A20="","",SUM(L20:AC20))</f>
      </c>
      <c r="K20" t="e">
        <f>IF($A20="","",MIN(AV20:BM20))</f>
      </c>
      <c r="L20" t="e">
        <f>IF($A20="","",IF(COUNTIFS('Player Rounds'!$A$2:$A$401,$A20,'Player Rounds'!$B$2:$B$401,$B20,'Player Rounds'!$F$2:$F$401,"&gt;0")=0,"",SIGN(_xlfn.MINIFS('Player Rounds'!$Z$2:$Z$401,'Player Rounds'!$A$2:$A$401,$A20,'Player Rounds'!$B$2:$B$401,$B20,'Player Rounds'!$C$2:$C$401,$D20)-_xlfn.MINIFS('Player Rounds'!$Z$2:$Z$401,'Player Rounds'!$A$2:$A$401,$A20,'Player Rounds'!$B$2:$B$401,$B20,'Player Rounds'!$C$2:$C$401,$C20))))</f>
      </c>
      <c r="M20" t="e">
        <f>IF($A20="","",IF(COUNTIFS('Player Rounds'!$A$2:$A$401,$A20,'Player Rounds'!$B$2:$B$401,$B20,'Player Rounds'!$G$2:$G$401,"&gt;0")=0,"",SIGN(_xlfn.MINIFS('Player Rounds'!$AA$2:$AA$401,'Player Rounds'!$A$2:$A$401,$A20,'Player Rounds'!$B$2:$B$401,$B20,'Player Rounds'!$C$2:$C$401,$D20)-_xlfn.MINIFS('Player Rounds'!$AA$2:$AA$401,'Player Rounds'!$A$2:$A$401,$A20,'Player Rounds'!$B$2:$B$401,$B20,'Player Rounds'!$C$2:$C$401,$C20))))</f>
      </c>
      <c r="N20" t="e">
        <f>IF($A20="","",IF(COUNTIFS('Player Rounds'!$A$2:$A$401,$A20,'Player Rounds'!$B$2:$B$401,$B20,'Player Rounds'!$H$2:$H$401,"&gt;0")=0,"",SIGN(_xlfn.MINIFS('Player Rounds'!$AB$2:$AB$401,'Player Rounds'!$A$2:$A$401,$A20,'Player Rounds'!$B$2:$B$401,$B20,'Player Rounds'!$C$2:$C$401,$D20)-_xlfn.MINIFS('Player Rounds'!$AB$2:$AB$401,'Player Rounds'!$A$2:$A$401,$A20,'Player Rounds'!$B$2:$B$401,$B20,'Player Rounds'!$C$2:$C$401,$C20))))</f>
      </c>
      <c r="O20" t="e">
        <f>IF($A20="","",IF(COUNTIFS('Player Rounds'!$A$2:$A$401,$A20,'Player Rounds'!$B$2:$B$401,$B20,'Player Rounds'!$I$2:$I$401,"&gt;0")=0,"",SIGN(_xlfn.MINIFS('Player Rounds'!$AC$2:$AC$401,'Player Rounds'!$A$2:$A$401,$A20,'Player Rounds'!$B$2:$B$401,$B20,'Player Rounds'!$C$2:$C$401,$D20)-_xlfn.MINIFS('Player Rounds'!$AC$2:$AC$401,'Player Rounds'!$A$2:$A$401,$A20,'Player Rounds'!$B$2:$B$401,$B20,'Player Rounds'!$C$2:$C$401,$C20))))</f>
      </c>
      <c r="P20" t="e">
        <f>IF($A20="","",IF(COUNTIFS('Player Rounds'!$A$2:$A$401,$A20,'Player Rounds'!$B$2:$B$401,$B20,'Player Rounds'!$J$2:$J$401,"&gt;0")=0,"",SIGN(_xlfn.MINIFS('Player Rounds'!$AD$2:$AD$401,'Player Rounds'!$A$2:$A$401,$A20,'Player Rounds'!$B$2:$B$401,$B20,'Player Rounds'!$C$2:$C$401,$D20)-_xlfn.MINIFS('Player Rounds'!$AD$2:$AD$401,'Player Rounds'!$A$2:$A$401,$A20,'Player Rounds'!$B$2:$B$401,$B20,'Player Rounds'!$C$2:$C$401,$C20))))</f>
      </c>
      <c r="Q20" t="e">
        <f>IF($A20="","",IF(COUNTIFS('Player Rounds'!$A$2:$A$401,$A20,'Player Rounds'!$B$2:$B$401,$B20,'Player Rounds'!$K$2:$K$401,"&gt;0")=0,"",SIGN(_xlfn.MINIFS('Player Rounds'!$AE$2:$AE$401,'Player Rounds'!$A$2:$A$401,$A20,'Player Rounds'!$B$2:$B$401,$B20,'Player Rounds'!$C$2:$C$401,$D20)-_xlfn.MINIFS('Player Rounds'!$AE$2:$AE$401,'Player Rounds'!$A$2:$A$401,$A20,'Player Rounds'!$B$2:$B$401,$B20,'Player Rounds'!$C$2:$C$401,$C20))))</f>
      </c>
      <c r="R20" t="e">
        <f>IF($A20="","",IF(COUNTIFS('Player Rounds'!$A$2:$A$401,$A20,'Player Rounds'!$B$2:$B$401,$B20,'Player Rounds'!$L$2:$L$401,"&gt;0")=0,"",SIGN(_xlfn.MINIFS('Player Rounds'!$AF$2:$AF$401,'Player Rounds'!$A$2:$A$401,$A20,'Player Rounds'!$B$2:$B$401,$B20,'Player Rounds'!$C$2:$C$401,$D20)-_xlfn.MINIFS('Player Rounds'!$AF$2:$AF$401,'Player Rounds'!$A$2:$A$401,$A20,'Player Rounds'!$B$2:$B$401,$B20,'Player Rounds'!$C$2:$C$401,$C20))))</f>
      </c>
      <c r="S20" t="e">
        <f>IF($A20="","",IF(COUNTIFS('Player Rounds'!$A$2:$A$401,$A20,'Player Rounds'!$B$2:$B$401,$B20,'Player Rounds'!$M$2:$M$401,"&gt;0")=0,"",SIGN(_xlfn.MINIFS('Player Rounds'!$AG$2:$AG$401,'Player Rounds'!$A$2:$A$401,$A20,'Player Rounds'!$B$2:$B$401,$B20,'Player Rounds'!$C$2:$C$401,$D20)-_xlfn.MINIFS('Player Rounds'!$AG$2:$AG$401,'Player Rounds'!$A$2:$A$401,$A20,'Player Rounds'!$B$2:$B$401,$B20,'Player Rounds'!$C$2:$C$401,$C20))))</f>
      </c>
      <c r="T20" t="e">
        <f>IF($A20="","",IF(COUNTIFS('Player Rounds'!$A$2:$A$401,$A20,'Player Rounds'!$B$2:$B$401,$B20,'Player Rounds'!$N$2:$N$401,"&gt;0")=0,"",SIGN(_xlfn.MINIFS('Player Rounds'!$AH$2:$AH$401,'Player Rounds'!$A$2:$A$401,$A20,'Player Rounds'!$B$2:$B$401,$B20,'Player Rounds'!$C$2:$C$401,$D20)-_xlfn.MINIFS('Player Rounds'!$AH$2:$AH$401,'Player Rounds'!$A$2:$A$401,$A20,'Player Rounds'!$B$2:$B$401,$B20,'Player Rounds'!$C$2:$C$401,$C20))))</f>
      </c>
      <c r="U20" t="e">
        <f>IF($A20="","",IF(COUNTIFS('Player Rounds'!$A$2:$A$401,$A20,'Player Rounds'!$B$2:$B$401,$B20,'Player Rounds'!$O$2:$O$401,"&gt;0")=0,"",SIGN(_xlfn.MINIFS('Player Rounds'!$AI$2:$AI$401,'Player Rounds'!$A$2:$A$401,$A20,'Player Rounds'!$B$2:$B$401,$B20,'Player Rounds'!$C$2:$C$401,$D20)-_xlfn.MINIFS('Player Rounds'!$AI$2:$AI$401,'Player Rounds'!$A$2:$A$401,$A20,'Player Rounds'!$B$2:$B$401,$B20,'Player Rounds'!$C$2:$C$401,$C20))))</f>
      </c>
      <c r="V20" t="e">
        <f>IF($A20="","",IF(COUNTIFS('Player Rounds'!$A$2:$A$401,$A20,'Player Rounds'!$B$2:$B$401,$B20,'Player Rounds'!$P$2:$P$401,"&gt;0")=0,"",SIGN(_xlfn.MINIFS('Player Rounds'!$AJ$2:$AJ$401,'Player Rounds'!$A$2:$A$401,$A20,'Player Rounds'!$B$2:$B$401,$B20,'Player Rounds'!$C$2:$C$401,$D20)-_xlfn.MINIFS('Player Rounds'!$AJ$2:$AJ$401,'Player Rounds'!$A$2:$A$401,$A20,'Player Rounds'!$B$2:$B$401,$B20,'Player Rounds'!$C$2:$C$401,$C20))))</f>
      </c>
      <c r="W20" t="e">
        <f>IF($A20="","",IF(COUNTIFS('Player Rounds'!$A$2:$A$401,$A20,'Player Rounds'!$B$2:$B$401,$B20,'Player Rounds'!$Q$2:$Q$401,"&gt;0")=0,"",SIGN(_xlfn.MINIFS('Player Rounds'!$AK$2:$AK$401,'Player Rounds'!$A$2:$A$401,$A20,'Player Rounds'!$B$2:$B$401,$B20,'Player Rounds'!$C$2:$C$401,$D20)-_xlfn.MINIFS('Player Rounds'!$AK$2:$AK$401,'Player Rounds'!$A$2:$A$401,$A20,'Player Rounds'!$B$2:$B$401,$B20,'Player Rounds'!$C$2:$C$401,$C20))))</f>
      </c>
      <c r="X20" t="e">
        <f>IF($A20="","",IF(COUNTIFS('Player Rounds'!$A$2:$A$401,$A20,'Player Rounds'!$B$2:$B$401,$B20,'Player Rounds'!$R$2:$R$401,"&gt;0")=0,"",SIGN(_xlfn.MINIFS('Player Rounds'!$AL$2:$AL$401,'Player Rounds'!$A$2:$A$401,$A20,'Player Rounds'!$B$2:$B$401,$B20,'Player Rounds'!$C$2:$C$401,$D20)-_xlfn.MINIFS('Player Rounds'!$AL$2:$AL$401,'Player Rounds'!$A$2:$A$401,$A20,'Player Rounds'!$B$2:$B$401,$B20,'Player Rounds'!$C$2:$C$401,$C20))))</f>
      </c>
      <c r="Y20" t="e">
        <f>IF($A20="","",IF(COUNTIFS('Player Rounds'!$A$2:$A$401,$A20,'Player Rounds'!$B$2:$B$401,$B20,'Player Rounds'!$S$2:$S$401,"&gt;0")=0,"",SIGN(_xlfn.MINIFS('Player Rounds'!$AM$2:$AM$401,'Player Rounds'!$A$2:$A$401,$A20,'Player Rounds'!$B$2:$B$401,$B20,'Player Rounds'!$C$2:$C$401,$D20)-_xlfn.MINIFS('Player Rounds'!$AM$2:$AM$401,'Player Rounds'!$A$2:$A$401,$A20,'Player Rounds'!$B$2:$B$401,$B20,'Player Rounds'!$C$2:$C$401,$C20))))</f>
      </c>
      <c r="Z20" t="e">
        <f>IF($A20="","",IF(COUNTIFS('Player Rounds'!$A$2:$A$401,$A20,'Player Rounds'!$B$2:$B$401,$B20,'Player Rounds'!$T$2:$T$401,"&gt;0")=0,"",SIGN(_xlfn.MINIFS('Player Rounds'!$AN$2:$AN$401,'Player Rounds'!$A$2:$A$401,$A20,'Player Rounds'!$B$2:$B$401,$B20,'Player Rounds'!$C$2:$C$401,$D20)-_xlfn.MINIFS('Player Rounds'!$AN$2:$AN$401,'Player Rounds'!$A$2:$A$401,$A20,'Player Rounds'!$B$2:$B$401,$B20,'Player Rounds'!$C$2:$C$401,$C20))))</f>
      </c>
      <c r="AA20" t="e">
        <f>IF($A20="","",IF(COUNTIFS('Player Rounds'!$A$2:$A$401,$A20,'Player Rounds'!$B$2:$B$401,$B20,'Player Rounds'!$U$2:$U$401,"&gt;0")=0,"",SIGN(_xlfn.MINIFS('Player Rounds'!$AO$2:$AO$401,'Player Rounds'!$A$2:$A$401,$A20,'Player Rounds'!$B$2:$B$401,$B20,'Player Rounds'!$C$2:$C$401,$D20)-_xlfn.MINIFS('Player Rounds'!$AO$2:$AO$401,'Player Rounds'!$A$2:$A$401,$A20,'Player Rounds'!$B$2:$B$401,$B20,'Player Rounds'!$C$2:$C$401,$C20))))</f>
      </c>
      <c r="AB20" t="e">
        <f>IF($A20="","",IF(COUNTIFS('Player Rounds'!$A$2:$A$401,$A20,'Player Rounds'!$B$2:$B$401,$B20,'Player Rounds'!$V$2:$V$401,"&gt;0")=0,"",SIGN(_xlfn.MINIFS('Player Rounds'!$AP$2:$AP$401,'Player Rounds'!$A$2:$A$401,$A20,'Player Rounds'!$B$2:$B$401,$B20,'Player Rounds'!$C$2:$C$401,$D20)-_xlfn.MINIFS('Player Rounds'!$AP$2:$AP$401,'Player Rounds'!$A$2:$A$401,$A20,'Player Rounds'!$B$2:$B$401,$B20,'Player Rounds'!$C$2:$C$401,$C20))))</f>
      </c>
      <c r="AC20" t="e">
        <f>IF($A20="","",IF(COUNTIFS('Player Rounds'!$A$2:$A$401,$A20,'Player Rounds'!$B$2:$B$401,$B20,'Player Rounds'!$W$2:$W$401,"&gt;0")=0,"",SIGN(_xlfn.MINIFS('Player Rounds'!$AQ$2:$AQ$401,'Player Rounds'!$A$2:$A$401,$A20,'Player Rounds'!$B$2:$B$401,$B20,'Player Rounds'!$C$2:$C$401,$D20)-_xlfn.MINIFS('Player Rounds'!$AQ$2:$AQ$401,'Player Rounds'!$A$2:$A$401,$A20,'Player Rounds'!$B$2:$B$401,$B20,'Player Rounds'!$C$2:$C$401,$C20))))</f>
      </c>
      <c r="AD20" t="e">
        <f>IF($A20="","",SUM($L20:L20))</f>
      </c>
      <c r="AE20" t="e">
        <f>IF($A20="","",SUM($L20:M20))</f>
      </c>
      <c r="AF20" t="e">
        <f>IF($A20="","",SUM($L20:N20))</f>
      </c>
      <c r="AG20" t="e">
        <f>IF($A20="","",SUM($L20:O20))</f>
      </c>
      <c r="AH20" t="e">
        <f>IF($A20="","",SUM($L20:P20))</f>
      </c>
      <c r="AI20" t="e">
        <f>IF($A20="","",SUM($L20:Q20))</f>
      </c>
      <c r="AJ20" t="e">
        <f>IF($A20="","",SUM($L20:R20))</f>
      </c>
      <c r="AK20" t="e">
        <f>IF($A20="","",SUM($L20:S20))</f>
      </c>
      <c r="AL20" t="e">
        <f>IF($A20="","",SUM($L20:T20))</f>
      </c>
      <c r="AM20" t="e">
        <f>IF($A20="","",SUM($L20:U20))</f>
      </c>
      <c r="AN20" t="e">
        <f>IF($A20="","",SUM($L20:V20))</f>
      </c>
      <c r="AO20" t="e">
        <f>IF($A20="","",SUM($L20:W20))</f>
      </c>
      <c r="AP20" t="e">
        <f>IF($A20="","",SUM($L20:X20))</f>
      </c>
      <c r="AQ20" t="e">
        <f>IF($A20="","",SUM($L20:Y20))</f>
      </c>
      <c r="AR20" t="e">
        <f>IF($A20="","",SUM($L20:Z20))</f>
      </c>
      <c r="AS20" t="e">
        <f>IF($A20="","",SUM($L20:AA20))</f>
      </c>
      <c r="AT20" t="e">
        <f>IF($A20="","",SUM($L20:AB20))</f>
      </c>
      <c r="AU20" t="e">
        <f>IF($A20="","",SUM($L20:AC20))</f>
      </c>
      <c r="AV20" t="e">
        <f>IF(OR($A20="",L20=""),"",IF(ABS(AD20)&gt;17,1,""))</f>
      </c>
      <c r="AW20" t="e">
        <f>IF(OR($A20="",M20=""),"",IF(ABS(AE20)&gt;16,2,""))</f>
      </c>
      <c r="AX20" t="e">
        <f>IF(OR($A20="",N20=""),"",IF(ABS(AF20)&gt;15,3,""))</f>
      </c>
      <c r="AY20" t="e">
        <f>IF(OR($A20="",O20=""),"",IF(ABS(AG20)&gt;14,4,""))</f>
      </c>
      <c r="AZ20" t="e">
        <f>IF(OR($A20="",P20=""),"",IF(ABS(AH20)&gt;13,5,""))</f>
      </c>
      <c r="BA20" t="e">
        <f>IF(OR($A20="",Q20=""),"",IF(ABS(AI20)&gt;12,6,""))</f>
      </c>
      <c r="BB20" t="e">
        <f>IF(OR($A20="",R20=""),"",IF(ABS(AJ20)&gt;11,7,""))</f>
      </c>
      <c r="BC20" t="e">
        <f>IF(OR($A20="",S20=""),"",IF(ABS(AK20)&gt;10,8,""))</f>
      </c>
      <c r="BD20" t="e">
        <f>IF(OR($A20="",T20=""),"",IF(ABS(AL20)&gt;9,9,""))</f>
      </c>
      <c r="BE20" t="e">
        <f>IF(OR($A20="",U20=""),"",IF(ABS(AM20)&gt;8,10,""))</f>
      </c>
      <c r="BF20" t="e">
        <f>IF(OR($A20="",V20=""),"",IF(ABS(AN20)&gt;7,11,""))</f>
      </c>
      <c r="BG20" t="e">
        <f>IF(OR($A20="",W20=""),"",IF(ABS(AO20)&gt;6,12,""))</f>
      </c>
      <c r="BH20" t="e">
        <f>IF(OR($A20="",X20=""),"",IF(ABS(AP20)&gt;5,13,""))</f>
      </c>
      <c r="BI20" t="e">
        <f>IF(OR($A20="",Y20=""),"",IF(ABS(AQ20)&gt;4,14,""))</f>
      </c>
      <c r="BJ20" t="e">
        <f>IF(OR($A20="",Z20=""),"",IF(ABS(AR20)&gt;3,15,""))</f>
      </c>
      <c r="BK20" t="e">
        <f>IF(OR($A20="",AA20=""),"",IF(ABS(AS20)&gt;2,16,""))</f>
      </c>
      <c r="BL20" t="e">
        <f>IF(OR($A20="",AB20=""),"",IF(ABS(AT20)&gt;1,17,""))</f>
      </c>
      <c r="BM20" t="e">
        <f>IF(OR($A20="",AC20=""),"",IF(ABS(AU20)&gt;0,18,""))</f>
      </c>
    </row>
    <row r="21">
      <c r="C21" t="str">
        <f>IF($A21="","",INDEX('Tournament Setup'!$J:$J,MATCH($A21,'Tournament Setup'!$A:$A,0)))</f>
        <v/>
      </c>
      <c r="D21" t="str">
        <f>IF($A21="","",INDEX('Tournament Setup'!$K:$K,MATCH($A21,'Tournament Setup'!$A:$A,0)))</f>
        <v/>
      </c>
      <c r="E21" t="str">
        <f>IF($A21="","",IF(COUNT(L21:AC21)=0,"Not played",IF(AND($K21&gt;0,$K21&lt;18),IF(INDEX(AD21:AU21,1,$K21)&gt;0,$C21,$D21)&amp;" "&amp;ABS(INDEX(AD21:AU21,1,$K21))&amp;"&amp;"&amp;(18-$K21),IF($J21=0,"Halved (AS)",IF($J21&gt;0,$C21,$D21)&amp;" "&amp;ABS($J21)&amp;" UP"))))</f>
        <v/>
      </c>
      <c r="F21" t="e">
        <f>IF(OR($A21="",COUNT(L21:AC21)=0),"",INDEX('Tournament Setup'!$I:$I,MATCH($A21,'Tournament Setup'!$A:$A,0))*IF(INDEX('Tournament Setup'!$H:$H,MATCH($A21,'Tournament Setup'!$A:$A,0))="Yes",IF($H21&gt;0,1,IF($H21=0,0.5,0))+IF($I21&gt;0,1,IF($I21=0,0.5,0))+IF($J21&gt;0,1,IF($J21=0,0.5,0)),IF(IF(AND($K21&gt;0,$K21&lt;18),INDEX(AD21:AU21,1,$K21),$J21)&gt;0,1,IF(IF(AND($K21&gt;0,$K21&lt;18),INDEX(AD21:AU21,1,$K21),$J21)=0,0.5,0))))</f>
      </c>
      <c r="G21" t="e">
        <f>IF(OR($A21="",COUNT(L21:AC21)=0),"",INDEX('Tournament Setup'!$I:$I,MATCH($A21,'Tournament Setup'!$A:$A,0))*IF(INDEX('Tournament Setup'!$H:$H,MATCH($A21,'Tournament Setup'!$A:$A,0))="Yes",IF($H21&lt;0,1,IF($H21=0,0.5,0))+IF($I21&lt;0,1,IF($I21=0,0.5,0))+IF($J21&lt;0,1,IF($J21=0,0.5,0)),IF(IF(AND($K21&gt;0,$K21&lt;18),INDEX(AD21:AU21,1,$K21),$J21)&lt;0,1,IF(IF(AND($K21&gt;0,$K21&lt;18),INDEX(AD21:AU21,1,$K21),$J21)=0,0.5,0))))</f>
      </c>
      <c r="H21" t="e">
        <f>IF($A21="","",SUM(L21:T21))</f>
      </c>
      <c r="I21" t="e">
        <f>IF($A21="","",SUM(U21:AC21))</f>
      </c>
      <c r="J21" t="e">
        <f>IF($A21="","",SUM(L21:AC21))</f>
      </c>
      <c r="K21" t="e">
        <f>IF($A21="","",MIN(AV21:BM21))</f>
      </c>
      <c r="L21" t="e">
        <f>IF($A21="","",IF(COUNTIFS('Player Rounds'!$A$2:$A$401,$A21,'Player Rounds'!$B$2:$B$401,$B21,'Player Rounds'!$F$2:$F$401,"&gt;0")=0,"",SIGN(_xlfn.MINIFS('Player Rounds'!$Z$2:$Z$401,'Player Rounds'!$A$2:$A$401,$A21,'Player Rounds'!$B$2:$B$401,$B21,'Player Rounds'!$C$2:$C$401,$D21)-_xlfn.MINIFS('Player Rounds'!$Z$2:$Z$401,'Player Rounds'!$A$2:$A$401,$A21,'Player Rounds'!$B$2:$B$401,$B21,'Player Rounds'!$C$2:$C$401,$C21))))</f>
      </c>
      <c r="M21" t="e">
        <f>IF($A21="","",IF(COUNTIFS('Player Rounds'!$A$2:$A$401,$A21,'Player Rounds'!$B$2:$B$401,$B21,'Player Rounds'!$G$2:$G$401,"&gt;0")=0,"",SIGN(_xlfn.MINIFS('Player Rounds'!$AA$2:$AA$401,'Player Rounds'!$A$2:$A$401,$A21,'Player Rounds'!$B$2:$B$401,$B21,'Player Rounds'!$C$2:$C$401,$D21)-_xlfn.MINIFS('Player Rounds'!$AA$2:$AA$401,'Player Rounds'!$A$2:$A$401,$A21,'Player Rounds'!$B$2:$B$401,$B21,'Player Rounds'!$C$2:$C$401,$C21))))</f>
      </c>
      <c r="N21" t="e">
        <f>IF($A21="","",IF(COUNTIFS('Player Rounds'!$A$2:$A$401,$A21,'Player Rounds'!$B$2:$B$401,$B21,'Player Rounds'!$H$2:$H$401,"&gt;0")=0,"",SIGN(_xlfn.MINIFS('Player Rounds'!$AB$2:$AB$401,'Player Rounds'!$A$2:$A$401,$A21,'Player Rounds'!$B$2:$B$401,$B21,'Player Rounds'!$C$2:$C$401,$D21)-_xlfn.MINIFS('Player Rounds'!$AB$2:$AB$401,'Player Rounds'!$A$2:$A$401,$A21,'Player Rounds'!$B$2:$B$401,$B21,'Player Rounds'!$C$2:$C$401,$C21))))</f>
      </c>
      <c r="O21" t="e">
        <f>IF($A21="","",IF(COUNTIFS('Player Rounds'!$A$2:$A$401,$A21,'Player Rounds'!$B$2:$B$401,$B21,'Player Rounds'!$I$2:$I$401,"&gt;0")=0,"",SIGN(_xlfn.MINIFS('Player Rounds'!$AC$2:$AC$401,'Player Rounds'!$A$2:$A$401,$A21,'Player Rounds'!$B$2:$B$401,$B21,'Player Rounds'!$C$2:$C$401,$D21)-_xlfn.MINIFS('Player Rounds'!$AC$2:$AC$401,'Player Rounds'!$A$2:$A$401,$A21,'Player Rounds'!$B$2:$B$401,$B21,'Player Rounds'!$C$2:$C$401,$C21))))</f>
      </c>
      <c r="P21" t="e">
        <f>IF($A21="","",IF(COUNTIFS('Player Rounds'!$A$2:$A$401,$A21,'Player Rounds'!$B$2:$B$401,$B21,'Player Rounds'!$J$2:$J$401,"&gt;0")=0,"",SIGN(_xlfn.MINIFS('Player Rounds'!$AD$2:$AD$401,'Player Rounds'!$A$2:$A$401,$A21,'Player Rounds'!$B$2:$B$401,$B21,'Player Rounds'!$C$2:$C$401,$D21)-_xlfn.MINIFS('Player Rounds'!$AD$2:$AD$401,'Player Rounds'!$A$2:$A$401,$A21,'Player Rounds'!$B$2:$B$401,$B21,'Player Rounds'!$C$2:$C$401,$C21))))</f>
      </c>
      <c r="Q21" t="e">
        <f>IF($A21="","",IF(COUNTIFS('Player Rounds'!$A$2:$A$401,$A21,'Player Rounds'!$B$2:$B$401,$B21,'Player Rounds'!$K$2:$K$401,"&gt;0")=0,"",SIGN(_xlfn.MINIFS('Player Rounds'!$AE$2:$AE$401,'Player Rounds'!$A$2:$A$401,$A21,'Player Rounds'!$B$2:$B$401,$B21,'Player Rounds'!$C$2:$C$401,$D21)-_xlfn.MINIFS('Player Rounds'!$AE$2:$AE$401,'Player Rounds'!$A$2:$A$401,$A21,'Player Rounds'!$B$2:$B$401,$B21,'Player Rounds'!$C$2:$C$401,$C21))))</f>
      </c>
      <c r="R21" t="e">
        <f>IF($A21="","",IF(COUNTIFS('Player Rounds'!$A$2:$A$401,$A21,'Player Rounds'!$B$2:$B$401,$B21,'Player Rounds'!$L$2:$L$401,"&gt;0")=0,"",SIGN(_xlfn.MINIFS('Player Rounds'!$AF$2:$AF$401,'Player Rounds'!$A$2:$A$401,$A21,'Player Rounds'!$B$2:$B$401,$B21,'Player Rounds'!$C$2:$C$401,$D21)-_xlfn.MINIFS('Player Rounds'!$AF$2:$AF$401,'Player Rounds'!$A$2:$A$401,$A21,'Player Rounds'!$B$2:$B$401,$B21,'Player Rounds'!$C$2:$C$401,$C21))))</f>
      </c>
      <c r="S21" t="e">
        <f>IF($A21="","",IF(COUNTIFS('Player Rounds'!$A$2:$A$401,$A21,'Player Rounds'!$B$2:$B$401,$B21,'Player Rounds'!$M$2:$M$401,"&gt;0")=0,"",SIGN(_xlfn.MINIFS('Player Rounds'!$AG$2:$AG$401,'Player Rounds'!$A$2:$A$401,$A21,'Player Rounds'!$B$2:$B$401,$B21,'Player Rounds'!$C$2:$C$401,$D21)-_xlfn.MINIFS('Player Rounds'!$AG$2:$AG$401,'Player Rounds'!$A$2:$A$401,$A21,'Player Rounds'!$B$2:$B$401,$B21,'Player Rounds'!$C$2:$C$401,$C21))))</f>
      </c>
      <c r="T21" t="e">
        <f>IF($A21="","",IF(COUNTIFS('Player Rounds'!$A$2:$A$401,$A21,'Player Rounds'!$B$2:$B$401,$B21,'Player Rounds'!$N$2:$N$401,"&gt;0")=0,"",SIGN(_xlfn.MINIFS('Player Rounds'!$AH$2:$AH$401,'Player Rounds'!$A$2:$A$401,$A21,'Player Rounds'!$B$2:$B$401,$B21,'Player Rounds'!$C$2:$C$401,$D21)-_xlfn.MINIFS('Player Rounds'!$AH$2:$AH$401,'Player Rounds'!$A$2:$A$401,$A21,'Player Rounds'!$B$2:$B$401,$B21,'Player Rounds'!$C$2:$C$401,$C21))))</f>
      </c>
      <c r="U21" t="e">
        <f>IF($A21="","",IF(COUNTIFS('Player Rounds'!$A$2:$A$401,$A21,'Player Rounds'!$B$2:$B$401,$B21,'Player Rounds'!$O$2:$O$401,"&gt;0")=0,"",SIGN(_xlfn.MINIFS('Player Rounds'!$AI$2:$AI$401,'Player Rounds'!$A$2:$A$401,$A21,'Player Rounds'!$B$2:$B$401,$B21,'Player Rounds'!$C$2:$C$401,$D21)-_xlfn.MINIFS('Player Rounds'!$AI$2:$AI$401,'Player Rounds'!$A$2:$A$401,$A21,'Player Rounds'!$B$2:$B$401,$B21,'Player Rounds'!$C$2:$C$401,$C21))))</f>
      </c>
      <c r="V21" t="e">
        <f>IF($A21="","",IF(COUNTIFS('Player Rounds'!$A$2:$A$401,$A21,'Player Rounds'!$B$2:$B$401,$B21,'Player Rounds'!$P$2:$P$401,"&gt;0")=0,"",SIGN(_xlfn.MINIFS('Player Rounds'!$AJ$2:$AJ$401,'Player Rounds'!$A$2:$A$401,$A21,'Player Rounds'!$B$2:$B$401,$B21,'Player Rounds'!$C$2:$C$401,$D21)-_xlfn.MINIFS('Player Rounds'!$AJ$2:$AJ$401,'Player Rounds'!$A$2:$A$401,$A21,'Player Rounds'!$B$2:$B$401,$B21,'Player Rounds'!$C$2:$C$401,$C21))))</f>
      </c>
      <c r="W21" t="e">
        <f>IF($A21="","",IF(COUNTIFS('Player Rounds'!$A$2:$A$401,$A21,'Player Rounds'!$B$2:$B$401,$B21,'Player Rounds'!$Q$2:$Q$401,"&gt;0")=0,"",SIGN(_xlfn.MINIFS('Player Rounds'!$AK$2:$AK$401,'Player Rounds'!$A$2:$A$401,$A21,'Player Rounds'!$B$2:$B$401,$B21,'Player Rounds'!$C$2:$C$401,$D21)-_xlfn.MINIFS('Player Rounds'!$AK$2:$AK$401,'Player Rounds'!$A$2:$A$401,$A21,'Player Rounds'!$B$2:$B$401,$B21,'Player Rounds'!$C$2:$C$401,$C21))))</f>
      </c>
      <c r="X21" t="e">
        <f>IF($A21="","",IF(COUNTIFS('Player Rounds'!$A$2:$A$401,$A21,'Player Rounds'!$B$2:$B$401,$B21,'Player Rounds'!$R$2:$R$401,"&gt;0")=0,"",SIGN(_xlfn.MINIFS('Player Rounds'!$AL$2:$AL$401,'Player Rounds'!$A$2:$A$401,$A21,'Player Rounds'!$B$2:$B$401,$B21,'Player Rounds'!$C$2:$C$401,$D21)-_xlfn.MINIFS('Player Rounds'!$AL$2:$AL$401,'Player Rounds'!$A$2:$A$401,$A21,'Player Rounds'!$B$2:$B$401,$B21,'Player Rounds'!$C$2:$C$401,$C21))))</f>
      </c>
      <c r="Y21" t="e">
        <f>IF($A21="","",IF(COUNTIFS('Player Rounds'!$A$2:$A$401,$A21,'Player Rounds'!$B$2:$B$401,$B21,'Player Rounds'!$S$2:$S$401,"&gt;0")=0,"",SIGN(_xlfn.MINIFS('Player Rounds'!$AM$2:$AM$401,'Player Rounds'!$A$2:$A$401,$A21,'Player Rounds'!$B$2:$B$401,$B21,'Player Rounds'!$C$2:$C$401,$D21)-_xlfn.MINIFS('Player Rounds'!$AM$2:$AM$401,'Player Rounds'!$A$2:$A$401,$A21,'Player Rounds'!$B$2:$B$401,$B21,'Player Rounds'!$C$2:$C$401,$C21))))</f>
      </c>
      <c r="Z21" t="e">
        <f>IF($A21="","",IF(COUNTIFS('Player Rounds'!$A$2:$A$401,$A21,'Player Rounds'!$B$2:$B$401,$B21,'Player Rounds'!$T$2:$T$401,"&gt;0")=0,"",SIGN(_xlfn.MINIFS('Player Rounds'!$AN$2:$AN$401,'Player Rounds'!$A$2:$A$401,$A21,'Player Rounds'!$B$2:$B$401,$B21,'Player Rounds'!$C$2:$C$401,$D21)-_xlfn.MINIFS('Player Rounds'!$AN$2:$AN$401,'Player Rounds'!$A$2:$A$401,$A21,'Player Rounds'!$B$2:$B$401,$B21,'Player Rounds'!$C$2:$C$401,$C21))))</f>
      </c>
      <c r="AA21" t="e">
        <f>IF($A21="","",IF(COUNTIFS('Player Rounds'!$A$2:$A$401,$A21,'Player Rounds'!$B$2:$B$401,$B21,'Player Rounds'!$U$2:$U$401,"&gt;0")=0,"",SIGN(_xlfn.MINIFS('Player Rounds'!$AO$2:$AO$401,'Player Rounds'!$A$2:$A$401,$A21,'Player Rounds'!$B$2:$B$401,$B21,'Player Rounds'!$C$2:$C$401,$D21)-_xlfn.MINIFS('Player Rounds'!$AO$2:$AO$401,'Player Rounds'!$A$2:$A$401,$A21,'Player Rounds'!$B$2:$B$401,$B21,'Player Rounds'!$C$2:$C$401,$C21))))</f>
      </c>
      <c r="AB21" t="e">
        <f>IF($A21="","",IF(COUNTIFS('Player Rounds'!$A$2:$A$401,$A21,'Player Rounds'!$B$2:$B$401,$B21,'Player Rounds'!$V$2:$V$401,"&gt;0")=0,"",SIGN(_xlfn.MINIFS('Player Rounds'!$AP$2:$AP$401,'Player Rounds'!$A$2:$A$401,$A21,'Player Rounds'!$B$2:$B$401,$B21,'Player Rounds'!$C$2:$C$401,$D21)-_xlfn.MINIFS('Player Rounds'!$AP$2:$AP$401,'Player Rounds'!$A$2:$A$401,$A21,'Player Rounds'!$B$2:$B$401,$B21,'Player Rounds'!$C$2:$C$401,$C21))))</f>
      </c>
      <c r="AC21" t="e">
        <f>IF($A21="","",IF(COUNTIFS('Player Rounds'!$A$2:$A$401,$A21,'Player Rounds'!$B$2:$B$401,$B21,'Player Rounds'!$W$2:$W$401,"&gt;0")=0,"",SIGN(_xlfn.MINIFS('Player Rounds'!$AQ$2:$AQ$401,'Player Rounds'!$A$2:$A$401,$A21,'Player Rounds'!$B$2:$B$401,$B21,'Player Rounds'!$C$2:$C$401,$D21)-_xlfn.MINIFS('Player Rounds'!$AQ$2:$AQ$401,'Player Rounds'!$A$2:$A$401,$A21,'Player Rounds'!$B$2:$B$401,$B21,'Player Rounds'!$C$2:$C$401,$C21))))</f>
      </c>
      <c r="AD21" t="e">
        <f>IF($A21="","",SUM($L21:L21))</f>
      </c>
      <c r="AE21" t="e">
        <f>IF($A21="","",SUM($L21:M21))</f>
      </c>
      <c r="AF21" t="e">
        <f>IF($A21="","",SUM($L21:N21))</f>
      </c>
      <c r="AG21" t="e">
        <f>IF($A21="","",SUM($L21:O21))</f>
      </c>
      <c r="AH21" t="e">
        <f>IF($A21="","",SUM($L21:P21))</f>
      </c>
      <c r="AI21" t="e">
        <f>IF($A21="","",SUM($L21:Q21))</f>
      </c>
      <c r="AJ21" t="e">
        <f>IF($A21="","",SUM($L21:R21))</f>
      </c>
      <c r="AK21" t="e">
        <f>IF($A21="","",SUM($L21:S21))</f>
      </c>
      <c r="AL21" t="e">
        <f>IF($A21="","",SUM($L21:T21))</f>
      </c>
      <c r="AM21" t="e">
        <f>IF($A21="","",SUM($L21:U21))</f>
      </c>
      <c r="AN21" t="e">
        <f>IF($A21="","",SUM($L21:V21))</f>
      </c>
      <c r="AO21" t="e">
        <f>IF($A21="","",SUM($L21:W21))</f>
      </c>
      <c r="AP21" t="e">
        <f>IF($A21="","",SUM($L21:X21))</f>
      </c>
      <c r="AQ21" t="e">
        <f>IF($A21="","",SUM($L21:Y21))</f>
      </c>
      <c r="AR21" t="e">
        <f>IF($A21="","",SUM($L21:Z21))</f>
      </c>
      <c r="AS21" t="e">
        <f>IF($A21="","",SUM($L21:AA21))</f>
      </c>
      <c r="AT21" t="e">
        <f>IF($A21="","",SUM($L21:AB21))</f>
      </c>
      <c r="AU21" t="e">
        <f>IF($A21="","",SUM($L21:AC21))</f>
      </c>
      <c r="AV21" t="e">
        <f>IF(OR($A21="",L21=""),"",IF(ABS(AD21)&gt;17,1,""))</f>
      </c>
      <c r="AW21" t="e">
        <f>IF(OR($A21="",M21=""),"",IF(ABS(AE21)&gt;16,2,""))</f>
      </c>
      <c r="AX21" t="e">
        <f>IF(OR($A21="",N21=""),"",IF(ABS(AF21)&gt;15,3,""))</f>
      </c>
      <c r="AY21" t="e">
        <f>IF(OR($A21="",O21=""),"",IF(ABS(AG21)&gt;14,4,""))</f>
      </c>
      <c r="AZ21" t="e">
        <f>IF(OR($A21="",P21=""),"",IF(ABS(AH21)&gt;13,5,""))</f>
      </c>
      <c r="BA21" t="e">
        <f>IF(OR($A21="",Q21=""),"",IF(ABS(AI21)&gt;12,6,""))</f>
      </c>
      <c r="BB21" t="e">
        <f>IF(OR($A21="",R21=""),"",IF(ABS(AJ21)&gt;11,7,""))</f>
      </c>
      <c r="BC21" t="e">
        <f>IF(OR($A21="",S21=""),"",IF(ABS(AK21)&gt;10,8,""))</f>
      </c>
      <c r="BD21" t="e">
        <f>IF(OR($A21="",T21=""),"",IF(ABS(AL21)&gt;9,9,""))</f>
      </c>
      <c r="BE21" t="e">
        <f>IF(OR($A21="",U21=""),"",IF(ABS(AM21)&gt;8,10,""))</f>
      </c>
      <c r="BF21" t="e">
        <f>IF(OR($A21="",V21=""),"",IF(ABS(AN21)&gt;7,11,""))</f>
      </c>
      <c r="BG21" t="e">
        <f>IF(OR($A21="",W21=""),"",IF(ABS(AO21)&gt;6,12,""))</f>
      </c>
      <c r="BH21" t="e">
        <f>IF(OR($A21="",X21=""),"",IF(ABS(AP21)&gt;5,13,""))</f>
      </c>
      <c r="BI21" t="e">
        <f>IF(OR($A21="",Y21=""),"",IF(ABS(AQ21)&gt;4,14,""))</f>
      </c>
      <c r="BJ21" t="e">
        <f>IF(OR($A21="",Z21=""),"",IF(ABS(AR21)&gt;3,15,""))</f>
      </c>
      <c r="BK21" t="e">
        <f>IF(OR($A21="",AA21=""),"",IF(ABS(AS21)&gt;2,16,""))</f>
      </c>
      <c r="BL21" t="e">
        <f>IF(OR($A21="",AB21=""),"",IF(ABS(AT21)&gt;1,17,""))</f>
      </c>
      <c r="BM21" t="e">
        <f>IF(OR($A21="",AC21=""),"",IF(ABS(AU21)&gt;0,18,""))</f>
      </c>
    </row>
    <row r="22">
      <c r="C22" t="str">
        <f>IF($A22="","",INDEX('Tournament Setup'!$J:$J,MATCH($A22,'Tournament Setup'!$A:$A,0)))</f>
        <v/>
      </c>
      <c r="D22" t="str">
        <f>IF($A22="","",INDEX('Tournament Setup'!$K:$K,MATCH($A22,'Tournament Setup'!$A:$A,0)))</f>
        <v/>
      </c>
      <c r="E22" t="str">
        <f>IF($A22="","",IF(COUNT(L22:AC22)=0,"Not played",IF(AND($K22&gt;0,$K22&lt;18),IF(INDEX(AD22:AU22,1,$K22)&gt;0,$C22,$D22)&amp;" "&amp;ABS(INDEX(AD22:AU22,1,$K22))&amp;"&amp;"&amp;(18-$K22),IF($J22=0,"Halved (AS)",IF($J22&gt;0,$C22,$D22)&amp;" "&amp;ABS($J22)&amp;" UP"))))</f>
        <v/>
      </c>
      <c r="F22" t="e">
        <f>IF(OR($A22="",COUNT(L22:AC22)=0),"",INDEX('Tournament Setup'!$I:$I,MATCH($A22,'Tournament Setup'!$A:$A,0))*IF(INDEX('Tournament Setup'!$H:$H,MATCH($A22,'Tournament Setup'!$A:$A,0))="Yes",IF($H22&gt;0,1,IF($H22=0,0.5,0))+IF($I22&gt;0,1,IF($I22=0,0.5,0))+IF($J22&gt;0,1,IF($J22=0,0.5,0)),IF(IF(AND($K22&gt;0,$K22&lt;18),INDEX(AD22:AU22,1,$K22),$J22)&gt;0,1,IF(IF(AND($K22&gt;0,$K22&lt;18),INDEX(AD22:AU22,1,$K22),$J22)=0,0.5,0))))</f>
      </c>
      <c r="G22" t="e">
        <f>IF(OR($A22="",COUNT(L22:AC22)=0),"",INDEX('Tournament Setup'!$I:$I,MATCH($A22,'Tournament Setup'!$A:$A,0))*IF(INDEX('Tournament Setup'!$H:$H,MATCH($A22,'Tournament Setup'!$A:$A,0))="Yes",IF($H22&lt;0,1,IF($H22=0,0.5,0))+IF($I22&lt;0,1,IF($I22=0,0.5,0))+IF($J22&lt;0,1,IF($J22=0,0.5,0)),IF(IF(AND($K22&gt;0,$K22&lt;18),INDEX(AD22:AU22,1,$K22),$J22)&lt;0,1,IF(IF(AND($K22&gt;0,$K22&lt;18),INDEX(AD22:AU22,1,$K22),$J22)=0,0.5,0))))</f>
      </c>
      <c r="H22" t="e">
        <f>IF($A22="","",SUM(L22:T22))</f>
      </c>
      <c r="I22" t="e">
        <f>IF($A22="","",SUM(U22:AC22))</f>
      </c>
      <c r="J22" t="e">
        <f>IF($A22="","",SUM(L22:AC22))</f>
      </c>
      <c r="K22" t="e">
        <f>IF($A22="","",MIN(AV22:BM22))</f>
      </c>
      <c r="L22" t="e">
        <f>IF($A22="","",IF(COUNTIFS('Player Rounds'!$A$2:$A$401,$A22,'Player Rounds'!$B$2:$B$401,$B22,'Player Rounds'!$F$2:$F$401,"&gt;0")=0,"",SIGN(_xlfn.MINIFS('Player Rounds'!$Z$2:$Z$401,'Player Rounds'!$A$2:$A$401,$A22,'Player Rounds'!$B$2:$B$401,$B22,'Player Rounds'!$C$2:$C$401,$D22)-_xlfn.MINIFS('Player Rounds'!$Z$2:$Z$401,'Player Rounds'!$A$2:$A$401,$A22,'Player Rounds'!$B$2:$B$401,$B22,'Player Rounds'!$C$2:$C$401,$C22))))</f>
      </c>
      <c r="M22" t="e">
        <f>IF($A22="","",IF(COUNTIFS('Player Rounds'!$A$2:$A$401,$A22,'Player Rounds'!$B$2:$B$401,$B22,'Player Rounds'!$G$2:$G$401,"&gt;0")=0,"",SIGN(_xlfn.MINIFS('Player Rounds'!$AA$2:$AA$401,'Player Rounds'!$A$2:$A$401,$A22,'Player Rounds'!$B$2:$B$401,$B22,'Player Rounds'!$C$2:$C$401,$D22)-_xlfn.MINIFS('Player Rounds'!$AA$2:$AA$401,'Player Rounds'!$A$2:$A$401,$A22,'Player Rounds'!$B$2:$B$401,$B22,'Player Rounds'!$C$2:$C$401,$C22))))</f>
      </c>
      <c r="N22" t="e">
        <f>IF($A22="","",IF(COUNTIFS('Player Rounds'!$A$2:$A$401,$A22,'Player Rounds'!$B$2:$B$401,$B22,'Player Rounds'!$H$2:$H$401,"&gt;0")=0,"",SIGN(_xlfn.MINIFS('Player Rounds'!$AB$2:$AB$401,'Player Rounds'!$A$2:$A$401,$A22,'Player Rounds'!$B$2:$B$401,$B22,'Player Rounds'!$C$2:$C$401,$D22)-_xlfn.MINIFS('Player Rounds'!$AB$2:$AB$401,'Player Rounds'!$A$2:$A$401,$A22,'Player Rounds'!$B$2:$B$401,$B22,'Player Rounds'!$C$2:$C$401,$C22))))</f>
      </c>
      <c r="O22" t="e">
        <f>IF($A22="","",IF(COUNTIFS('Player Rounds'!$A$2:$A$401,$A22,'Player Rounds'!$B$2:$B$401,$B22,'Player Rounds'!$I$2:$I$401,"&gt;0")=0,"",SIGN(_xlfn.MINIFS('Player Rounds'!$AC$2:$AC$401,'Player Rounds'!$A$2:$A$401,$A22,'Player Rounds'!$B$2:$B$401,$B22,'Player Rounds'!$C$2:$C$401,$D22)-_xlfn.MINIFS('Player Rounds'!$AC$2:$AC$401,'Player Rounds'!$A$2:$A$401,$A22,'Player Rounds'!$B$2:$B$401,$B22,'Player Rounds'!$C$2:$C$401,$C22))))</f>
      </c>
      <c r="P22" t="e">
        <f>IF($A22="","",IF(COUNTIFS('Player Rounds'!$A$2:$A$401,$A22,'Player Rounds'!$B$2:$B$401,$B22,'Player Rounds'!$J$2:$J$401,"&gt;0")=0,"",SIGN(_xlfn.MINIFS('Player Rounds'!$AD$2:$AD$401,'Player Rounds'!$A$2:$A$401,$A22,'Player Rounds'!$B$2:$B$401,$B22,'Player Rounds'!$C$2:$C$401,$D22)-_xlfn.MINIFS('Player Rounds'!$AD$2:$AD$401,'Player Rounds'!$A$2:$A$401,$A22,'Player Rounds'!$B$2:$B$401,$B22,'Player Rounds'!$C$2:$C$401,$C22))))</f>
      </c>
      <c r="Q22" t="e">
        <f>IF($A22="","",IF(COUNTIFS('Player Rounds'!$A$2:$A$401,$A22,'Player Rounds'!$B$2:$B$401,$B22,'Player Rounds'!$K$2:$K$401,"&gt;0")=0,"",SIGN(_xlfn.MINIFS('Player Rounds'!$AE$2:$AE$401,'Player Rounds'!$A$2:$A$401,$A22,'Player Rounds'!$B$2:$B$401,$B22,'Player Rounds'!$C$2:$C$401,$D22)-_xlfn.MINIFS('Player Rounds'!$AE$2:$AE$401,'Player Rounds'!$A$2:$A$401,$A22,'Player Rounds'!$B$2:$B$401,$B22,'Player Rounds'!$C$2:$C$401,$C22))))</f>
      </c>
      <c r="R22" t="e">
        <f>IF($A22="","",IF(COUNTIFS('Player Rounds'!$A$2:$A$401,$A22,'Player Rounds'!$B$2:$B$401,$B22,'Player Rounds'!$L$2:$L$401,"&gt;0")=0,"",SIGN(_xlfn.MINIFS('Player Rounds'!$AF$2:$AF$401,'Player Rounds'!$A$2:$A$401,$A22,'Player Rounds'!$B$2:$B$401,$B22,'Player Rounds'!$C$2:$C$401,$D22)-_xlfn.MINIFS('Player Rounds'!$AF$2:$AF$401,'Player Rounds'!$A$2:$A$401,$A22,'Player Rounds'!$B$2:$B$401,$B22,'Player Rounds'!$C$2:$C$401,$C22))))</f>
      </c>
      <c r="S22" t="e">
        <f>IF($A22="","",IF(COUNTIFS('Player Rounds'!$A$2:$A$401,$A22,'Player Rounds'!$B$2:$B$401,$B22,'Player Rounds'!$M$2:$M$401,"&gt;0")=0,"",SIGN(_xlfn.MINIFS('Player Rounds'!$AG$2:$AG$401,'Player Rounds'!$A$2:$A$401,$A22,'Player Rounds'!$B$2:$B$401,$B22,'Player Rounds'!$C$2:$C$401,$D22)-_xlfn.MINIFS('Player Rounds'!$AG$2:$AG$401,'Player Rounds'!$A$2:$A$401,$A22,'Player Rounds'!$B$2:$B$401,$B22,'Player Rounds'!$C$2:$C$401,$C22))))</f>
      </c>
      <c r="T22" t="e">
        <f>IF($A22="","",IF(COUNTIFS('Player Rounds'!$A$2:$A$401,$A22,'Player Rounds'!$B$2:$B$401,$B22,'Player Rounds'!$N$2:$N$401,"&gt;0")=0,"",SIGN(_xlfn.MINIFS('Player Rounds'!$AH$2:$AH$401,'Player Rounds'!$A$2:$A$401,$A22,'Player Rounds'!$B$2:$B$401,$B22,'Player Rounds'!$C$2:$C$401,$D22)-_xlfn.MINIFS('Player Rounds'!$AH$2:$AH$401,'Player Rounds'!$A$2:$A$401,$A22,'Player Rounds'!$B$2:$B$401,$B22,'Player Rounds'!$C$2:$C$401,$C22))))</f>
      </c>
      <c r="U22" t="e">
        <f>IF($A22="","",IF(COUNTIFS('Player Rounds'!$A$2:$A$401,$A22,'Player Rounds'!$B$2:$B$401,$B22,'Player Rounds'!$O$2:$O$401,"&gt;0")=0,"",SIGN(_xlfn.MINIFS('Player Rounds'!$AI$2:$AI$401,'Player Rounds'!$A$2:$A$401,$A22,'Player Rounds'!$B$2:$B$401,$B22,'Player Rounds'!$C$2:$C$401,$D22)-_xlfn.MINIFS('Player Rounds'!$AI$2:$AI$401,'Player Rounds'!$A$2:$A$401,$A22,'Player Rounds'!$B$2:$B$401,$B22,'Player Rounds'!$C$2:$C$401,$C22))))</f>
      </c>
      <c r="V22" t="e">
        <f>IF($A22="","",IF(COUNTIFS('Player Rounds'!$A$2:$A$401,$A22,'Player Rounds'!$B$2:$B$401,$B22,'Player Rounds'!$P$2:$P$401,"&gt;0")=0,"",SIGN(_xlfn.MINIFS('Player Rounds'!$AJ$2:$AJ$401,'Player Rounds'!$A$2:$A$401,$A22,'Player Rounds'!$B$2:$B$401,$B22,'Player Rounds'!$C$2:$C$401,$D22)-_xlfn.MINIFS('Player Rounds'!$AJ$2:$AJ$401,'Player Rounds'!$A$2:$A$401,$A22,'Player Rounds'!$B$2:$B$401,$B22,'Player Rounds'!$C$2:$C$401,$C22))))</f>
      </c>
      <c r="W22" t="e">
        <f>IF($A22="","",IF(COUNTIFS('Player Rounds'!$A$2:$A$401,$A22,'Player Rounds'!$B$2:$B$401,$B22,'Player Rounds'!$Q$2:$Q$401,"&gt;0")=0,"",SIGN(_xlfn.MINIFS('Player Rounds'!$AK$2:$AK$401,'Player Rounds'!$A$2:$A$401,$A22,'Player Rounds'!$B$2:$B$401,$B22,'Player Rounds'!$C$2:$C$401,$D22)-_xlfn.MINIFS('Player Rounds'!$AK$2:$AK$401,'Player Rounds'!$A$2:$A$401,$A22,'Player Rounds'!$B$2:$B$401,$B22,'Player Rounds'!$C$2:$C$401,$C22))))</f>
      </c>
      <c r="X22" t="e">
        <f>IF($A22="","",IF(COUNTIFS('Player Rounds'!$A$2:$A$401,$A22,'Player Rounds'!$B$2:$B$401,$B22,'Player Rounds'!$R$2:$R$401,"&gt;0")=0,"",SIGN(_xlfn.MINIFS('Player Rounds'!$AL$2:$AL$401,'Player Rounds'!$A$2:$A$401,$A22,'Player Rounds'!$B$2:$B$401,$B22,'Player Rounds'!$C$2:$C$401,$D22)-_xlfn.MINIFS('Player Rounds'!$AL$2:$AL$401,'Player Rounds'!$A$2:$A$401,$A22,'Player Rounds'!$B$2:$B$401,$B22,'Player Rounds'!$C$2:$C$401,$C22))))</f>
      </c>
      <c r="Y22" t="e">
        <f>IF($A22="","",IF(COUNTIFS('Player Rounds'!$A$2:$A$401,$A22,'Player Rounds'!$B$2:$B$401,$B22,'Player Rounds'!$S$2:$S$401,"&gt;0")=0,"",SIGN(_xlfn.MINIFS('Player Rounds'!$AM$2:$AM$401,'Player Rounds'!$A$2:$A$401,$A22,'Player Rounds'!$B$2:$B$401,$B22,'Player Rounds'!$C$2:$C$401,$D22)-_xlfn.MINIFS('Player Rounds'!$AM$2:$AM$401,'Player Rounds'!$A$2:$A$401,$A22,'Player Rounds'!$B$2:$B$401,$B22,'Player Rounds'!$C$2:$C$401,$C22))))</f>
      </c>
      <c r="Z22" t="e">
        <f>IF($A22="","",IF(COUNTIFS('Player Rounds'!$A$2:$A$401,$A22,'Player Rounds'!$B$2:$B$401,$B22,'Player Rounds'!$T$2:$T$401,"&gt;0")=0,"",SIGN(_xlfn.MINIFS('Player Rounds'!$AN$2:$AN$401,'Player Rounds'!$A$2:$A$401,$A22,'Player Rounds'!$B$2:$B$401,$B22,'Player Rounds'!$C$2:$C$401,$D22)-_xlfn.MINIFS('Player Rounds'!$AN$2:$AN$401,'Player Rounds'!$A$2:$A$401,$A22,'Player Rounds'!$B$2:$B$401,$B22,'Player Rounds'!$C$2:$C$401,$C22))))</f>
      </c>
      <c r="AA22" t="e">
        <f>IF($A22="","",IF(COUNTIFS('Player Rounds'!$A$2:$A$401,$A22,'Player Rounds'!$B$2:$B$401,$B22,'Player Rounds'!$U$2:$U$401,"&gt;0")=0,"",SIGN(_xlfn.MINIFS('Player Rounds'!$AO$2:$AO$401,'Player Rounds'!$A$2:$A$401,$A22,'Player Rounds'!$B$2:$B$401,$B22,'Player Rounds'!$C$2:$C$401,$D22)-_xlfn.MINIFS('Player Rounds'!$AO$2:$AO$401,'Player Rounds'!$A$2:$A$401,$A22,'Player Rounds'!$B$2:$B$401,$B22,'Player Rounds'!$C$2:$C$401,$C22))))</f>
      </c>
      <c r="AB22" t="e">
        <f>IF($A22="","",IF(COUNTIFS('Player Rounds'!$A$2:$A$401,$A22,'Player Rounds'!$B$2:$B$401,$B22,'Player Rounds'!$V$2:$V$401,"&gt;0")=0,"",SIGN(_xlfn.MINIFS('Player Rounds'!$AP$2:$AP$401,'Player Rounds'!$A$2:$A$401,$A22,'Player Rounds'!$B$2:$B$401,$B22,'Player Rounds'!$C$2:$C$401,$D22)-_xlfn.MINIFS('Player Rounds'!$AP$2:$AP$401,'Player Rounds'!$A$2:$A$401,$A22,'Player Rounds'!$B$2:$B$401,$B22,'Player Rounds'!$C$2:$C$401,$C22))))</f>
      </c>
      <c r="AC22" t="e">
        <f>IF($A22="","",IF(COUNTIFS('Player Rounds'!$A$2:$A$401,$A22,'Player Rounds'!$B$2:$B$401,$B22,'Player Rounds'!$W$2:$W$401,"&gt;0")=0,"",SIGN(_xlfn.MINIFS('Player Rounds'!$AQ$2:$AQ$401,'Player Rounds'!$A$2:$A$401,$A22,'Player Rounds'!$B$2:$B$401,$B22,'Player Rounds'!$C$2:$C$401,$D22)-_xlfn.MINIFS('Player Rounds'!$AQ$2:$AQ$401,'Player Rounds'!$A$2:$A$401,$A22,'Player Rounds'!$B$2:$B$401,$B22,'Player Rounds'!$C$2:$C$401,$C22))))</f>
      </c>
      <c r="AD22" t="e">
        <f>IF($A22="","",SUM($L22:L22))</f>
      </c>
      <c r="AE22" t="e">
        <f>IF($A22="","",SUM($L22:M22))</f>
      </c>
      <c r="AF22" t="e">
        <f>IF($A22="","",SUM($L22:N22))</f>
      </c>
      <c r="AG22" t="e">
        <f>IF($A22="","",SUM($L22:O22))</f>
      </c>
      <c r="AH22" t="e">
        <f>IF($A22="","",SUM($L22:P22))</f>
      </c>
      <c r="AI22" t="e">
        <f>IF($A22="","",SUM($L22:Q22))</f>
      </c>
      <c r="AJ22" t="e">
        <f>IF($A22="","",SUM($L22:R22))</f>
      </c>
      <c r="AK22" t="e">
        <f>IF($A22="","",SUM($L22:S22))</f>
      </c>
      <c r="AL22" t="e">
        <f>IF($A22="","",SUM($L22:T22))</f>
      </c>
      <c r="AM22" t="e">
        <f>IF($A22="","",SUM($L22:U22))</f>
      </c>
      <c r="AN22" t="e">
        <f>IF($A22="","",SUM($L22:V22))</f>
      </c>
      <c r="AO22" t="e">
        <f>IF($A22="","",SUM($L22:W22))</f>
      </c>
      <c r="AP22" t="e">
        <f>IF($A22="","",SUM($L22:X22))</f>
      </c>
      <c r="AQ22" t="e">
        <f>IF($A22="","",SUM($L22:Y22))</f>
      </c>
      <c r="AR22" t="e">
        <f>IF($A22="","",SUM($L22:Z22))</f>
      </c>
      <c r="AS22" t="e">
        <f>IF($A22="","",SUM($L22:AA22))</f>
      </c>
      <c r="AT22" t="e">
        <f>IF($A22="","",SUM($L22:AB22))</f>
      </c>
      <c r="AU22" t="e">
        <f>IF($A22="","",SUM($L22:AC22))</f>
      </c>
      <c r="AV22" t="e">
        <f>IF(OR($A22="",L22=""),"",IF(ABS(AD22)&gt;17,1,""))</f>
      </c>
      <c r="AW22" t="e">
        <f>IF(OR($A22="",M22=""),"",IF(ABS(AE22)&gt;16,2,""))</f>
      </c>
      <c r="AX22" t="e">
        <f>IF(OR($A22="",N22=""),"",IF(ABS(AF22)&gt;15,3,""))</f>
      </c>
      <c r="AY22" t="e">
        <f>IF(OR($A22="",O22=""),"",IF(ABS(AG22)&gt;14,4,""))</f>
      </c>
      <c r="AZ22" t="e">
        <f>IF(OR($A22="",P22=""),"",IF(ABS(AH22)&gt;13,5,""))</f>
      </c>
      <c r="BA22" t="e">
        <f>IF(OR($A22="",Q22=""),"",IF(ABS(AI22)&gt;12,6,""))</f>
      </c>
      <c r="BB22" t="e">
        <f>IF(OR($A22="",R22=""),"",IF(ABS(AJ22)&gt;11,7,""))</f>
      </c>
      <c r="BC22" t="e">
        <f>IF(OR($A22="",S22=""),"",IF(ABS(AK22)&gt;10,8,""))</f>
      </c>
      <c r="BD22" t="e">
        <f>IF(OR($A22="",T22=""),"",IF(ABS(AL22)&gt;9,9,""))</f>
      </c>
      <c r="BE22" t="e">
        <f>IF(OR($A22="",U22=""),"",IF(ABS(AM22)&gt;8,10,""))</f>
      </c>
      <c r="BF22" t="e">
        <f>IF(OR($A22="",V22=""),"",IF(ABS(AN22)&gt;7,11,""))</f>
      </c>
      <c r="BG22" t="e">
        <f>IF(OR($A22="",W22=""),"",IF(ABS(AO22)&gt;6,12,""))</f>
      </c>
      <c r="BH22" t="e">
        <f>IF(OR($A22="",X22=""),"",IF(ABS(AP22)&gt;5,13,""))</f>
      </c>
      <c r="BI22" t="e">
        <f>IF(OR($A22="",Y22=""),"",IF(ABS(AQ22)&gt;4,14,""))</f>
      </c>
      <c r="BJ22" t="e">
        <f>IF(OR($A22="",Z22=""),"",IF(ABS(AR22)&gt;3,15,""))</f>
      </c>
      <c r="BK22" t="e">
        <f>IF(OR($A22="",AA22=""),"",IF(ABS(AS22)&gt;2,16,""))</f>
      </c>
      <c r="BL22" t="e">
        <f>IF(OR($A22="",AB22=""),"",IF(ABS(AT22)&gt;1,17,""))</f>
      </c>
      <c r="BM22" t="e">
        <f>IF(OR($A22="",AC22=""),"",IF(ABS(AU22)&gt;0,18,""))</f>
      </c>
    </row>
    <row r="23">
      <c r="C23" t="str">
        <f>IF($A23="","",INDEX('Tournament Setup'!$J:$J,MATCH($A23,'Tournament Setup'!$A:$A,0)))</f>
        <v/>
      </c>
      <c r="D23" t="str">
        <f>IF($A23="","",INDEX('Tournament Setup'!$K:$K,MATCH($A23,'Tournament Setup'!$A:$A,0)))</f>
        <v/>
      </c>
      <c r="E23" t="str">
        <f>IF($A23="","",IF(COUNT(L23:AC23)=0,"Not played",IF(AND($K23&gt;0,$K23&lt;18),IF(INDEX(AD23:AU23,1,$K23)&gt;0,$C23,$D23)&amp;" "&amp;ABS(INDEX(AD23:AU23,1,$K23))&amp;"&amp;"&amp;(18-$K23),IF($J23=0,"Halved (AS)",IF($J23&gt;0,$C23,$D23)&amp;" "&amp;ABS($J23)&amp;" UP"))))</f>
        <v/>
      </c>
      <c r="F23" t="e">
        <f>IF(OR($A23="",COUNT(L23:AC23)=0),"",INDEX('Tournament Setup'!$I:$I,MATCH($A23,'Tournament Setup'!$A:$A,0))*IF(INDEX('Tournament Setup'!$H:$H,MATCH($A23,'Tournament Setup'!$A:$A,0))="Yes",IF($H23&gt;0,1,IF($H23=0,0.5,0))+IF($I23&gt;0,1,IF($I23=0,0.5,0))+IF($J23&gt;0,1,IF($J23=0,0.5,0)),IF(IF(AND($K23&gt;0,$K23&lt;18),INDEX(AD23:AU23,1,$K23),$J23)&gt;0,1,IF(IF(AND($K23&gt;0,$K23&lt;18),INDEX(AD23:AU23,1,$K23),$J23)=0,0.5,0))))</f>
      </c>
      <c r="G23" t="e">
        <f>IF(OR($A23="",COUNT(L23:AC23)=0),"",INDEX('Tournament Setup'!$I:$I,MATCH($A23,'Tournament Setup'!$A:$A,0))*IF(INDEX('Tournament Setup'!$H:$H,MATCH($A23,'Tournament Setup'!$A:$A,0))="Yes",IF($H23&lt;0,1,IF($H23=0,0.5,0))+IF($I23&lt;0,1,IF($I23=0,0.5,0))+IF($J23&lt;0,1,IF($J23=0,0.5,0)),IF(IF(AND($K23&gt;0,$K23&lt;18),INDEX(AD23:AU23,1,$K23),$J23)&lt;0,1,IF(IF(AND($K23&gt;0,$K23&lt;18),INDEX(AD23:AU23,1,$K23),$J23)=0,0.5,0))))</f>
      </c>
      <c r="H23" t="e">
        <f>IF($A23="","",SUM(L23:T23))</f>
      </c>
      <c r="I23" t="e">
        <f>IF($A23="","",SUM(U23:AC23))</f>
      </c>
      <c r="J23" t="e">
        <f>IF($A23="","",SUM(L23:AC23))</f>
      </c>
      <c r="K23" t="e">
        <f>IF($A23="","",MIN(AV23:BM23))</f>
      </c>
      <c r="L23" t="e">
        <f>IF($A23="","",IF(COUNTIFS('Player Rounds'!$A$2:$A$401,$A23,'Player Rounds'!$B$2:$B$401,$B23,'Player Rounds'!$F$2:$F$401,"&gt;0")=0,"",SIGN(_xlfn.MINIFS('Player Rounds'!$Z$2:$Z$401,'Player Rounds'!$A$2:$A$401,$A23,'Player Rounds'!$B$2:$B$401,$B23,'Player Rounds'!$C$2:$C$401,$D23)-_xlfn.MINIFS('Player Rounds'!$Z$2:$Z$401,'Player Rounds'!$A$2:$A$401,$A23,'Player Rounds'!$B$2:$B$401,$B23,'Player Rounds'!$C$2:$C$401,$C23))))</f>
      </c>
      <c r="M23" t="e">
        <f>IF($A23="","",IF(COUNTIFS('Player Rounds'!$A$2:$A$401,$A23,'Player Rounds'!$B$2:$B$401,$B23,'Player Rounds'!$G$2:$G$401,"&gt;0")=0,"",SIGN(_xlfn.MINIFS('Player Rounds'!$AA$2:$AA$401,'Player Rounds'!$A$2:$A$401,$A23,'Player Rounds'!$B$2:$B$401,$B23,'Player Rounds'!$C$2:$C$401,$D23)-_xlfn.MINIFS('Player Rounds'!$AA$2:$AA$401,'Player Rounds'!$A$2:$A$401,$A23,'Player Rounds'!$B$2:$B$401,$B23,'Player Rounds'!$C$2:$C$401,$C23))))</f>
      </c>
      <c r="N23" t="e">
        <f>IF($A23="","",IF(COUNTIFS('Player Rounds'!$A$2:$A$401,$A23,'Player Rounds'!$B$2:$B$401,$B23,'Player Rounds'!$H$2:$H$401,"&gt;0")=0,"",SIGN(_xlfn.MINIFS('Player Rounds'!$AB$2:$AB$401,'Player Rounds'!$A$2:$A$401,$A23,'Player Rounds'!$B$2:$B$401,$B23,'Player Rounds'!$C$2:$C$401,$D23)-_xlfn.MINIFS('Player Rounds'!$AB$2:$AB$401,'Player Rounds'!$A$2:$A$401,$A23,'Player Rounds'!$B$2:$B$401,$B23,'Player Rounds'!$C$2:$C$401,$C23))))</f>
      </c>
      <c r="O23" t="e">
        <f>IF($A23="","",IF(COUNTIFS('Player Rounds'!$A$2:$A$401,$A23,'Player Rounds'!$B$2:$B$401,$B23,'Player Rounds'!$I$2:$I$401,"&gt;0")=0,"",SIGN(_xlfn.MINIFS('Player Rounds'!$AC$2:$AC$401,'Player Rounds'!$A$2:$A$401,$A23,'Player Rounds'!$B$2:$B$401,$B23,'Player Rounds'!$C$2:$C$401,$D23)-_xlfn.MINIFS('Player Rounds'!$AC$2:$AC$401,'Player Rounds'!$A$2:$A$401,$A23,'Player Rounds'!$B$2:$B$401,$B23,'Player Rounds'!$C$2:$C$401,$C23))))</f>
      </c>
      <c r="P23" t="e">
        <f>IF($A23="","",IF(COUNTIFS('Player Rounds'!$A$2:$A$401,$A23,'Player Rounds'!$B$2:$B$401,$B23,'Player Rounds'!$J$2:$J$401,"&gt;0")=0,"",SIGN(_xlfn.MINIFS('Player Rounds'!$AD$2:$AD$401,'Player Rounds'!$A$2:$A$401,$A23,'Player Rounds'!$B$2:$B$401,$B23,'Player Rounds'!$C$2:$C$401,$D23)-_xlfn.MINIFS('Player Rounds'!$AD$2:$AD$401,'Player Rounds'!$A$2:$A$401,$A23,'Player Rounds'!$B$2:$B$401,$B23,'Player Rounds'!$C$2:$C$401,$C23))))</f>
      </c>
      <c r="Q23" t="e">
        <f>IF($A23="","",IF(COUNTIFS('Player Rounds'!$A$2:$A$401,$A23,'Player Rounds'!$B$2:$B$401,$B23,'Player Rounds'!$K$2:$K$401,"&gt;0")=0,"",SIGN(_xlfn.MINIFS('Player Rounds'!$AE$2:$AE$401,'Player Rounds'!$A$2:$A$401,$A23,'Player Rounds'!$B$2:$B$401,$B23,'Player Rounds'!$C$2:$C$401,$D23)-_xlfn.MINIFS('Player Rounds'!$AE$2:$AE$401,'Player Rounds'!$A$2:$A$401,$A23,'Player Rounds'!$B$2:$B$401,$B23,'Player Rounds'!$C$2:$C$401,$C23))))</f>
      </c>
      <c r="R23" t="e">
        <f>IF($A23="","",IF(COUNTIFS('Player Rounds'!$A$2:$A$401,$A23,'Player Rounds'!$B$2:$B$401,$B23,'Player Rounds'!$L$2:$L$401,"&gt;0")=0,"",SIGN(_xlfn.MINIFS('Player Rounds'!$AF$2:$AF$401,'Player Rounds'!$A$2:$A$401,$A23,'Player Rounds'!$B$2:$B$401,$B23,'Player Rounds'!$C$2:$C$401,$D23)-_xlfn.MINIFS('Player Rounds'!$AF$2:$AF$401,'Player Rounds'!$A$2:$A$401,$A23,'Player Rounds'!$B$2:$B$401,$B23,'Player Rounds'!$C$2:$C$401,$C23))))</f>
      </c>
      <c r="S23" t="e">
        <f>IF($A23="","",IF(COUNTIFS('Player Rounds'!$A$2:$A$401,$A23,'Player Rounds'!$B$2:$B$401,$B23,'Player Rounds'!$M$2:$M$401,"&gt;0")=0,"",SIGN(_xlfn.MINIFS('Player Rounds'!$AG$2:$AG$401,'Player Rounds'!$A$2:$A$401,$A23,'Player Rounds'!$B$2:$B$401,$B23,'Player Rounds'!$C$2:$C$401,$D23)-_xlfn.MINIFS('Player Rounds'!$AG$2:$AG$401,'Player Rounds'!$A$2:$A$401,$A23,'Player Rounds'!$B$2:$B$401,$B23,'Player Rounds'!$C$2:$C$401,$C23))))</f>
      </c>
      <c r="T23" t="e">
        <f>IF($A23="","",IF(COUNTIFS('Player Rounds'!$A$2:$A$401,$A23,'Player Rounds'!$B$2:$B$401,$B23,'Player Rounds'!$N$2:$N$401,"&gt;0")=0,"",SIGN(_xlfn.MINIFS('Player Rounds'!$AH$2:$AH$401,'Player Rounds'!$A$2:$A$401,$A23,'Player Rounds'!$B$2:$B$401,$B23,'Player Rounds'!$C$2:$C$401,$D23)-_xlfn.MINIFS('Player Rounds'!$AH$2:$AH$401,'Player Rounds'!$A$2:$A$401,$A23,'Player Rounds'!$B$2:$B$401,$B23,'Player Rounds'!$C$2:$C$401,$C23))))</f>
      </c>
      <c r="U23" t="e">
        <f>IF($A23="","",IF(COUNTIFS('Player Rounds'!$A$2:$A$401,$A23,'Player Rounds'!$B$2:$B$401,$B23,'Player Rounds'!$O$2:$O$401,"&gt;0")=0,"",SIGN(_xlfn.MINIFS('Player Rounds'!$AI$2:$AI$401,'Player Rounds'!$A$2:$A$401,$A23,'Player Rounds'!$B$2:$B$401,$B23,'Player Rounds'!$C$2:$C$401,$D23)-_xlfn.MINIFS('Player Rounds'!$AI$2:$AI$401,'Player Rounds'!$A$2:$A$401,$A23,'Player Rounds'!$B$2:$B$401,$B23,'Player Rounds'!$C$2:$C$401,$C23))))</f>
      </c>
      <c r="V23" t="e">
        <f>IF($A23="","",IF(COUNTIFS('Player Rounds'!$A$2:$A$401,$A23,'Player Rounds'!$B$2:$B$401,$B23,'Player Rounds'!$P$2:$P$401,"&gt;0")=0,"",SIGN(_xlfn.MINIFS('Player Rounds'!$AJ$2:$AJ$401,'Player Rounds'!$A$2:$A$401,$A23,'Player Rounds'!$B$2:$B$401,$B23,'Player Rounds'!$C$2:$C$401,$D23)-_xlfn.MINIFS('Player Rounds'!$AJ$2:$AJ$401,'Player Rounds'!$A$2:$A$401,$A23,'Player Rounds'!$B$2:$B$401,$B23,'Player Rounds'!$C$2:$C$401,$C23))))</f>
      </c>
      <c r="W23" t="e">
        <f>IF($A23="","",IF(COUNTIFS('Player Rounds'!$A$2:$A$401,$A23,'Player Rounds'!$B$2:$B$401,$B23,'Player Rounds'!$Q$2:$Q$401,"&gt;0")=0,"",SIGN(_xlfn.MINIFS('Player Rounds'!$AK$2:$AK$401,'Player Rounds'!$A$2:$A$401,$A23,'Player Rounds'!$B$2:$B$401,$B23,'Player Rounds'!$C$2:$C$401,$D23)-_xlfn.MINIFS('Player Rounds'!$AK$2:$AK$401,'Player Rounds'!$A$2:$A$401,$A23,'Player Rounds'!$B$2:$B$401,$B23,'Player Rounds'!$C$2:$C$401,$C23))))</f>
      </c>
      <c r="X23" t="e">
        <f>IF($A23="","",IF(COUNTIFS('Player Rounds'!$A$2:$A$401,$A23,'Player Rounds'!$B$2:$B$401,$B23,'Player Rounds'!$R$2:$R$401,"&gt;0")=0,"",SIGN(_xlfn.MINIFS('Player Rounds'!$AL$2:$AL$401,'Player Rounds'!$A$2:$A$401,$A23,'Player Rounds'!$B$2:$B$401,$B23,'Player Rounds'!$C$2:$C$401,$D23)-_xlfn.MINIFS('Player Rounds'!$AL$2:$AL$401,'Player Rounds'!$A$2:$A$401,$A23,'Player Rounds'!$B$2:$B$401,$B23,'Player Rounds'!$C$2:$C$401,$C23))))</f>
      </c>
      <c r="Y23" t="e">
        <f>IF($A23="","",IF(COUNTIFS('Player Rounds'!$A$2:$A$401,$A23,'Player Rounds'!$B$2:$B$401,$B23,'Player Rounds'!$S$2:$S$401,"&gt;0")=0,"",SIGN(_xlfn.MINIFS('Player Rounds'!$AM$2:$AM$401,'Player Rounds'!$A$2:$A$401,$A23,'Player Rounds'!$B$2:$B$401,$B23,'Player Rounds'!$C$2:$C$401,$D23)-_xlfn.MINIFS('Player Rounds'!$AM$2:$AM$401,'Player Rounds'!$A$2:$A$401,$A23,'Player Rounds'!$B$2:$B$401,$B23,'Player Rounds'!$C$2:$C$401,$C23))))</f>
      </c>
      <c r="Z23" t="e">
        <f>IF($A23="","",IF(COUNTIFS('Player Rounds'!$A$2:$A$401,$A23,'Player Rounds'!$B$2:$B$401,$B23,'Player Rounds'!$T$2:$T$401,"&gt;0")=0,"",SIGN(_xlfn.MINIFS('Player Rounds'!$AN$2:$AN$401,'Player Rounds'!$A$2:$A$401,$A23,'Player Rounds'!$B$2:$B$401,$B23,'Player Rounds'!$C$2:$C$401,$D23)-_xlfn.MINIFS('Player Rounds'!$AN$2:$AN$401,'Player Rounds'!$A$2:$A$401,$A23,'Player Rounds'!$B$2:$B$401,$B23,'Player Rounds'!$C$2:$C$401,$C23))))</f>
      </c>
      <c r="AA23" t="e">
        <f>IF($A23="","",IF(COUNTIFS('Player Rounds'!$A$2:$A$401,$A23,'Player Rounds'!$B$2:$B$401,$B23,'Player Rounds'!$U$2:$U$401,"&gt;0")=0,"",SIGN(_xlfn.MINIFS('Player Rounds'!$AO$2:$AO$401,'Player Rounds'!$A$2:$A$401,$A23,'Player Rounds'!$B$2:$B$401,$B23,'Player Rounds'!$C$2:$C$401,$D23)-_xlfn.MINIFS('Player Rounds'!$AO$2:$AO$401,'Player Rounds'!$A$2:$A$401,$A23,'Player Rounds'!$B$2:$B$401,$B23,'Player Rounds'!$C$2:$C$401,$C23))))</f>
      </c>
      <c r="AB23" t="e">
        <f>IF($A23="","",IF(COUNTIFS('Player Rounds'!$A$2:$A$401,$A23,'Player Rounds'!$B$2:$B$401,$B23,'Player Rounds'!$V$2:$V$401,"&gt;0")=0,"",SIGN(_xlfn.MINIFS('Player Rounds'!$AP$2:$AP$401,'Player Rounds'!$A$2:$A$401,$A23,'Player Rounds'!$B$2:$B$401,$B23,'Player Rounds'!$C$2:$C$401,$D23)-_xlfn.MINIFS('Player Rounds'!$AP$2:$AP$401,'Player Rounds'!$A$2:$A$401,$A23,'Player Rounds'!$B$2:$B$401,$B23,'Player Rounds'!$C$2:$C$401,$C23))))</f>
      </c>
      <c r="AC23" t="e">
        <f>IF($A23="","",IF(COUNTIFS('Player Rounds'!$A$2:$A$401,$A23,'Player Rounds'!$B$2:$B$401,$B23,'Player Rounds'!$W$2:$W$401,"&gt;0")=0,"",SIGN(_xlfn.MINIFS('Player Rounds'!$AQ$2:$AQ$401,'Player Rounds'!$A$2:$A$401,$A23,'Player Rounds'!$B$2:$B$401,$B23,'Player Rounds'!$C$2:$C$401,$D23)-_xlfn.MINIFS('Player Rounds'!$AQ$2:$AQ$401,'Player Rounds'!$A$2:$A$401,$A23,'Player Rounds'!$B$2:$B$401,$B23,'Player Rounds'!$C$2:$C$401,$C23))))</f>
      </c>
      <c r="AD23" t="e">
        <f>IF($A23="","",SUM($L23:L23))</f>
      </c>
      <c r="AE23" t="e">
        <f>IF($A23="","",SUM($L23:M23))</f>
      </c>
      <c r="AF23" t="e">
        <f>IF($A23="","",SUM($L23:N23))</f>
      </c>
      <c r="AG23" t="e">
        <f>IF($A23="","",SUM($L23:O23))</f>
      </c>
      <c r="AH23" t="e">
        <f>IF($A23="","",SUM($L23:P23))</f>
      </c>
      <c r="AI23" t="e">
        <f>IF($A23="","",SUM($L23:Q23))</f>
      </c>
      <c r="AJ23" t="e">
        <f>IF($A23="","",SUM($L23:R23))</f>
      </c>
      <c r="AK23" t="e">
        <f>IF($A23="","",SUM($L23:S23))</f>
      </c>
      <c r="AL23" t="e">
        <f>IF($A23="","",SUM($L23:T23))</f>
      </c>
      <c r="AM23" t="e">
        <f>IF($A23="","",SUM($L23:U23))</f>
      </c>
      <c r="AN23" t="e">
        <f>IF($A23="","",SUM($L23:V23))</f>
      </c>
      <c r="AO23" t="e">
        <f>IF($A23="","",SUM($L23:W23))</f>
      </c>
      <c r="AP23" t="e">
        <f>IF($A23="","",SUM($L23:X23))</f>
      </c>
      <c r="AQ23" t="e">
        <f>IF($A23="","",SUM($L23:Y23))</f>
      </c>
      <c r="AR23" t="e">
        <f>IF($A23="","",SUM($L23:Z23))</f>
      </c>
      <c r="AS23" t="e">
        <f>IF($A23="","",SUM($L23:AA23))</f>
      </c>
      <c r="AT23" t="e">
        <f>IF($A23="","",SUM($L23:AB23))</f>
      </c>
      <c r="AU23" t="e">
        <f>IF($A23="","",SUM($L23:AC23))</f>
      </c>
      <c r="AV23" t="e">
        <f>IF(OR($A23="",L23=""),"",IF(ABS(AD23)&gt;17,1,""))</f>
      </c>
      <c r="AW23" t="e">
        <f>IF(OR($A23="",M23=""),"",IF(ABS(AE23)&gt;16,2,""))</f>
      </c>
      <c r="AX23" t="e">
        <f>IF(OR($A23="",N23=""),"",IF(ABS(AF23)&gt;15,3,""))</f>
      </c>
      <c r="AY23" t="e">
        <f>IF(OR($A23="",O23=""),"",IF(ABS(AG23)&gt;14,4,""))</f>
      </c>
      <c r="AZ23" t="e">
        <f>IF(OR($A23="",P23=""),"",IF(ABS(AH23)&gt;13,5,""))</f>
      </c>
      <c r="BA23" t="e">
        <f>IF(OR($A23="",Q23=""),"",IF(ABS(AI23)&gt;12,6,""))</f>
      </c>
      <c r="BB23" t="e">
        <f>IF(OR($A23="",R23=""),"",IF(ABS(AJ23)&gt;11,7,""))</f>
      </c>
      <c r="BC23" t="e">
        <f>IF(OR($A23="",S23=""),"",IF(ABS(AK23)&gt;10,8,""))</f>
      </c>
      <c r="BD23" t="e">
        <f>IF(OR($A23="",T23=""),"",IF(ABS(AL23)&gt;9,9,""))</f>
      </c>
      <c r="BE23" t="e">
        <f>IF(OR($A23="",U23=""),"",IF(ABS(AM23)&gt;8,10,""))</f>
      </c>
      <c r="BF23" t="e">
        <f>IF(OR($A23="",V23=""),"",IF(ABS(AN23)&gt;7,11,""))</f>
      </c>
      <c r="BG23" t="e">
        <f>IF(OR($A23="",W23=""),"",IF(ABS(AO23)&gt;6,12,""))</f>
      </c>
      <c r="BH23" t="e">
        <f>IF(OR($A23="",X23=""),"",IF(ABS(AP23)&gt;5,13,""))</f>
      </c>
      <c r="BI23" t="e">
        <f>IF(OR($A23="",Y23=""),"",IF(ABS(AQ23)&gt;4,14,""))</f>
      </c>
      <c r="BJ23" t="e">
        <f>IF(OR($A23="",Z23=""),"",IF(ABS(AR23)&gt;3,15,""))</f>
      </c>
      <c r="BK23" t="e">
        <f>IF(OR($A23="",AA23=""),"",IF(ABS(AS23)&gt;2,16,""))</f>
      </c>
      <c r="BL23" t="e">
        <f>IF(OR($A23="",AB23=""),"",IF(ABS(AT23)&gt;1,17,""))</f>
      </c>
      <c r="BM23" t="e">
        <f>IF(OR($A23="",AC23=""),"",IF(ABS(AU23)&gt;0,18,""))</f>
      </c>
    </row>
    <row r="24">
      <c r="C24" t="str">
        <f>IF($A24="","",INDEX('Tournament Setup'!$J:$J,MATCH($A24,'Tournament Setup'!$A:$A,0)))</f>
        <v/>
      </c>
      <c r="D24" t="str">
        <f>IF($A24="","",INDEX('Tournament Setup'!$K:$K,MATCH($A24,'Tournament Setup'!$A:$A,0)))</f>
        <v/>
      </c>
      <c r="E24" t="str">
        <f>IF($A24="","",IF(COUNT(L24:AC24)=0,"Not played",IF(AND($K24&gt;0,$K24&lt;18),IF(INDEX(AD24:AU24,1,$K24)&gt;0,$C24,$D24)&amp;" "&amp;ABS(INDEX(AD24:AU24,1,$K24))&amp;"&amp;"&amp;(18-$K24),IF($J24=0,"Halved (AS)",IF($J24&gt;0,$C24,$D24)&amp;" "&amp;ABS($J24)&amp;" UP"))))</f>
        <v/>
      </c>
      <c r="F24" t="e">
        <f>IF(OR($A24="",COUNT(L24:AC24)=0),"",INDEX('Tournament Setup'!$I:$I,MATCH($A24,'Tournament Setup'!$A:$A,0))*IF(INDEX('Tournament Setup'!$H:$H,MATCH($A24,'Tournament Setup'!$A:$A,0))="Yes",IF($H24&gt;0,1,IF($H24=0,0.5,0))+IF($I24&gt;0,1,IF($I24=0,0.5,0))+IF($J24&gt;0,1,IF($J24=0,0.5,0)),IF(IF(AND($K24&gt;0,$K24&lt;18),INDEX(AD24:AU24,1,$K24),$J24)&gt;0,1,IF(IF(AND($K24&gt;0,$K24&lt;18),INDEX(AD24:AU24,1,$K24),$J24)=0,0.5,0))))</f>
      </c>
      <c r="G24" t="e">
        <f>IF(OR($A24="",COUNT(L24:AC24)=0),"",INDEX('Tournament Setup'!$I:$I,MATCH($A24,'Tournament Setup'!$A:$A,0))*IF(INDEX('Tournament Setup'!$H:$H,MATCH($A24,'Tournament Setup'!$A:$A,0))="Yes",IF($H24&lt;0,1,IF($H24=0,0.5,0))+IF($I24&lt;0,1,IF($I24=0,0.5,0))+IF($J24&lt;0,1,IF($J24=0,0.5,0)),IF(IF(AND($K24&gt;0,$K24&lt;18),INDEX(AD24:AU24,1,$K24),$J24)&lt;0,1,IF(IF(AND($K24&gt;0,$K24&lt;18),INDEX(AD24:AU24,1,$K24),$J24)=0,0.5,0))))</f>
      </c>
      <c r="H24" t="e">
        <f>IF($A24="","",SUM(L24:T24))</f>
      </c>
      <c r="I24" t="e">
        <f>IF($A24="","",SUM(U24:AC24))</f>
      </c>
      <c r="J24" t="e">
        <f>IF($A24="","",SUM(L24:AC24))</f>
      </c>
      <c r="K24" t="e">
        <f>IF($A24="","",MIN(AV24:BM24))</f>
      </c>
      <c r="L24" t="e">
        <f>IF($A24="","",IF(COUNTIFS('Player Rounds'!$A$2:$A$401,$A24,'Player Rounds'!$B$2:$B$401,$B24,'Player Rounds'!$F$2:$F$401,"&gt;0")=0,"",SIGN(_xlfn.MINIFS('Player Rounds'!$Z$2:$Z$401,'Player Rounds'!$A$2:$A$401,$A24,'Player Rounds'!$B$2:$B$401,$B24,'Player Rounds'!$C$2:$C$401,$D24)-_xlfn.MINIFS('Player Rounds'!$Z$2:$Z$401,'Player Rounds'!$A$2:$A$401,$A24,'Player Rounds'!$B$2:$B$401,$B24,'Player Rounds'!$C$2:$C$401,$C24))))</f>
      </c>
      <c r="M24" t="e">
        <f>IF($A24="","",IF(COUNTIFS('Player Rounds'!$A$2:$A$401,$A24,'Player Rounds'!$B$2:$B$401,$B24,'Player Rounds'!$G$2:$G$401,"&gt;0")=0,"",SIGN(_xlfn.MINIFS('Player Rounds'!$AA$2:$AA$401,'Player Rounds'!$A$2:$A$401,$A24,'Player Rounds'!$B$2:$B$401,$B24,'Player Rounds'!$C$2:$C$401,$D24)-_xlfn.MINIFS('Player Rounds'!$AA$2:$AA$401,'Player Rounds'!$A$2:$A$401,$A24,'Player Rounds'!$B$2:$B$401,$B24,'Player Rounds'!$C$2:$C$401,$C24))))</f>
      </c>
      <c r="N24" t="e">
        <f>IF($A24="","",IF(COUNTIFS('Player Rounds'!$A$2:$A$401,$A24,'Player Rounds'!$B$2:$B$401,$B24,'Player Rounds'!$H$2:$H$401,"&gt;0")=0,"",SIGN(_xlfn.MINIFS('Player Rounds'!$AB$2:$AB$401,'Player Rounds'!$A$2:$A$401,$A24,'Player Rounds'!$B$2:$B$401,$B24,'Player Rounds'!$C$2:$C$401,$D24)-_xlfn.MINIFS('Player Rounds'!$AB$2:$AB$401,'Player Rounds'!$A$2:$A$401,$A24,'Player Rounds'!$B$2:$B$401,$B24,'Player Rounds'!$C$2:$C$401,$C24))))</f>
      </c>
      <c r="O24" t="e">
        <f>IF($A24="","",IF(COUNTIFS('Player Rounds'!$A$2:$A$401,$A24,'Player Rounds'!$B$2:$B$401,$B24,'Player Rounds'!$I$2:$I$401,"&gt;0")=0,"",SIGN(_xlfn.MINIFS('Player Rounds'!$AC$2:$AC$401,'Player Rounds'!$A$2:$A$401,$A24,'Player Rounds'!$B$2:$B$401,$B24,'Player Rounds'!$C$2:$C$401,$D24)-_xlfn.MINIFS('Player Rounds'!$AC$2:$AC$401,'Player Rounds'!$A$2:$A$401,$A24,'Player Rounds'!$B$2:$B$401,$B24,'Player Rounds'!$C$2:$C$401,$C24))))</f>
      </c>
      <c r="P24" t="e">
        <f>IF($A24="","",IF(COUNTIFS('Player Rounds'!$A$2:$A$401,$A24,'Player Rounds'!$B$2:$B$401,$B24,'Player Rounds'!$J$2:$J$401,"&gt;0")=0,"",SIGN(_xlfn.MINIFS('Player Rounds'!$AD$2:$AD$401,'Player Rounds'!$A$2:$A$401,$A24,'Player Rounds'!$B$2:$B$401,$B24,'Player Rounds'!$C$2:$C$401,$D24)-_xlfn.MINIFS('Player Rounds'!$AD$2:$AD$401,'Player Rounds'!$A$2:$A$401,$A24,'Player Rounds'!$B$2:$B$401,$B24,'Player Rounds'!$C$2:$C$401,$C24))))</f>
      </c>
      <c r="Q24" t="e">
        <f>IF($A24="","",IF(COUNTIFS('Player Rounds'!$A$2:$A$401,$A24,'Player Rounds'!$B$2:$B$401,$B24,'Player Rounds'!$K$2:$K$401,"&gt;0")=0,"",SIGN(_xlfn.MINIFS('Player Rounds'!$AE$2:$AE$401,'Player Rounds'!$A$2:$A$401,$A24,'Player Rounds'!$B$2:$B$401,$B24,'Player Rounds'!$C$2:$C$401,$D24)-_xlfn.MINIFS('Player Rounds'!$AE$2:$AE$401,'Player Rounds'!$A$2:$A$401,$A24,'Player Rounds'!$B$2:$B$401,$B24,'Player Rounds'!$C$2:$C$401,$C24))))</f>
      </c>
      <c r="R24" t="e">
        <f>IF($A24="","",IF(COUNTIFS('Player Rounds'!$A$2:$A$401,$A24,'Player Rounds'!$B$2:$B$401,$B24,'Player Rounds'!$L$2:$L$401,"&gt;0")=0,"",SIGN(_xlfn.MINIFS('Player Rounds'!$AF$2:$AF$401,'Player Rounds'!$A$2:$A$401,$A24,'Player Rounds'!$B$2:$B$401,$B24,'Player Rounds'!$C$2:$C$401,$D24)-_xlfn.MINIFS('Player Rounds'!$AF$2:$AF$401,'Player Rounds'!$A$2:$A$401,$A24,'Player Rounds'!$B$2:$B$401,$B24,'Player Rounds'!$C$2:$C$401,$C24))))</f>
      </c>
      <c r="S24" t="e">
        <f>IF($A24="","",IF(COUNTIFS('Player Rounds'!$A$2:$A$401,$A24,'Player Rounds'!$B$2:$B$401,$B24,'Player Rounds'!$M$2:$M$401,"&gt;0")=0,"",SIGN(_xlfn.MINIFS('Player Rounds'!$AG$2:$AG$401,'Player Rounds'!$A$2:$A$401,$A24,'Player Rounds'!$B$2:$B$401,$B24,'Player Rounds'!$C$2:$C$401,$D24)-_xlfn.MINIFS('Player Rounds'!$AG$2:$AG$401,'Player Rounds'!$A$2:$A$401,$A24,'Player Rounds'!$B$2:$B$401,$B24,'Player Rounds'!$C$2:$C$401,$C24))))</f>
      </c>
      <c r="T24" t="e">
        <f>IF($A24="","",IF(COUNTIFS('Player Rounds'!$A$2:$A$401,$A24,'Player Rounds'!$B$2:$B$401,$B24,'Player Rounds'!$N$2:$N$401,"&gt;0")=0,"",SIGN(_xlfn.MINIFS('Player Rounds'!$AH$2:$AH$401,'Player Rounds'!$A$2:$A$401,$A24,'Player Rounds'!$B$2:$B$401,$B24,'Player Rounds'!$C$2:$C$401,$D24)-_xlfn.MINIFS('Player Rounds'!$AH$2:$AH$401,'Player Rounds'!$A$2:$A$401,$A24,'Player Rounds'!$B$2:$B$401,$B24,'Player Rounds'!$C$2:$C$401,$C24))))</f>
      </c>
      <c r="U24" t="e">
        <f>IF($A24="","",IF(COUNTIFS('Player Rounds'!$A$2:$A$401,$A24,'Player Rounds'!$B$2:$B$401,$B24,'Player Rounds'!$O$2:$O$401,"&gt;0")=0,"",SIGN(_xlfn.MINIFS('Player Rounds'!$AI$2:$AI$401,'Player Rounds'!$A$2:$A$401,$A24,'Player Rounds'!$B$2:$B$401,$B24,'Player Rounds'!$C$2:$C$401,$D24)-_xlfn.MINIFS('Player Rounds'!$AI$2:$AI$401,'Player Rounds'!$A$2:$A$401,$A24,'Player Rounds'!$B$2:$B$401,$B24,'Player Rounds'!$C$2:$C$401,$C24))))</f>
      </c>
      <c r="V24" t="e">
        <f>IF($A24="","",IF(COUNTIFS('Player Rounds'!$A$2:$A$401,$A24,'Player Rounds'!$B$2:$B$401,$B24,'Player Rounds'!$P$2:$P$401,"&gt;0")=0,"",SIGN(_xlfn.MINIFS('Player Rounds'!$AJ$2:$AJ$401,'Player Rounds'!$A$2:$A$401,$A24,'Player Rounds'!$B$2:$B$401,$B24,'Player Rounds'!$C$2:$C$401,$D24)-_xlfn.MINIFS('Player Rounds'!$AJ$2:$AJ$401,'Player Rounds'!$A$2:$A$401,$A24,'Player Rounds'!$B$2:$B$401,$B24,'Player Rounds'!$C$2:$C$401,$C24))))</f>
      </c>
      <c r="W24" t="e">
        <f>IF($A24="","",IF(COUNTIFS('Player Rounds'!$A$2:$A$401,$A24,'Player Rounds'!$B$2:$B$401,$B24,'Player Rounds'!$Q$2:$Q$401,"&gt;0")=0,"",SIGN(_xlfn.MINIFS('Player Rounds'!$AK$2:$AK$401,'Player Rounds'!$A$2:$A$401,$A24,'Player Rounds'!$B$2:$B$401,$B24,'Player Rounds'!$C$2:$C$401,$D24)-_xlfn.MINIFS('Player Rounds'!$AK$2:$AK$401,'Player Rounds'!$A$2:$A$401,$A24,'Player Rounds'!$B$2:$B$401,$B24,'Player Rounds'!$C$2:$C$401,$C24))))</f>
      </c>
      <c r="X24" t="e">
        <f>IF($A24="","",IF(COUNTIFS('Player Rounds'!$A$2:$A$401,$A24,'Player Rounds'!$B$2:$B$401,$B24,'Player Rounds'!$R$2:$R$401,"&gt;0")=0,"",SIGN(_xlfn.MINIFS('Player Rounds'!$AL$2:$AL$401,'Player Rounds'!$A$2:$A$401,$A24,'Player Rounds'!$B$2:$B$401,$B24,'Player Rounds'!$C$2:$C$401,$D24)-_xlfn.MINIFS('Player Rounds'!$AL$2:$AL$401,'Player Rounds'!$A$2:$A$401,$A24,'Player Rounds'!$B$2:$B$401,$B24,'Player Rounds'!$C$2:$C$401,$C24))))</f>
      </c>
      <c r="Y24" t="e">
        <f>IF($A24="","",IF(COUNTIFS('Player Rounds'!$A$2:$A$401,$A24,'Player Rounds'!$B$2:$B$401,$B24,'Player Rounds'!$S$2:$S$401,"&gt;0")=0,"",SIGN(_xlfn.MINIFS('Player Rounds'!$AM$2:$AM$401,'Player Rounds'!$A$2:$A$401,$A24,'Player Rounds'!$B$2:$B$401,$B24,'Player Rounds'!$C$2:$C$401,$D24)-_xlfn.MINIFS('Player Rounds'!$AM$2:$AM$401,'Player Rounds'!$A$2:$A$401,$A24,'Player Rounds'!$B$2:$B$401,$B24,'Player Rounds'!$C$2:$C$401,$C24))))</f>
      </c>
      <c r="Z24" t="e">
        <f>IF($A24="","",IF(COUNTIFS('Player Rounds'!$A$2:$A$401,$A24,'Player Rounds'!$B$2:$B$401,$B24,'Player Rounds'!$T$2:$T$401,"&gt;0")=0,"",SIGN(_xlfn.MINIFS('Player Rounds'!$AN$2:$AN$401,'Player Rounds'!$A$2:$A$401,$A24,'Player Rounds'!$B$2:$B$401,$B24,'Player Rounds'!$C$2:$C$401,$D24)-_xlfn.MINIFS('Player Rounds'!$AN$2:$AN$401,'Player Rounds'!$A$2:$A$401,$A24,'Player Rounds'!$B$2:$B$401,$B24,'Player Rounds'!$C$2:$C$401,$C24))))</f>
      </c>
      <c r="AA24" t="e">
        <f>IF($A24="","",IF(COUNTIFS('Player Rounds'!$A$2:$A$401,$A24,'Player Rounds'!$B$2:$B$401,$B24,'Player Rounds'!$U$2:$U$401,"&gt;0")=0,"",SIGN(_xlfn.MINIFS('Player Rounds'!$AO$2:$AO$401,'Player Rounds'!$A$2:$A$401,$A24,'Player Rounds'!$B$2:$B$401,$B24,'Player Rounds'!$C$2:$C$401,$D24)-_xlfn.MINIFS('Player Rounds'!$AO$2:$AO$401,'Player Rounds'!$A$2:$A$401,$A24,'Player Rounds'!$B$2:$B$401,$B24,'Player Rounds'!$C$2:$C$401,$C24))))</f>
      </c>
      <c r="AB24" t="e">
        <f>IF($A24="","",IF(COUNTIFS('Player Rounds'!$A$2:$A$401,$A24,'Player Rounds'!$B$2:$B$401,$B24,'Player Rounds'!$V$2:$V$401,"&gt;0")=0,"",SIGN(_xlfn.MINIFS('Player Rounds'!$AP$2:$AP$401,'Player Rounds'!$A$2:$A$401,$A24,'Player Rounds'!$B$2:$B$401,$B24,'Player Rounds'!$C$2:$C$401,$D24)-_xlfn.MINIFS('Player Rounds'!$AP$2:$AP$401,'Player Rounds'!$A$2:$A$401,$A24,'Player Rounds'!$B$2:$B$401,$B24,'Player Rounds'!$C$2:$C$401,$C24))))</f>
      </c>
      <c r="AC24" t="e">
        <f>IF($A24="","",IF(COUNTIFS('Player Rounds'!$A$2:$A$401,$A24,'Player Rounds'!$B$2:$B$401,$B24,'Player Rounds'!$W$2:$W$401,"&gt;0")=0,"",SIGN(_xlfn.MINIFS('Player Rounds'!$AQ$2:$AQ$401,'Player Rounds'!$A$2:$A$401,$A24,'Player Rounds'!$B$2:$B$401,$B24,'Player Rounds'!$C$2:$C$401,$D24)-_xlfn.MINIFS('Player Rounds'!$AQ$2:$AQ$401,'Player Rounds'!$A$2:$A$401,$A24,'Player Rounds'!$B$2:$B$401,$B24,'Player Rounds'!$C$2:$C$401,$C24))))</f>
      </c>
      <c r="AD24" t="e">
        <f>IF($A24="","",SUM($L24:L24))</f>
      </c>
      <c r="AE24" t="e">
        <f>IF($A24="","",SUM($L24:M24))</f>
      </c>
      <c r="AF24" t="e">
        <f>IF($A24="","",SUM($L24:N24))</f>
      </c>
      <c r="AG24" t="e">
        <f>IF($A24="","",SUM($L24:O24))</f>
      </c>
      <c r="AH24" t="e">
        <f>IF($A24="","",SUM($L24:P24))</f>
      </c>
      <c r="AI24" t="e">
        <f>IF($A24="","",SUM($L24:Q24))</f>
      </c>
      <c r="AJ24" t="e">
        <f>IF($A24="","",SUM($L24:R24))</f>
      </c>
      <c r="AK24" t="e">
        <f>IF($A24="","",SUM($L24:S24))</f>
      </c>
      <c r="AL24" t="e">
        <f>IF($A24="","",SUM($L24:T24))</f>
      </c>
      <c r="AM24" t="e">
        <f>IF($A24="","",SUM($L24:U24))</f>
      </c>
      <c r="AN24" t="e">
        <f>IF($A24="","",SUM($L24:V24))</f>
      </c>
      <c r="AO24" t="e">
        <f>IF($A24="","",SUM($L24:W24))</f>
      </c>
      <c r="AP24" t="e">
        <f>IF($A24="","",SUM($L24:X24))</f>
      </c>
      <c r="AQ24" t="e">
        <f>IF($A24="","",SUM($L24:Y24))</f>
      </c>
      <c r="AR24" t="e">
        <f>IF($A24="","",SUM($L24:Z24))</f>
      </c>
      <c r="AS24" t="e">
        <f>IF($A24="","",SUM($L24:AA24))</f>
      </c>
      <c r="AT24" t="e">
        <f>IF($A24="","",SUM($L24:AB24))</f>
      </c>
      <c r="AU24" t="e">
        <f>IF($A24="","",SUM($L24:AC24))</f>
      </c>
      <c r="AV24" t="e">
        <f>IF(OR($A24="",L24=""),"",IF(ABS(AD24)&gt;17,1,""))</f>
      </c>
      <c r="AW24" t="e">
        <f>IF(OR($A24="",M24=""),"",IF(ABS(AE24)&gt;16,2,""))</f>
      </c>
      <c r="AX24" t="e">
        <f>IF(OR($A24="",N24=""),"",IF(ABS(AF24)&gt;15,3,""))</f>
      </c>
      <c r="AY24" t="e">
        <f>IF(OR($A24="",O24=""),"",IF(ABS(AG24)&gt;14,4,""))</f>
      </c>
      <c r="AZ24" t="e">
        <f>IF(OR($A24="",P24=""),"",IF(ABS(AH24)&gt;13,5,""))</f>
      </c>
      <c r="BA24" t="e">
        <f>IF(OR($A24="",Q24=""),"",IF(ABS(AI24)&gt;12,6,""))</f>
      </c>
      <c r="BB24" t="e">
        <f>IF(OR($A24="",R24=""),"",IF(ABS(AJ24)&gt;11,7,""))</f>
      </c>
      <c r="BC24" t="e">
        <f>IF(OR($A24="",S24=""),"",IF(ABS(AK24)&gt;10,8,""))</f>
      </c>
      <c r="BD24" t="e">
        <f>IF(OR($A24="",T24=""),"",IF(ABS(AL24)&gt;9,9,""))</f>
      </c>
      <c r="BE24" t="e">
        <f>IF(OR($A24="",U24=""),"",IF(ABS(AM24)&gt;8,10,""))</f>
      </c>
      <c r="BF24" t="e">
        <f>IF(OR($A24="",V24=""),"",IF(ABS(AN24)&gt;7,11,""))</f>
      </c>
      <c r="BG24" t="e">
        <f>IF(OR($A24="",W24=""),"",IF(ABS(AO24)&gt;6,12,""))</f>
      </c>
      <c r="BH24" t="e">
        <f>IF(OR($A24="",X24=""),"",IF(ABS(AP24)&gt;5,13,""))</f>
      </c>
      <c r="BI24" t="e">
        <f>IF(OR($A24="",Y24=""),"",IF(ABS(AQ24)&gt;4,14,""))</f>
      </c>
      <c r="BJ24" t="e">
        <f>IF(OR($A24="",Z24=""),"",IF(ABS(AR24)&gt;3,15,""))</f>
      </c>
      <c r="BK24" t="e">
        <f>IF(OR($A24="",AA24=""),"",IF(ABS(AS24)&gt;2,16,""))</f>
      </c>
      <c r="BL24" t="e">
        <f>IF(OR($A24="",AB24=""),"",IF(ABS(AT24)&gt;1,17,""))</f>
      </c>
      <c r="BM24" t="e">
        <f>IF(OR($A24="",AC24=""),"",IF(ABS(AU24)&gt;0,18,""))</f>
      </c>
    </row>
    <row r="25">
      <c r="C25" t="str">
        <f>IF($A25="","",INDEX('Tournament Setup'!$J:$J,MATCH($A25,'Tournament Setup'!$A:$A,0)))</f>
        <v/>
      </c>
      <c r="D25" t="str">
        <f>IF($A25="","",INDEX('Tournament Setup'!$K:$K,MATCH($A25,'Tournament Setup'!$A:$A,0)))</f>
        <v/>
      </c>
      <c r="E25" t="str">
        <f>IF($A25="","",IF(COUNT(L25:AC25)=0,"Not played",IF(AND($K25&gt;0,$K25&lt;18),IF(INDEX(AD25:AU25,1,$K25)&gt;0,$C25,$D25)&amp;" "&amp;ABS(INDEX(AD25:AU25,1,$K25))&amp;"&amp;"&amp;(18-$K25),IF($J25=0,"Halved (AS)",IF($J25&gt;0,$C25,$D25)&amp;" "&amp;ABS($J25)&amp;" UP"))))</f>
        <v/>
      </c>
      <c r="F25" t="e">
        <f>IF(OR($A25="",COUNT(L25:AC25)=0),"",INDEX('Tournament Setup'!$I:$I,MATCH($A25,'Tournament Setup'!$A:$A,0))*IF(INDEX('Tournament Setup'!$H:$H,MATCH($A25,'Tournament Setup'!$A:$A,0))="Yes",IF($H25&gt;0,1,IF($H25=0,0.5,0))+IF($I25&gt;0,1,IF($I25=0,0.5,0))+IF($J25&gt;0,1,IF($J25=0,0.5,0)),IF(IF(AND($K25&gt;0,$K25&lt;18),INDEX(AD25:AU25,1,$K25),$J25)&gt;0,1,IF(IF(AND($K25&gt;0,$K25&lt;18),INDEX(AD25:AU25,1,$K25),$J25)=0,0.5,0))))</f>
      </c>
      <c r="G25" t="e">
        <f>IF(OR($A25="",COUNT(L25:AC25)=0),"",INDEX('Tournament Setup'!$I:$I,MATCH($A25,'Tournament Setup'!$A:$A,0))*IF(INDEX('Tournament Setup'!$H:$H,MATCH($A25,'Tournament Setup'!$A:$A,0))="Yes",IF($H25&lt;0,1,IF($H25=0,0.5,0))+IF($I25&lt;0,1,IF($I25=0,0.5,0))+IF($J25&lt;0,1,IF($J25=0,0.5,0)),IF(IF(AND($K25&gt;0,$K25&lt;18),INDEX(AD25:AU25,1,$K25),$J25)&lt;0,1,IF(IF(AND($K25&gt;0,$K25&lt;18),INDEX(AD25:AU25,1,$K25),$J25)=0,0.5,0))))</f>
      </c>
      <c r="H25" t="e">
        <f>IF($A25="","",SUM(L25:T25))</f>
      </c>
      <c r="I25" t="e">
        <f>IF($A25="","",SUM(U25:AC25))</f>
      </c>
      <c r="J25" t="e">
        <f>IF($A25="","",SUM(L25:AC25))</f>
      </c>
      <c r="K25" t="e">
        <f>IF($A25="","",MIN(AV25:BM25))</f>
      </c>
      <c r="L25" t="e">
        <f>IF($A25="","",IF(COUNTIFS('Player Rounds'!$A$2:$A$401,$A25,'Player Rounds'!$B$2:$B$401,$B25,'Player Rounds'!$F$2:$F$401,"&gt;0")=0,"",SIGN(_xlfn.MINIFS('Player Rounds'!$Z$2:$Z$401,'Player Rounds'!$A$2:$A$401,$A25,'Player Rounds'!$B$2:$B$401,$B25,'Player Rounds'!$C$2:$C$401,$D25)-_xlfn.MINIFS('Player Rounds'!$Z$2:$Z$401,'Player Rounds'!$A$2:$A$401,$A25,'Player Rounds'!$B$2:$B$401,$B25,'Player Rounds'!$C$2:$C$401,$C25))))</f>
      </c>
      <c r="M25" t="e">
        <f>IF($A25="","",IF(COUNTIFS('Player Rounds'!$A$2:$A$401,$A25,'Player Rounds'!$B$2:$B$401,$B25,'Player Rounds'!$G$2:$G$401,"&gt;0")=0,"",SIGN(_xlfn.MINIFS('Player Rounds'!$AA$2:$AA$401,'Player Rounds'!$A$2:$A$401,$A25,'Player Rounds'!$B$2:$B$401,$B25,'Player Rounds'!$C$2:$C$401,$D25)-_xlfn.MINIFS('Player Rounds'!$AA$2:$AA$401,'Player Rounds'!$A$2:$A$401,$A25,'Player Rounds'!$B$2:$B$401,$B25,'Player Rounds'!$C$2:$C$401,$C25))))</f>
      </c>
      <c r="N25" t="e">
        <f>IF($A25="","",IF(COUNTIFS('Player Rounds'!$A$2:$A$401,$A25,'Player Rounds'!$B$2:$B$401,$B25,'Player Rounds'!$H$2:$H$401,"&gt;0")=0,"",SIGN(_xlfn.MINIFS('Player Rounds'!$AB$2:$AB$401,'Player Rounds'!$A$2:$A$401,$A25,'Player Rounds'!$B$2:$B$401,$B25,'Player Rounds'!$C$2:$C$401,$D25)-_xlfn.MINIFS('Player Rounds'!$AB$2:$AB$401,'Player Rounds'!$A$2:$A$401,$A25,'Player Rounds'!$B$2:$B$401,$B25,'Player Rounds'!$C$2:$C$401,$C25))))</f>
      </c>
      <c r="O25" t="e">
        <f>IF($A25="","",IF(COUNTIFS('Player Rounds'!$A$2:$A$401,$A25,'Player Rounds'!$B$2:$B$401,$B25,'Player Rounds'!$I$2:$I$401,"&gt;0")=0,"",SIGN(_xlfn.MINIFS('Player Rounds'!$AC$2:$AC$401,'Player Rounds'!$A$2:$A$401,$A25,'Player Rounds'!$B$2:$B$401,$B25,'Player Rounds'!$C$2:$C$401,$D25)-_xlfn.MINIFS('Player Rounds'!$AC$2:$AC$401,'Player Rounds'!$A$2:$A$401,$A25,'Player Rounds'!$B$2:$B$401,$B25,'Player Rounds'!$C$2:$C$401,$C25))))</f>
      </c>
      <c r="P25" t="e">
        <f>IF($A25="","",IF(COUNTIFS('Player Rounds'!$A$2:$A$401,$A25,'Player Rounds'!$B$2:$B$401,$B25,'Player Rounds'!$J$2:$J$401,"&gt;0")=0,"",SIGN(_xlfn.MINIFS('Player Rounds'!$AD$2:$AD$401,'Player Rounds'!$A$2:$A$401,$A25,'Player Rounds'!$B$2:$B$401,$B25,'Player Rounds'!$C$2:$C$401,$D25)-_xlfn.MINIFS('Player Rounds'!$AD$2:$AD$401,'Player Rounds'!$A$2:$A$401,$A25,'Player Rounds'!$B$2:$B$401,$B25,'Player Rounds'!$C$2:$C$401,$C25))))</f>
      </c>
      <c r="Q25" t="e">
        <f>IF($A25="","",IF(COUNTIFS('Player Rounds'!$A$2:$A$401,$A25,'Player Rounds'!$B$2:$B$401,$B25,'Player Rounds'!$K$2:$K$401,"&gt;0")=0,"",SIGN(_xlfn.MINIFS('Player Rounds'!$AE$2:$AE$401,'Player Rounds'!$A$2:$A$401,$A25,'Player Rounds'!$B$2:$B$401,$B25,'Player Rounds'!$C$2:$C$401,$D25)-_xlfn.MINIFS('Player Rounds'!$AE$2:$AE$401,'Player Rounds'!$A$2:$A$401,$A25,'Player Rounds'!$B$2:$B$401,$B25,'Player Rounds'!$C$2:$C$401,$C25))))</f>
      </c>
      <c r="R25" t="e">
        <f>IF($A25="","",IF(COUNTIFS('Player Rounds'!$A$2:$A$401,$A25,'Player Rounds'!$B$2:$B$401,$B25,'Player Rounds'!$L$2:$L$401,"&gt;0")=0,"",SIGN(_xlfn.MINIFS('Player Rounds'!$AF$2:$AF$401,'Player Rounds'!$A$2:$A$401,$A25,'Player Rounds'!$B$2:$B$401,$B25,'Player Rounds'!$C$2:$C$401,$D25)-_xlfn.MINIFS('Player Rounds'!$AF$2:$AF$401,'Player Rounds'!$A$2:$A$401,$A25,'Player Rounds'!$B$2:$B$401,$B25,'Player Rounds'!$C$2:$C$401,$C25))))</f>
      </c>
      <c r="S25" t="e">
        <f>IF($A25="","",IF(COUNTIFS('Player Rounds'!$A$2:$A$401,$A25,'Player Rounds'!$B$2:$B$401,$B25,'Player Rounds'!$M$2:$M$401,"&gt;0")=0,"",SIGN(_xlfn.MINIFS('Player Rounds'!$AG$2:$AG$401,'Player Rounds'!$A$2:$A$401,$A25,'Player Rounds'!$B$2:$B$401,$B25,'Player Rounds'!$C$2:$C$401,$D25)-_xlfn.MINIFS('Player Rounds'!$AG$2:$AG$401,'Player Rounds'!$A$2:$A$401,$A25,'Player Rounds'!$B$2:$B$401,$B25,'Player Rounds'!$C$2:$C$401,$C25))))</f>
      </c>
      <c r="T25" t="e">
        <f>IF($A25="","",IF(COUNTIFS('Player Rounds'!$A$2:$A$401,$A25,'Player Rounds'!$B$2:$B$401,$B25,'Player Rounds'!$N$2:$N$401,"&gt;0")=0,"",SIGN(_xlfn.MINIFS('Player Rounds'!$AH$2:$AH$401,'Player Rounds'!$A$2:$A$401,$A25,'Player Rounds'!$B$2:$B$401,$B25,'Player Rounds'!$C$2:$C$401,$D25)-_xlfn.MINIFS('Player Rounds'!$AH$2:$AH$401,'Player Rounds'!$A$2:$A$401,$A25,'Player Rounds'!$B$2:$B$401,$B25,'Player Rounds'!$C$2:$C$401,$C25))))</f>
      </c>
      <c r="U25" t="e">
        <f>IF($A25="","",IF(COUNTIFS('Player Rounds'!$A$2:$A$401,$A25,'Player Rounds'!$B$2:$B$401,$B25,'Player Rounds'!$O$2:$O$401,"&gt;0")=0,"",SIGN(_xlfn.MINIFS('Player Rounds'!$AI$2:$AI$401,'Player Rounds'!$A$2:$A$401,$A25,'Player Rounds'!$B$2:$B$401,$B25,'Player Rounds'!$C$2:$C$401,$D25)-_xlfn.MINIFS('Player Rounds'!$AI$2:$AI$401,'Player Rounds'!$A$2:$A$401,$A25,'Player Rounds'!$B$2:$B$401,$B25,'Player Rounds'!$C$2:$C$401,$C25))))</f>
      </c>
      <c r="V25" t="e">
        <f>IF($A25="","",IF(COUNTIFS('Player Rounds'!$A$2:$A$401,$A25,'Player Rounds'!$B$2:$B$401,$B25,'Player Rounds'!$P$2:$P$401,"&gt;0")=0,"",SIGN(_xlfn.MINIFS('Player Rounds'!$AJ$2:$AJ$401,'Player Rounds'!$A$2:$A$401,$A25,'Player Rounds'!$B$2:$B$401,$B25,'Player Rounds'!$C$2:$C$401,$D25)-_xlfn.MINIFS('Player Rounds'!$AJ$2:$AJ$401,'Player Rounds'!$A$2:$A$401,$A25,'Player Rounds'!$B$2:$B$401,$B25,'Player Rounds'!$C$2:$C$401,$C25))))</f>
      </c>
      <c r="W25" t="e">
        <f>IF($A25="","",IF(COUNTIFS('Player Rounds'!$A$2:$A$401,$A25,'Player Rounds'!$B$2:$B$401,$B25,'Player Rounds'!$Q$2:$Q$401,"&gt;0")=0,"",SIGN(_xlfn.MINIFS('Player Rounds'!$AK$2:$AK$401,'Player Rounds'!$A$2:$A$401,$A25,'Player Rounds'!$B$2:$B$401,$B25,'Player Rounds'!$C$2:$C$401,$D25)-_xlfn.MINIFS('Player Rounds'!$AK$2:$AK$401,'Player Rounds'!$A$2:$A$401,$A25,'Player Rounds'!$B$2:$B$401,$B25,'Player Rounds'!$C$2:$C$401,$C25))))</f>
      </c>
      <c r="X25" t="e">
        <f>IF($A25="","",IF(COUNTIFS('Player Rounds'!$A$2:$A$401,$A25,'Player Rounds'!$B$2:$B$401,$B25,'Player Rounds'!$R$2:$R$401,"&gt;0")=0,"",SIGN(_xlfn.MINIFS('Player Rounds'!$AL$2:$AL$401,'Player Rounds'!$A$2:$A$401,$A25,'Player Rounds'!$B$2:$B$401,$B25,'Player Rounds'!$C$2:$C$401,$D25)-_xlfn.MINIFS('Player Rounds'!$AL$2:$AL$401,'Player Rounds'!$A$2:$A$401,$A25,'Player Rounds'!$B$2:$B$401,$B25,'Player Rounds'!$C$2:$C$401,$C25))))</f>
      </c>
      <c r="Y25" t="e">
        <f>IF($A25="","",IF(COUNTIFS('Player Rounds'!$A$2:$A$401,$A25,'Player Rounds'!$B$2:$B$401,$B25,'Player Rounds'!$S$2:$S$401,"&gt;0")=0,"",SIGN(_xlfn.MINIFS('Player Rounds'!$AM$2:$AM$401,'Player Rounds'!$A$2:$A$401,$A25,'Player Rounds'!$B$2:$B$401,$B25,'Player Rounds'!$C$2:$C$401,$D25)-_xlfn.MINIFS('Player Rounds'!$AM$2:$AM$401,'Player Rounds'!$A$2:$A$401,$A25,'Player Rounds'!$B$2:$B$401,$B25,'Player Rounds'!$C$2:$C$401,$C25))))</f>
      </c>
      <c r="Z25" t="e">
        <f>IF($A25="","",IF(COUNTIFS('Player Rounds'!$A$2:$A$401,$A25,'Player Rounds'!$B$2:$B$401,$B25,'Player Rounds'!$T$2:$T$401,"&gt;0")=0,"",SIGN(_xlfn.MINIFS('Player Rounds'!$AN$2:$AN$401,'Player Rounds'!$A$2:$A$401,$A25,'Player Rounds'!$B$2:$B$401,$B25,'Player Rounds'!$C$2:$C$401,$D25)-_xlfn.MINIFS('Player Rounds'!$AN$2:$AN$401,'Player Rounds'!$A$2:$A$401,$A25,'Player Rounds'!$B$2:$B$401,$B25,'Player Rounds'!$C$2:$C$401,$C25))))</f>
      </c>
      <c r="AA25" t="e">
        <f>IF($A25="","",IF(COUNTIFS('Player Rounds'!$A$2:$A$401,$A25,'Player Rounds'!$B$2:$B$401,$B25,'Player Rounds'!$U$2:$U$401,"&gt;0")=0,"",SIGN(_xlfn.MINIFS('Player Rounds'!$AO$2:$AO$401,'Player Rounds'!$A$2:$A$401,$A25,'Player Rounds'!$B$2:$B$401,$B25,'Player Rounds'!$C$2:$C$401,$D25)-_xlfn.MINIFS('Player Rounds'!$AO$2:$AO$401,'Player Rounds'!$A$2:$A$401,$A25,'Player Rounds'!$B$2:$B$401,$B25,'Player Rounds'!$C$2:$C$401,$C25))))</f>
      </c>
      <c r="AB25" t="e">
        <f>IF($A25="","",IF(COUNTIFS('Player Rounds'!$A$2:$A$401,$A25,'Player Rounds'!$B$2:$B$401,$B25,'Player Rounds'!$V$2:$V$401,"&gt;0")=0,"",SIGN(_xlfn.MINIFS('Player Rounds'!$AP$2:$AP$401,'Player Rounds'!$A$2:$A$401,$A25,'Player Rounds'!$B$2:$B$401,$B25,'Player Rounds'!$C$2:$C$401,$D25)-_xlfn.MINIFS('Player Rounds'!$AP$2:$AP$401,'Player Rounds'!$A$2:$A$401,$A25,'Player Rounds'!$B$2:$B$401,$B25,'Player Rounds'!$C$2:$C$401,$C25))))</f>
      </c>
      <c r="AC25" t="e">
        <f>IF($A25="","",IF(COUNTIFS('Player Rounds'!$A$2:$A$401,$A25,'Player Rounds'!$B$2:$B$401,$B25,'Player Rounds'!$W$2:$W$401,"&gt;0")=0,"",SIGN(_xlfn.MINIFS('Player Rounds'!$AQ$2:$AQ$401,'Player Rounds'!$A$2:$A$401,$A25,'Player Rounds'!$B$2:$B$401,$B25,'Player Rounds'!$C$2:$C$401,$D25)-_xlfn.MINIFS('Player Rounds'!$AQ$2:$AQ$401,'Player Rounds'!$A$2:$A$401,$A25,'Player Rounds'!$B$2:$B$401,$B25,'Player Rounds'!$C$2:$C$401,$C25))))</f>
      </c>
      <c r="AD25" t="e">
        <f>IF($A25="","",SUM($L25:L25))</f>
      </c>
      <c r="AE25" t="e">
        <f>IF($A25="","",SUM($L25:M25))</f>
      </c>
      <c r="AF25" t="e">
        <f>IF($A25="","",SUM($L25:N25))</f>
      </c>
      <c r="AG25" t="e">
        <f>IF($A25="","",SUM($L25:O25))</f>
      </c>
      <c r="AH25" t="e">
        <f>IF($A25="","",SUM($L25:P25))</f>
      </c>
      <c r="AI25" t="e">
        <f>IF($A25="","",SUM($L25:Q25))</f>
      </c>
      <c r="AJ25" t="e">
        <f>IF($A25="","",SUM($L25:R25))</f>
      </c>
      <c r="AK25" t="e">
        <f>IF($A25="","",SUM($L25:S25))</f>
      </c>
      <c r="AL25" t="e">
        <f>IF($A25="","",SUM($L25:T25))</f>
      </c>
      <c r="AM25" t="e">
        <f>IF($A25="","",SUM($L25:U25))</f>
      </c>
      <c r="AN25" t="e">
        <f>IF($A25="","",SUM($L25:V25))</f>
      </c>
      <c r="AO25" t="e">
        <f>IF($A25="","",SUM($L25:W25))</f>
      </c>
      <c r="AP25" t="e">
        <f>IF($A25="","",SUM($L25:X25))</f>
      </c>
      <c r="AQ25" t="e">
        <f>IF($A25="","",SUM($L25:Y25))</f>
      </c>
      <c r="AR25" t="e">
        <f>IF($A25="","",SUM($L25:Z25))</f>
      </c>
      <c r="AS25" t="e">
        <f>IF($A25="","",SUM($L25:AA25))</f>
      </c>
      <c r="AT25" t="e">
        <f>IF($A25="","",SUM($L25:AB25))</f>
      </c>
      <c r="AU25" t="e">
        <f>IF($A25="","",SUM($L25:AC25))</f>
      </c>
      <c r="AV25" t="e">
        <f>IF(OR($A25="",L25=""),"",IF(ABS(AD25)&gt;17,1,""))</f>
      </c>
      <c r="AW25" t="e">
        <f>IF(OR($A25="",M25=""),"",IF(ABS(AE25)&gt;16,2,""))</f>
      </c>
      <c r="AX25" t="e">
        <f>IF(OR($A25="",N25=""),"",IF(ABS(AF25)&gt;15,3,""))</f>
      </c>
      <c r="AY25" t="e">
        <f>IF(OR($A25="",O25=""),"",IF(ABS(AG25)&gt;14,4,""))</f>
      </c>
      <c r="AZ25" t="e">
        <f>IF(OR($A25="",P25=""),"",IF(ABS(AH25)&gt;13,5,""))</f>
      </c>
      <c r="BA25" t="e">
        <f>IF(OR($A25="",Q25=""),"",IF(ABS(AI25)&gt;12,6,""))</f>
      </c>
      <c r="BB25" t="e">
        <f>IF(OR($A25="",R25=""),"",IF(ABS(AJ25)&gt;11,7,""))</f>
      </c>
      <c r="BC25" t="e">
        <f>IF(OR($A25="",S25=""),"",IF(ABS(AK25)&gt;10,8,""))</f>
      </c>
      <c r="BD25" t="e">
        <f>IF(OR($A25="",T25=""),"",IF(ABS(AL25)&gt;9,9,""))</f>
      </c>
      <c r="BE25" t="e">
        <f>IF(OR($A25="",U25=""),"",IF(ABS(AM25)&gt;8,10,""))</f>
      </c>
      <c r="BF25" t="e">
        <f>IF(OR($A25="",V25=""),"",IF(ABS(AN25)&gt;7,11,""))</f>
      </c>
      <c r="BG25" t="e">
        <f>IF(OR($A25="",W25=""),"",IF(ABS(AO25)&gt;6,12,""))</f>
      </c>
      <c r="BH25" t="e">
        <f>IF(OR($A25="",X25=""),"",IF(ABS(AP25)&gt;5,13,""))</f>
      </c>
      <c r="BI25" t="e">
        <f>IF(OR($A25="",Y25=""),"",IF(ABS(AQ25)&gt;4,14,""))</f>
      </c>
      <c r="BJ25" t="e">
        <f>IF(OR($A25="",Z25=""),"",IF(ABS(AR25)&gt;3,15,""))</f>
      </c>
      <c r="BK25" t="e">
        <f>IF(OR($A25="",AA25=""),"",IF(ABS(AS25)&gt;2,16,""))</f>
      </c>
      <c r="BL25" t="e">
        <f>IF(OR($A25="",AB25=""),"",IF(ABS(AT25)&gt;1,17,""))</f>
      </c>
      <c r="BM25" t="e">
        <f>IF(OR($A25="",AC25=""),"",IF(ABS(AU25)&gt;0,18,""))</f>
      </c>
    </row>
    <row r="26">
      <c r="C26" t="str">
        <f>IF($A26="","",INDEX('Tournament Setup'!$J:$J,MATCH($A26,'Tournament Setup'!$A:$A,0)))</f>
        <v/>
      </c>
      <c r="D26" t="str">
        <f>IF($A26="","",INDEX('Tournament Setup'!$K:$K,MATCH($A26,'Tournament Setup'!$A:$A,0)))</f>
        <v/>
      </c>
      <c r="E26" t="str">
        <f>IF($A26="","",IF(COUNT(L26:AC26)=0,"Not played",IF(AND($K26&gt;0,$K26&lt;18),IF(INDEX(AD26:AU26,1,$K26)&gt;0,$C26,$D26)&amp;" "&amp;ABS(INDEX(AD26:AU26,1,$K26))&amp;"&amp;"&amp;(18-$K26),IF($J26=0,"Halved (AS)",IF($J26&gt;0,$C26,$D26)&amp;" "&amp;ABS($J26)&amp;" UP"))))</f>
        <v/>
      </c>
      <c r="F26" t="e">
        <f>IF(OR($A26="",COUNT(L26:AC26)=0),"",INDEX('Tournament Setup'!$I:$I,MATCH($A26,'Tournament Setup'!$A:$A,0))*IF(INDEX('Tournament Setup'!$H:$H,MATCH($A26,'Tournament Setup'!$A:$A,0))="Yes",IF($H26&gt;0,1,IF($H26=0,0.5,0))+IF($I26&gt;0,1,IF($I26=0,0.5,0))+IF($J26&gt;0,1,IF($J26=0,0.5,0)),IF(IF(AND($K26&gt;0,$K26&lt;18),INDEX(AD26:AU26,1,$K26),$J26)&gt;0,1,IF(IF(AND($K26&gt;0,$K26&lt;18),INDEX(AD26:AU26,1,$K26),$J26)=0,0.5,0))))</f>
      </c>
      <c r="G26" t="e">
        <f>IF(OR($A26="",COUNT(L26:AC26)=0),"",INDEX('Tournament Setup'!$I:$I,MATCH($A26,'Tournament Setup'!$A:$A,0))*IF(INDEX('Tournament Setup'!$H:$H,MATCH($A26,'Tournament Setup'!$A:$A,0))="Yes",IF($H26&lt;0,1,IF($H26=0,0.5,0))+IF($I26&lt;0,1,IF($I26=0,0.5,0))+IF($J26&lt;0,1,IF($J26=0,0.5,0)),IF(IF(AND($K26&gt;0,$K26&lt;18),INDEX(AD26:AU26,1,$K26),$J26)&lt;0,1,IF(IF(AND($K26&gt;0,$K26&lt;18),INDEX(AD26:AU26,1,$K26),$J26)=0,0.5,0))))</f>
      </c>
      <c r="H26" t="e">
        <f>IF($A26="","",SUM(L26:T26))</f>
      </c>
      <c r="I26" t="e">
        <f>IF($A26="","",SUM(U26:AC26))</f>
      </c>
      <c r="J26" t="e">
        <f>IF($A26="","",SUM(L26:AC26))</f>
      </c>
      <c r="K26" t="e">
        <f>IF($A26="","",MIN(AV26:BM26))</f>
      </c>
      <c r="L26" t="e">
        <f>IF($A26="","",IF(COUNTIFS('Player Rounds'!$A$2:$A$401,$A26,'Player Rounds'!$B$2:$B$401,$B26,'Player Rounds'!$F$2:$F$401,"&gt;0")=0,"",SIGN(_xlfn.MINIFS('Player Rounds'!$Z$2:$Z$401,'Player Rounds'!$A$2:$A$401,$A26,'Player Rounds'!$B$2:$B$401,$B26,'Player Rounds'!$C$2:$C$401,$D26)-_xlfn.MINIFS('Player Rounds'!$Z$2:$Z$401,'Player Rounds'!$A$2:$A$401,$A26,'Player Rounds'!$B$2:$B$401,$B26,'Player Rounds'!$C$2:$C$401,$C26))))</f>
      </c>
      <c r="M26" t="e">
        <f>IF($A26="","",IF(COUNTIFS('Player Rounds'!$A$2:$A$401,$A26,'Player Rounds'!$B$2:$B$401,$B26,'Player Rounds'!$G$2:$G$401,"&gt;0")=0,"",SIGN(_xlfn.MINIFS('Player Rounds'!$AA$2:$AA$401,'Player Rounds'!$A$2:$A$401,$A26,'Player Rounds'!$B$2:$B$401,$B26,'Player Rounds'!$C$2:$C$401,$D26)-_xlfn.MINIFS('Player Rounds'!$AA$2:$AA$401,'Player Rounds'!$A$2:$A$401,$A26,'Player Rounds'!$B$2:$B$401,$B26,'Player Rounds'!$C$2:$C$401,$C26))))</f>
      </c>
      <c r="N26" t="e">
        <f>IF($A26="","",IF(COUNTIFS('Player Rounds'!$A$2:$A$401,$A26,'Player Rounds'!$B$2:$B$401,$B26,'Player Rounds'!$H$2:$H$401,"&gt;0")=0,"",SIGN(_xlfn.MINIFS('Player Rounds'!$AB$2:$AB$401,'Player Rounds'!$A$2:$A$401,$A26,'Player Rounds'!$B$2:$B$401,$B26,'Player Rounds'!$C$2:$C$401,$D26)-_xlfn.MINIFS('Player Rounds'!$AB$2:$AB$401,'Player Rounds'!$A$2:$A$401,$A26,'Player Rounds'!$B$2:$B$401,$B26,'Player Rounds'!$C$2:$C$401,$C26))))</f>
      </c>
      <c r="O26" t="e">
        <f>IF($A26="","",IF(COUNTIFS('Player Rounds'!$A$2:$A$401,$A26,'Player Rounds'!$B$2:$B$401,$B26,'Player Rounds'!$I$2:$I$401,"&gt;0")=0,"",SIGN(_xlfn.MINIFS('Player Rounds'!$AC$2:$AC$401,'Player Rounds'!$A$2:$A$401,$A26,'Player Rounds'!$B$2:$B$401,$B26,'Player Rounds'!$C$2:$C$401,$D26)-_xlfn.MINIFS('Player Rounds'!$AC$2:$AC$401,'Player Rounds'!$A$2:$A$401,$A26,'Player Rounds'!$B$2:$B$401,$B26,'Player Rounds'!$C$2:$C$401,$C26))))</f>
      </c>
      <c r="P26" t="e">
        <f>IF($A26="","",IF(COUNTIFS('Player Rounds'!$A$2:$A$401,$A26,'Player Rounds'!$B$2:$B$401,$B26,'Player Rounds'!$J$2:$J$401,"&gt;0")=0,"",SIGN(_xlfn.MINIFS('Player Rounds'!$AD$2:$AD$401,'Player Rounds'!$A$2:$A$401,$A26,'Player Rounds'!$B$2:$B$401,$B26,'Player Rounds'!$C$2:$C$401,$D26)-_xlfn.MINIFS('Player Rounds'!$AD$2:$AD$401,'Player Rounds'!$A$2:$A$401,$A26,'Player Rounds'!$B$2:$B$401,$B26,'Player Rounds'!$C$2:$C$401,$C26))))</f>
      </c>
      <c r="Q26" t="e">
        <f>IF($A26="","",IF(COUNTIFS('Player Rounds'!$A$2:$A$401,$A26,'Player Rounds'!$B$2:$B$401,$B26,'Player Rounds'!$K$2:$K$401,"&gt;0")=0,"",SIGN(_xlfn.MINIFS('Player Rounds'!$AE$2:$AE$401,'Player Rounds'!$A$2:$A$401,$A26,'Player Rounds'!$B$2:$B$401,$B26,'Player Rounds'!$C$2:$C$401,$D26)-_xlfn.MINIFS('Player Rounds'!$AE$2:$AE$401,'Player Rounds'!$A$2:$A$401,$A26,'Player Rounds'!$B$2:$B$401,$B26,'Player Rounds'!$C$2:$C$401,$C26))))</f>
      </c>
      <c r="R26" t="e">
        <f>IF($A26="","",IF(COUNTIFS('Player Rounds'!$A$2:$A$401,$A26,'Player Rounds'!$B$2:$B$401,$B26,'Player Rounds'!$L$2:$L$401,"&gt;0")=0,"",SIGN(_xlfn.MINIFS('Player Rounds'!$AF$2:$AF$401,'Player Rounds'!$A$2:$A$401,$A26,'Player Rounds'!$B$2:$B$401,$B26,'Player Rounds'!$C$2:$C$401,$D26)-_xlfn.MINIFS('Player Rounds'!$AF$2:$AF$401,'Player Rounds'!$A$2:$A$401,$A26,'Player Rounds'!$B$2:$B$401,$B26,'Player Rounds'!$C$2:$C$401,$C26))))</f>
      </c>
      <c r="S26" t="e">
        <f>IF($A26="","",IF(COUNTIFS('Player Rounds'!$A$2:$A$401,$A26,'Player Rounds'!$B$2:$B$401,$B26,'Player Rounds'!$M$2:$M$401,"&gt;0")=0,"",SIGN(_xlfn.MINIFS('Player Rounds'!$AG$2:$AG$401,'Player Rounds'!$A$2:$A$401,$A26,'Player Rounds'!$B$2:$B$401,$B26,'Player Rounds'!$C$2:$C$401,$D26)-_xlfn.MINIFS('Player Rounds'!$AG$2:$AG$401,'Player Rounds'!$A$2:$A$401,$A26,'Player Rounds'!$B$2:$B$401,$B26,'Player Rounds'!$C$2:$C$401,$C26))))</f>
      </c>
      <c r="T26" t="e">
        <f>IF($A26="","",IF(COUNTIFS('Player Rounds'!$A$2:$A$401,$A26,'Player Rounds'!$B$2:$B$401,$B26,'Player Rounds'!$N$2:$N$401,"&gt;0")=0,"",SIGN(_xlfn.MINIFS('Player Rounds'!$AH$2:$AH$401,'Player Rounds'!$A$2:$A$401,$A26,'Player Rounds'!$B$2:$B$401,$B26,'Player Rounds'!$C$2:$C$401,$D26)-_xlfn.MINIFS('Player Rounds'!$AH$2:$AH$401,'Player Rounds'!$A$2:$A$401,$A26,'Player Rounds'!$B$2:$B$401,$B26,'Player Rounds'!$C$2:$C$401,$C26))))</f>
      </c>
      <c r="U26" t="e">
        <f>IF($A26="","",IF(COUNTIFS('Player Rounds'!$A$2:$A$401,$A26,'Player Rounds'!$B$2:$B$401,$B26,'Player Rounds'!$O$2:$O$401,"&gt;0")=0,"",SIGN(_xlfn.MINIFS('Player Rounds'!$AI$2:$AI$401,'Player Rounds'!$A$2:$A$401,$A26,'Player Rounds'!$B$2:$B$401,$B26,'Player Rounds'!$C$2:$C$401,$D26)-_xlfn.MINIFS('Player Rounds'!$AI$2:$AI$401,'Player Rounds'!$A$2:$A$401,$A26,'Player Rounds'!$B$2:$B$401,$B26,'Player Rounds'!$C$2:$C$401,$C26))))</f>
      </c>
      <c r="V26" t="e">
        <f>IF($A26="","",IF(COUNTIFS('Player Rounds'!$A$2:$A$401,$A26,'Player Rounds'!$B$2:$B$401,$B26,'Player Rounds'!$P$2:$P$401,"&gt;0")=0,"",SIGN(_xlfn.MINIFS('Player Rounds'!$AJ$2:$AJ$401,'Player Rounds'!$A$2:$A$401,$A26,'Player Rounds'!$B$2:$B$401,$B26,'Player Rounds'!$C$2:$C$401,$D26)-_xlfn.MINIFS('Player Rounds'!$AJ$2:$AJ$401,'Player Rounds'!$A$2:$A$401,$A26,'Player Rounds'!$B$2:$B$401,$B26,'Player Rounds'!$C$2:$C$401,$C26))))</f>
      </c>
      <c r="W26" t="e">
        <f>IF($A26="","",IF(COUNTIFS('Player Rounds'!$A$2:$A$401,$A26,'Player Rounds'!$B$2:$B$401,$B26,'Player Rounds'!$Q$2:$Q$401,"&gt;0")=0,"",SIGN(_xlfn.MINIFS('Player Rounds'!$AK$2:$AK$401,'Player Rounds'!$A$2:$A$401,$A26,'Player Rounds'!$B$2:$B$401,$B26,'Player Rounds'!$C$2:$C$401,$D26)-_xlfn.MINIFS('Player Rounds'!$AK$2:$AK$401,'Player Rounds'!$A$2:$A$401,$A26,'Player Rounds'!$B$2:$B$401,$B26,'Player Rounds'!$C$2:$C$401,$C26))))</f>
      </c>
      <c r="X26" t="e">
        <f>IF($A26="","",IF(COUNTIFS('Player Rounds'!$A$2:$A$401,$A26,'Player Rounds'!$B$2:$B$401,$B26,'Player Rounds'!$R$2:$R$401,"&gt;0")=0,"",SIGN(_xlfn.MINIFS('Player Rounds'!$AL$2:$AL$401,'Player Rounds'!$A$2:$A$401,$A26,'Player Rounds'!$B$2:$B$401,$B26,'Player Rounds'!$C$2:$C$401,$D26)-_xlfn.MINIFS('Player Rounds'!$AL$2:$AL$401,'Player Rounds'!$A$2:$A$401,$A26,'Player Rounds'!$B$2:$B$401,$B26,'Player Rounds'!$C$2:$C$401,$C26))))</f>
      </c>
      <c r="Y26" t="e">
        <f>IF($A26="","",IF(COUNTIFS('Player Rounds'!$A$2:$A$401,$A26,'Player Rounds'!$B$2:$B$401,$B26,'Player Rounds'!$S$2:$S$401,"&gt;0")=0,"",SIGN(_xlfn.MINIFS('Player Rounds'!$AM$2:$AM$401,'Player Rounds'!$A$2:$A$401,$A26,'Player Rounds'!$B$2:$B$401,$B26,'Player Rounds'!$C$2:$C$401,$D26)-_xlfn.MINIFS('Player Rounds'!$AM$2:$AM$401,'Player Rounds'!$A$2:$A$401,$A26,'Player Rounds'!$B$2:$B$401,$B26,'Player Rounds'!$C$2:$C$401,$C26))))</f>
      </c>
      <c r="Z26" t="e">
        <f>IF($A26="","",IF(COUNTIFS('Player Rounds'!$A$2:$A$401,$A26,'Player Rounds'!$B$2:$B$401,$B26,'Player Rounds'!$T$2:$T$401,"&gt;0")=0,"",SIGN(_xlfn.MINIFS('Player Rounds'!$AN$2:$AN$401,'Player Rounds'!$A$2:$A$401,$A26,'Player Rounds'!$B$2:$B$401,$B26,'Player Rounds'!$C$2:$C$401,$D26)-_xlfn.MINIFS('Player Rounds'!$AN$2:$AN$401,'Player Rounds'!$A$2:$A$401,$A26,'Player Rounds'!$B$2:$B$401,$B26,'Player Rounds'!$C$2:$C$401,$C26))))</f>
      </c>
      <c r="AA26" t="e">
        <f>IF($A26="","",IF(COUNTIFS('Player Rounds'!$A$2:$A$401,$A26,'Player Rounds'!$B$2:$B$401,$B26,'Player Rounds'!$U$2:$U$401,"&gt;0")=0,"",SIGN(_xlfn.MINIFS('Player Rounds'!$AO$2:$AO$401,'Player Rounds'!$A$2:$A$401,$A26,'Player Rounds'!$B$2:$B$401,$B26,'Player Rounds'!$C$2:$C$401,$D26)-_xlfn.MINIFS('Player Rounds'!$AO$2:$AO$401,'Player Rounds'!$A$2:$A$401,$A26,'Player Rounds'!$B$2:$B$401,$B26,'Player Rounds'!$C$2:$C$401,$C26))))</f>
      </c>
      <c r="AB26" t="e">
        <f>IF($A26="","",IF(COUNTIFS('Player Rounds'!$A$2:$A$401,$A26,'Player Rounds'!$B$2:$B$401,$B26,'Player Rounds'!$V$2:$V$401,"&gt;0")=0,"",SIGN(_xlfn.MINIFS('Player Rounds'!$AP$2:$AP$401,'Player Rounds'!$A$2:$A$401,$A26,'Player Rounds'!$B$2:$B$401,$B26,'Player Rounds'!$C$2:$C$401,$D26)-_xlfn.MINIFS('Player Rounds'!$AP$2:$AP$401,'Player Rounds'!$A$2:$A$401,$A26,'Player Rounds'!$B$2:$B$401,$B26,'Player Rounds'!$C$2:$C$401,$C26))))</f>
      </c>
      <c r="AC26" t="e">
        <f>IF($A26="","",IF(COUNTIFS('Player Rounds'!$A$2:$A$401,$A26,'Player Rounds'!$B$2:$B$401,$B26,'Player Rounds'!$W$2:$W$401,"&gt;0")=0,"",SIGN(_xlfn.MINIFS('Player Rounds'!$AQ$2:$AQ$401,'Player Rounds'!$A$2:$A$401,$A26,'Player Rounds'!$B$2:$B$401,$B26,'Player Rounds'!$C$2:$C$401,$D26)-_xlfn.MINIFS('Player Rounds'!$AQ$2:$AQ$401,'Player Rounds'!$A$2:$A$401,$A26,'Player Rounds'!$B$2:$B$401,$B26,'Player Rounds'!$C$2:$C$401,$C26))))</f>
      </c>
      <c r="AD26" t="e">
        <f>IF($A26="","",SUM($L26:L26))</f>
      </c>
      <c r="AE26" t="e">
        <f>IF($A26="","",SUM($L26:M26))</f>
      </c>
      <c r="AF26" t="e">
        <f>IF($A26="","",SUM($L26:N26))</f>
      </c>
      <c r="AG26" t="e">
        <f>IF($A26="","",SUM($L26:O26))</f>
      </c>
      <c r="AH26" t="e">
        <f>IF($A26="","",SUM($L26:P26))</f>
      </c>
      <c r="AI26" t="e">
        <f>IF($A26="","",SUM($L26:Q26))</f>
      </c>
      <c r="AJ26" t="e">
        <f>IF($A26="","",SUM($L26:R26))</f>
      </c>
      <c r="AK26" t="e">
        <f>IF($A26="","",SUM($L26:S26))</f>
      </c>
      <c r="AL26" t="e">
        <f>IF($A26="","",SUM($L26:T26))</f>
      </c>
      <c r="AM26" t="e">
        <f>IF($A26="","",SUM($L26:U26))</f>
      </c>
      <c r="AN26" t="e">
        <f>IF($A26="","",SUM($L26:V26))</f>
      </c>
      <c r="AO26" t="e">
        <f>IF($A26="","",SUM($L26:W26))</f>
      </c>
      <c r="AP26" t="e">
        <f>IF($A26="","",SUM($L26:X26))</f>
      </c>
      <c r="AQ26" t="e">
        <f>IF($A26="","",SUM($L26:Y26))</f>
      </c>
      <c r="AR26" t="e">
        <f>IF($A26="","",SUM($L26:Z26))</f>
      </c>
      <c r="AS26" t="e">
        <f>IF($A26="","",SUM($L26:AA26))</f>
      </c>
      <c r="AT26" t="e">
        <f>IF($A26="","",SUM($L26:AB26))</f>
      </c>
      <c r="AU26" t="e">
        <f>IF($A26="","",SUM($L26:AC26))</f>
      </c>
      <c r="AV26" t="e">
        <f>IF(OR($A26="",L26=""),"",IF(ABS(AD26)&gt;17,1,""))</f>
      </c>
      <c r="AW26" t="e">
        <f>IF(OR($A26="",M26=""),"",IF(ABS(AE26)&gt;16,2,""))</f>
      </c>
      <c r="AX26" t="e">
        <f>IF(OR($A26="",N26=""),"",IF(ABS(AF26)&gt;15,3,""))</f>
      </c>
      <c r="AY26" t="e">
        <f>IF(OR($A26="",O26=""),"",IF(ABS(AG26)&gt;14,4,""))</f>
      </c>
      <c r="AZ26" t="e">
        <f>IF(OR($A26="",P26=""),"",IF(ABS(AH26)&gt;13,5,""))</f>
      </c>
      <c r="BA26" t="e">
        <f>IF(OR($A26="",Q26=""),"",IF(ABS(AI26)&gt;12,6,""))</f>
      </c>
      <c r="BB26" t="e">
        <f>IF(OR($A26="",R26=""),"",IF(ABS(AJ26)&gt;11,7,""))</f>
      </c>
      <c r="BC26" t="e">
        <f>IF(OR($A26="",S26=""),"",IF(ABS(AK26)&gt;10,8,""))</f>
      </c>
      <c r="BD26" t="e">
        <f>IF(OR($A26="",T26=""),"",IF(ABS(AL26)&gt;9,9,""))</f>
      </c>
      <c r="BE26" t="e">
        <f>IF(OR($A26="",U26=""),"",IF(ABS(AM26)&gt;8,10,""))</f>
      </c>
      <c r="BF26" t="e">
        <f>IF(OR($A26="",V26=""),"",IF(ABS(AN26)&gt;7,11,""))</f>
      </c>
      <c r="BG26" t="e">
        <f>IF(OR($A26="",W26=""),"",IF(ABS(AO26)&gt;6,12,""))</f>
      </c>
      <c r="BH26" t="e">
        <f>IF(OR($A26="",X26=""),"",IF(ABS(AP26)&gt;5,13,""))</f>
      </c>
      <c r="BI26" t="e">
        <f>IF(OR($A26="",Y26=""),"",IF(ABS(AQ26)&gt;4,14,""))</f>
      </c>
      <c r="BJ26" t="e">
        <f>IF(OR($A26="",Z26=""),"",IF(ABS(AR26)&gt;3,15,""))</f>
      </c>
      <c r="BK26" t="e">
        <f>IF(OR($A26="",AA26=""),"",IF(ABS(AS26)&gt;2,16,""))</f>
      </c>
      <c r="BL26" t="e">
        <f>IF(OR($A26="",AB26=""),"",IF(ABS(AT26)&gt;1,17,""))</f>
      </c>
      <c r="BM26" t="e">
        <f>IF(OR($A26="",AC26=""),"",IF(ABS(AU26)&gt;0,18,""))</f>
      </c>
    </row>
    <row r="27">
      <c r="C27" t="str">
        <f>IF($A27="","",INDEX('Tournament Setup'!$J:$J,MATCH($A27,'Tournament Setup'!$A:$A,0)))</f>
        <v/>
      </c>
      <c r="D27" t="str">
        <f>IF($A27="","",INDEX('Tournament Setup'!$K:$K,MATCH($A27,'Tournament Setup'!$A:$A,0)))</f>
        <v/>
      </c>
      <c r="E27" t="str">
        <f>IF($A27="","",IF(COUNT(L27:AC27)=0,"Not played",IF(AND($K27&gt;0,$K27&lt;18),IF(INDEX(AD27:AU27,1,$K27)&gt;0,$C27,$D27)&amp;" "&amp;ABS(INDEX(AD27:AU27,1,$K27))&amp;"&amp;"&amp;(18-$K27),IF($J27=0,"Halved (AS)",IF($J27&gt;0,$C27,$D27)&amp;" "&amp;ABS($J27)&amp;" UP"))))</f>
        <v/>
      </c>
      <c r="F27" t="e">
        <f>IF(OR($A27="",COUNT(L27:AC27)=0),"",INDEX('Tournament Setup'!$I:$I,MATCH($A27,'Tournament Setup'!$A:$A,0))*IF(INDEX('Tournament Setup'!$H:$H,MATCH($A27,'Tournament Setup'!$A:$A,0))="Yes",IF($H27&gt;0,1,IF($H27=0,0.5,0))+IF($I27&gt;0,1,IF($I27=0,0.5,0))+IF($J27&gt;0,1,IF($J27=0,0.5,0)),IF(IF(AND($K27&gt;0,$K27&lt;18),INDEX(AD27:AU27,1,$K27),$J27)&gt;0,1,IF(IF(AND($K27&gt;0,$K27&lt;18),INDEX(AD27:AU27,1,$K27),$J27)=0,0.5,0))))</f>
      </c>
      <c r="G27" t="e">
        <f>IF(OR($A27="",COUNT(L27:AC27)=0),"",INDEX('Tournament Setup'!$I:$I,MATCH($A27,'Tournament Setup'!$A:$A,0))*IF(INDEX('Tournament Setup'!$H:$H,MATCH($A27,'Tournament Setup'!$A:$A,0))="Yes",IF($H27&lt;0,1,IF($H27=0,0.5,0))+IF($I27&lt;0,1,IF($I27=0,0.5,0))+IF($J27&lt;0,1,IF($J27=0,0.5,0)),IF(IF(AND($K27&gt;0,$K27&lt;18),INDEX(AD27:AU27,1,$K27),$J27)&lt;0,1,IF(IF(AND($K27&gt;0,$K27&lt;18),INDEX(AD27:AU27,1,$K27),$J27)=0,0.5,0))))</f>
      </c>
      <c r="H27" t="e">
        <f>IF($A27="","",SUM(L27:T27))</f>
      </c>
      <c r="I27" t="e">
        <f>IF($A27="","",SUM(U27:AC27))</f>
      </c>
      <c r="J27" t="e">
        <f>IF($A27="","",SUM(L27:AC27))</f>
      </c>
      <c r="K27" t="e">
        <f>IF($A27="","",MIN(AV27:BM27))</f>
      </c>
      <c r="L27" t="e">
        <f>IF($A27="","",IF(COUNTIFS('Player Rounds'!$A$2:$A$401,$A27,'Player Rounds'!$B$2:$B$401,$B27,'Player Rounds'!$F$2:$F$401,"&gt;0")=0,"",SIGN(_xlfn.MINIFS('Player Rounds'!$Z$2:$Z$401,'Player Rounds'!$A$2:$A$401,$A27,'Player Rounds'!$B$2:$B$401,$B27,'Player Rounds'!$C$2:$C$401,$D27)-_xlfn.MINIFS('Player Rounds'!$Z$2:$Z$401,'Player Rounds'!$A$2:$A$401,$A27,'Player Rounds'!$B$2:$B$401,$B27,'Player Rounds'!$C$2:$C$401,$C27))))</f>
      </c>
      <c r="M27" t="e">
        <f>IF($A27="","",IF(COUNTIFS('Player Rounds'!$A$2:$A$401,$A27,'Player Rounds'!$B$2:$B$401,$B27,'Player Rounds'!$G$2:$G$401,"&gt;0")=0,"",SIGN(_xlfn.MINIFS('Player Rounds'!$AA$2:$AA$401,'Player Rounds'!$A$2:$A$401,$A27,'Player Rounds'!$B$2:$B$401,$B27,'Player Rounds'!$C$2:$C$401,$D27)-_xlfn.MINIFS('Player Rounds'!$AA$2:$AA$401,'Player Rounds'!$A$2:$A$401,$A27,'Player Rounds'!$B$2:$B$401,$B27,'Player Rounds'!$C$2:$C$401,$C27))))</f>
      </c>
      <c r="N27" t="e">
        <f>IF($A27="","",IF(COUNTIFS('Player Rounds'!$A$2:$A$401,$A27,'Player Rounds'!$B$2:$B$401,$B27,'Player Rounds'!$H$2:$H$401,"&gt;0")=0,"",SIGN(_xlfn.MINIFS('Player Rounds'!$AB$2:$AB$401,'Player Rounds'!$A$2:$A$401,$A27,'Player Rounds'!$B$2:$B$401,$B27,'Player Rounds'!$C$2:$C$401,$D27)-_xlfn.MINIFS('Player Rounds'!$AB$2:$AB$401,'Player Rounds'!$A$2:$A$401,$A27,'Player Rounds'!$B$2:$B$401,$B27,'Player Rounds'!$C$2:$C$401,$C27))))</f>
      </c>
      <c r="O27" t="e">
        <f>IF($A27="","",IF(COUNTIFS('Player Rounds'!$A$2:$A$401,$A27,'Player Rounds'!$B$2:$B$401,$B27,'Player Rounds'!$I$2:$I$401,"&gt;0")=0,"",SIGN(_xlfn.MINIFS('Player Rounds'!$AC$2:$AC$401,'Player Rounds'!$A$2:$A$401,$A27,'Player Rounds'!$B$2:$B$401,$B27,'Player Rounds'!$C$2:$C$401,$D27)-_xlfn.MINIFS('Player Rounds'!$AC$2:$AC$401,'Player Rounds'!$A$2:$A$401,$A27,'Player Rounds'!$B$2:$B$401,$B27,'Player Rounds'!$C$2:$C$401,$C27))))</f>
      </c>
      <c r="P27" t="e">
        <f>IF($A27="","",IF(COUNTIFS('Player Rounds'!$A$2:$A$401,$A27,'Player Rounds'!$B$2:$B$401,$B27,'Player Rounds'!$J$2:$J$401,"&gt;0")=0,"",SIGN(_xlfn.MINIFS('Player Rounds'!$AD$2:$AD$401,'Player Rounds'!$A$2:$A$401,$A27,'Player Rounds'!$B$2:$B$401,$B27,'Player Rounds'!$C$2:$C$401,$D27)-_xlfn.MINIFS('Player Rounds'!$AD$2:$AD$401,'Player Rounds'!$A$2:$A$401,$A27,'Player Rounds'!$B$2:$B$401,$B27,'Player Rounds'!$C$2:$C$401,$C27))))</f>
      </c>
      <c r="Q27" t="e">
        <f>IF($A27="","",IF(COUNTIFS('Player Rounds'!$A$2:$A$401,$A27,'Player Rounds'!$B$2:$B$401,$B27,'Player Rounds'!$K$2:$K$401,"&gt;0")=0,"",SIGN(_xlfn.MINIFS('Player Rounds'!$AE$2:$AE$401,'Player Rounds'!$A$2:$A$401,$A27,'Player Rounds'!$B$2:$B$401,$B27,'Player Rounds'!$C$2:$C$401,$D27)-_xlfn.MINIFS('Player Rounds'!$AE$2:$AE$401,'Player Rounds'!$A$2:$A$401,$A27,'Player Rounds'!$B$2:$B$401,$B27,'Player Rounds'!$C$2:$C$401,$C27))))</f>
      </c>
      <c r="R27" t="e">
        <f>IF($A27="","",IF(COUNTIFS('Player Rounds'!$A$2:$A$401,$A27,'Player Rounds'!$B$2:$B$401,$B27,'Player Rounds'!$L$2:$L$401,"&gt;0")=0,"",SIGN(_xlfn.MINIFS('Player Rounds'!$AF$2:$AF$401,'Player Rounds'!$A$2:$A$401,$A27,'Player Rounds'!$B$2:$B$401,$B27,'Player Rounds'!$C$2:$C$401,$D27)-_xlfn.MINIFS('Player Rounds'!$AF$2:$AF$401,'Player Rounds'!$A$2:$A$401,$A27,'Player Rounds'!$B$2:$B$401,$B27,'Player Rounds'!$C$2:$C$401,$C27))))</f>
      </c>
      <c r="S27" t="e">
        <f>IF($A27="","",IF(COUNTIFS('Player Rounds'!$A$2:$A$401,$A27,'Player Rounds'!$B$2:$B$401,$B27,'Player Rounds'!$M$2:$M$401,"&gt;0")=0,"",SIGN(_xlfn.MINIFS('Player Rounds'!$AG$2:$AG$401,'Player Rounds'!$A$2:$A$401,$A27,'Player Rounds'!$B$2:$B$401,$B27,'Player Rounds'!$C$2:$C$401,$D27)-_xlfn.MINIFS('Player Rounds'!$AG$2:$AG$401,'Player Rounds'!$A$2:$A$401,$A27,'Player Rounds'!$B$2:$B$401,$B27,'Player Rounds'!$C$2:$C$401,$C27))))</f>
      </c>
      <c r="T27" t="e">
        <f>IF($A27="","",IF(COUNTIFS('Player Rounds'!$A$2:$A$401,$A27,'Player Rounds'!$B$2:$B$401,$B27,'Player Rounds'!$N$2:$N$401,"&gt;0")=0,"",SIGN(_xlfn.MINIFS('Player Rounds'!$AH$2:$AH$401,'Player Rounds'!$A$2:$A$401,$A27,'Player Rounds'!$B$2:$B$401,$B27,'Player Rounds'!$C$2:$C$401,$D27)-_xlfn.MINIFS('Player Rounds'!$AH$2:$AH$401,'Player Rounds'!$A$2:$A$401,$A27,'Player Rounds'!$B$2:$B$401,$B27,'Player Rounds'!$C$2:$C$401,$C27))))</f>
      </c>
      <c r="U27" t="e">
        <f>IF($A27="","",IF(COUNTIFS('Player Rounds'!$A$2:$A$401,$A27,'Player Rounds'!$B$2:$B$401,$B27,'Player Rounds'!$O$2:$O$401,"&gt;0")=0,"",SIGN(_xlfn.MINIFS('Player Rounds'!$AI$2:$AI$401,'Player Rounds'!$A$2:$A$401,$A27,'Player Rounds'!$B$2:$B$401,$B27,'Player Rounds'!$C$2:$C$401,$D27)-_xlfn.MINIFS('Player Rounds'!$AI$2:$AI$401,'Player Rounds'!$A$2:$A$401,$A27,'Player Rounds'!$B$2:$B$401,$B27,'Player Rounds'!$C$2:$C$401,$C27))))</f>
      </c>
      <c r="V27" t="e">
        <f>IF($A27="","",IF(COUNTIFS('Player Rounds'!$A$2:$A$401,$A27,'Player Rounds'!$B$2:$B$401,$B27,'Player Rounds'!$P$2:$P$401,"&gt;0")=0,"",SIGN(_xlfn.MINIFS('Player Rounds'!$AJ$2:$AJ$401,'Player Rounds'!$A$2:$A$401,$A27,'Player Rounds'!$B$2:$B$401,$B27,'Player Rounds'!$C$2:$C$401,$D27)-_xlfn.MINIFS('Player Rounds'!$AJ$2:$AJ$401,'Player Rounds'!$A$2:$A$401,$A27,'Player Rounds'!$B$2:$B$401,$B27,'Player Rounds'!$C$2:$C$401,$C27))))</f>
      </c>
      <c r="W27" t="e">
        <f>IF($A27="","",IF(COUNTIFS('Player Rounds'!$A$2:$A$401,$A27,'Player Rounds'!$B$2:$B$401,$B27,'Player Rounds'!$Q$2:$Q$401,"&gt;0")=0,"",SIGN(_xlfn.MINIFS('Player Rounds'!$AK$2:$AK$401,'Player Rounds'!$A$2:$A$401,$A27,'Player Rounds'!$B$2:$B$401,$B27,'Player Rounds'!$C$2:$C$401,$D27)-_xlfn.MINIFS('Player Rounds'!$AK$2:$AK$401,'Player Rounds'!$A$2:$A$401,$A27,'Player Rounds'!$B$2:$B$401,$B27,'Player Rounds'!$C$2:$C$401,$C27))))</f>
      </c>
      <c r="X27" t="e">
        <f>IF($A27="","",IF(COUNTIFS('Player Rounds'!$A$2:$A$401,$A27,'Player Rounds'!$B$2:$B$401,$B27,'Player Rounds'!$R$2:$R$401,"&gt;0")=0,"",SIGN(_xlfn.MINIFS('Player Rounds'!$AL$2:$AL$401,'Player Rounds'!$A$2:$A$401,$A27,'Player Rounds'!$B$2:$B$401,$B27,'Player Rounds'!$C$2:$C$401,$D27)-_xlfn.MINIFS('Player Rounds'!$AL$2:$AL$401,'Player Rounds'!$A$2:$A$401,$A27,'Player Rounds'!$B$2:$B$401,$B27,'Player Rounds'!$C$2:$C$401,$C27))))</f>
      </c>
      <c r="Y27" t="e">
        <f>IF($A27="","",IF(COUNTIFS('Player Rounds'!$A$2:$A$401,$A27,'Player Rounds'!$B$2:$B$401,$B27,'Player Rounds'!$S$2:$S$401,"&gt;0")=0,"",SIGN(_xlfn.MINIFS('Player Rounds'!$AM$2:$AM$401,'Player Rounds'!$A$2:$A$401,$A27,'Player Rounds'!$B$2:$B$401,$B27,'Player Rounds'!$C$2:$C$401,$D27)-_xlfn.MINIFS('Player Rounds'!$AM$2:$AM$401,'Player Rounds'!$A$2:$A$401,$A27,'Player Rounds'!$B$2:$B$401,$B27,'Player Rounds'!$C$2:$C$401,$C27))))</f>
      </c>
      <c r="Z27" t="e">
        <f>IF($A27="","",IF(COUNTIFS('Player Rounds'!$A$2:$A$401,$A27,'Player Rounds'!$B$2:$B$401,$B27,'Player Rounds'!$T$2:$T$401,"&gt;0")=0,"",SIGN(_xlfn.MINIFS('Player Rounds'!$AN$2:$AN$401,'Player Rounds'!$A$2:$A$401,$A27,'Player Rounds'!$B$2:$B$401,$B27,'Player Rounds'!$C$2:$C$401,$D27)-_xlfn.MINIFS('Player Rounds'!$AN$2:$AN$401,'Player Rounds'!$A$2:$A$401,$A27,'Player Rounds'!$B$2:$B$401,$B27,'Player Rounds'!$C$2:$C$401,$C27))))</f>
      </c>
      <c r="AA27" t="e">
        <f>IF($A27="","",IF(COUNTIFS('Player Rounds'!$A$2:$A$401,$A27,'Player Rounds'!$B$2:$B$401,$B27,'Player Rounds'!$U$2:$U$401,"&gt;0")=0,"",SIGN(_xlfn.MINIFS('Player Rounds'!$AO$2:$AO$401,'Player Rounds'!$A$2:$A$401,$A27,'Player Rounds'!$B$2:$B$401,$B27,'Player Rounds'!$C$2:$C$401,$D27)-_xlfn.MINIFS('Player Rounds'!$AO$2:$AO$401,'Player Rounds'!$A$2:$A$401,$A27,'Player Rounds'!$B$2:$B$401,$B27,'Player Rounds'!$C$2:$C$401,$C27))))</f>
      </c>
      <c r="AB27" t="e">
        <f>IF($A27="","",IF(COUNTIFS('Player Rounds'!$A$2:$A$401,$A27,'Player Rounds'!$B$2:$B$401,$B27,'Player Rounds'!$V$2:$V$401,"&gt;0")=0,"",SIGN(_xlfn.MINIFS('Player Rounds'!$AP$2:$AP$401,'Player Rounds'!$A$2:$A$401,$A27,'Player Rounds'!$B$2:$B$401,$B27,'Player Rounds'!$C$2:$C$401,$D27)-_xlfn.MINIFS('Player Rounds'!$AP$2:$AP$401,'Player Rounds'!$A$2:$A$401,$A27,'Player Rounds'!$B$2:$B$401,$B27,'Player Rounds'!$C$2:$C$401,$C27))))</f>
      </c>
      <c r="AC27" t="e">
        <f>IF($A27="","",IF(COUNTIFS('Player Rounds'!$A$2:$A$401,$A27,'Player Rounds'!$B$2:$B$401,$B27,'Player Rounds'!$W$2:$W$401,"&gt;0")=0,"",SIGN(_xlfn.MINIFS('Player Rounds'!$AQ$2:$AQ$401,'Player Rounds'!$A$2:$A$401,$A27,'Player Rounds'!$B$2:$B$401,$B27,'Player Rounds'!$C$2:$C$401,$D27)-_xlfn.MINIFS('Player Rounds'!$AQ$2:$AQ$401,'Player Rounds'!$A$2:$A$401,$A27,'Player Rounds'!$B$2:$B$401,$B27,'Player Rounds'!$C$2:$C$401,$C27))))</f>
      </c>
      <c r="AD27" t="e">
        <f>IF($A27="","",SUM($L27:L27))</f>
      </c>
      <c r="AE27" t="e">
        <f>IF($A27="","",SUM($L27:M27))</f>
      </c>
      <c r="AF27" t="e">
        <f>IF($A27="","",SUM($L27:N27))</f>
      </c>
      <c r="AG27" t="e">
        <f>IF($A27="","",SUM($L27:O27))</f>
      </c>
      <c r="AH27" t="e">
        <f>IF($A27="","",SUM($L27:P27))</f>
      </c>
      <c r="AI27" t="e">
        <f>IF($A27="","",SUM($L27:Q27))</f>
      </c>
      <c r="AJ27" t="e">
        <f>IF($A27="","",SUM($L27:R27))</f>
      </c>
      <c r="AK27" t="e">
        <f>IF($A27="","",SUM($L27:S27))</f>
      </c>
      <c r="AL27" t="e">
        <f>IF($A27="","",SUM($L27:T27))</f>
      </c>
      <c r="AM27" t="e">
        <f>IF($A27="","",SUM($L27:U27))</f>
      </c>
      <c r="AN27" t="e">
        <f>IF($A27="","",SUM($L27:V27))</f>
      </c>
      <c r="AO27" t="e">
        <f>IF($A27="","",SUM($L27:W27))</f>
      </c>
      <c r="AP27" t="e">
        <f>IF($A27="","",SUM($L27:X27))</f>
      </c>
      <c r="AQ27" t="e">
        <f>IF($A27="","",SUM($L27:Y27))</f>
      </c>
      <c r="AR27" t="e">
        <f>IF($A27="","",SUM($L27:Z27))</f>
      </c>
      <c r="AS27" t="e">
        <f>IF($A27="","",SUM($L27:AA27))</f>
      </c>
      <c r="AT27" t="e">
        <f>IF($A27="","",SUM($L27:AB27))</f>
      </c>
      <c r="AU27" t="e">
        <f>IF($A27="","",SUM($L27:AC27))</f>
      </c>
      <c r="AV27" t="e">
        <f>IF(OR($A27="",L27=""),"",IF(ABS(AD27)&gt;17,1,""))</f>
      </c>
      <c r="AW27" t="e">
        <f>IF(OR($A27="",M27=""),"",IF(ABS(AE27)&gt;16,2,""))</f>
      </c>
      <c r="AX27" t="e">
        <f>IF(OR($A27="",N27=""),"",IF(ABS(AF27)&gt;15,3,""))</f>
      </c>
      <c r="AY27" t="e">
        <f>IF(OR($A27="",O27=""),"",IF(ABS(AG27)&gt;14,4,""))</f>
      </c>
      <c r="AZ27" t="e">
        <f>IF(OR($A27="",P27=""),"",IF(ABS(AH27)&gt;13,5,""))</f>
      </c>
      <c r="BA27" t="e">
        <f>IF(OR($A27="",Q27=""),"",IF(ABS(AI27)&gt;12,6,""))</f>
      </c>
      <c r="BB27" t="e">
        <f>IF(OR($A27="",R27=""),"",IF(ABS(AJ27)&gt;11,7,""))</f>
      </c>
      <c r="BC27" t="e">
        <f>IF(OR($A27="",S27=""),"",IF(ABS(AK27)&gt;10,8,""))</f>
      </c>
      <c r="BD27" t="e">
        <f>IF(OR($A27="",T27=""),"",IF(ABS(AL27)&gt;9,9,""))</f>
      </c>
      <c r="BE27" t="e">
        <f>IF(OR($A27="",U27=""),"",IF(ABS(AM27)&gt;8,10,""))</f>
      </c>
      <c r="BF27" t="e">
        <f>IF(OR($A27="",V27=""),"",IF(ABS(AN27)&gt;7,11,""))</f>
      </c>
      <c r="BG27" t="e">
        <f>IF(OR($A27="",W27=""),"",IF(ABS(AO27)&gt;6,12,""))</f>
      </c>
      <c r="BH27" t="e">
        <f>IF(OR($A27="",X27=""),"",IF(ABS(AP27)&gt;5,13,""))</f>
      </c>
      <c r="BI27" t="e">
        <f>IF(OR($A27="",Y27=""),"",IF(ABS(AQ27)&gt;4,14,""))</f>
      </c>
      <c r="BJ27" t="e">
        <f>IF(OR($A27="",Z27=""),"",IF(ABS(AR27)&gt;3,15,""))</f>
      </c>
      <c r="BK27" t="e">
        <f>IF(OR($A27="",AA27=""),"",IF(ABS(AS27)&gt;2,16,""))</f>
      </c>
      <c r="BL27" t="e">
        <f>IF(OR($A27="",AB27=""),"",IF(ABS(AT27)&gt;1,17,""))</f>
      </c>
      <c r="BM27" t="e">
        <f>IF(OR($A27="",AC27=""),"",IF(ABS(AU27)&gt;0,18,""))</f>
      </c>
    </row>
    <row r="28">
      <c r="C28" t="str">
        <f>IF($A28="","",INDEX('Tournament Setup'!$J:$J,MATCH($A28,'Tournament Setup'!$A:$A,0)))</f>
        <v/>
      </c>
      <c r="D28" t="str">
        <f>IF($A28="","",INDEX('Tournament Setup'!$K:$K,MATCH($A28,'Tournament Setup'!$A:$A,0)))</f>
        <v/>
      </c>
      <c r="E28" t="str">
        <f>IF($A28="","",IF(COUNT(L28:AC28)=0,"Not played",IF(AND($K28&gt;0,$K28&lt;18),IF(INDEX(AD28:AU28,1,$K28)&gt;0,$C28,$D28)&amp;" "&amp;ABS(INDEX(AD28:AU28,1,$K28))&amp;"&amp;"&amp;(18-$K28),IF($J28=0,"Halved (AS)",IF($J28&gt;0,$C28,$D28)&amp;" "&amp;ABS($J28)&amp;" UP"))))</f>
        <v/>
      </c>
      <c r="F28" t="e">
        <f>IF(OR($A28="",COUNT(L28:AC28)=0),"",INDEX('Tournament Setup'!$I:$I,MATCH($A28,'Tournament Setup'!$A:$A,0))*IF(INDEX('Tournament Setup'!$H:$H,MATCH($A28,'Tournament Setup'!$A:$A,0))="Yes",IF($H28&gt;0,1,IF($H28=0,0.5,0))+IF($I28&gt;0,1,IF($I28=0,0.5,0))+IF($J28&gt;0,1,IF($J28=0,0.5,0)),IF(IF(AND($K28&gt;0,$K28&lt;18),INDEX(AD28:AU28,1,$K28),$J28)&gt;0,1,IF(IF(AND($K28&gt;0,$K28&lt;18),INDEX(AD28:AU28,1,$K28),$J28)=0,0.5,0))))</f>
      </c>
      <c r="G28" t="e">
        <f>IF(OR($A28="",COUNT(L28:AC28)=0),"",INDEX('Tournament Setup'!$I:$I,MATCH($A28,'Tournament Setup'!$A:$A,0))*IF(INDEX('Tournament Setup'!$H:$H,MATCH($A28,'Tournament Setup'!$A:$A,0))="Yes",IF($H28&lt;0,1,IF($H28=0,0.5,0))+IF($I28&lt;0,1,IF($I28=0,0.5,0))+IF($J28&lt;0,1,IF($J28=0,0.5,0)),IF(IF(AND($K28&gt;0,$K28&lt;18),INDEX(AD28:AU28,1,$K28),$J28)&lt;0,1,IF(IF(AND($K28&gt;0,$K28&lt;18),INDEX(AD28:AU28,1,$K28),$J28)=0,0.5,0))))</f>
      </c>
      <c r="H28" t="e">
        <f>IF($A28="","",SUM(L28:T28))</f>
      </c>
      <c r="I28" t="e">
        <f>IF($A28="","",SUM(U28:AC28))</f>
      </c>
      <c r="J28" t="e">
        <f>IF($A28="","",SUM(L28:AC28))</f>
      </c>
      <c r="K28" t="e">
        <f>IF($A28="","",MIN(AV28:BM28))</f>
      </c>
      <c r="L28" t="e">
        <f>IF($A28="","",IF(COUNTIFS('Player Rounds'!$A$2:$A$401,$A28,'Player Rounds'!$B$2:$B$401,$B28,'Player Rounds'!$F$2:$F$401,"&gt;0")=0,"",SIGN(_xlfn.MINIFS('Player Rounds'!$Z$2:$Z$401,'Player Rounds'!$A$2:$A$401,$A28,'Player Rounds'!$B$2:$B$401,$B28,'Player Rounds'!$C$2:$C$401,$D28)-_xlfn.MINIFS('Player Rounds'!$Z$2:$Z$401,'Player Rounds'!$A$2:$A$401,$A28,'Player Rounds'!$B$2:$B$401,$B28,'Player Rounds'!$C$2:$C$401,$C28))))</f>
      </c>
      <c r="M28" t="e">
        <f>IF($A28="","",IF(COUNTIFS('Player Rounds'!$A$2:$A$401,$A28,'Player Rounds'!$B$2:$B$401,$B28,'Player Rounds'!$G$2:$G$401,"&gt;0")=0,"",SIGN(_xlfn.MINIFS('Player Rounds'!$AA$2:$AA$401,'Player Rounds'!$A$2:$A$401,$A28,'Player Rounds'!$B$2:$B$401,$B28,'Player Rounds'!$C$2:$C$401,$D28)-_xlfn.MINIFS('Player Rounds'!$AA$2:$AA$401,'Player Rounds'!$A$2:$A$401,$A28,'Player Rounds'!$B$2:$B$401,$B28,'Player Rounds'!$C$2:$C$401,$C28))))</f>
      </c>
      <c r="N28" t="e">
        <f>IF($A28="","",IF(COUNTIFS('Player Rounds'!$A$2:$A$401,$A28,'Player Rounds'!$B$2:$B$401,$B28,'Player Rounds'!$H$2:$H$401,"&gt;0")=0,"",SIGN(_xlfn.MINIFS('Player Rounds'!$AB$2:$AB$401,'Player Rounds'!$A$2:$A$401,$A28,'Player Rounds'!$B$2:$B$401,$B28,'Player Rounds'!$C$2:$C$401,$D28)-_xlfn.MINIFS('Player Rounds'!$AB$2:$AB$401,'Player Rounds'!$A$2:$A$401,$A28,'Player Rounds'!$B$2:$B$401,$B28,'Player Rounds'!$C$2:$C$401,$C28))))</f>
      </c>
      <c r="O28" t="e">
        <f>IF($A28="","",IF(COUNTIFS('Player Rounds'!$A$2:$A$401,$A28,'Player Rounds'!$B$2:$B$401,$B28,'Player Rounds'!$I$2:$I$401,"&gt;0")=0,"",SIGN(_xlfn.MINIFS('Player Rounds'!$AC$2:$AC$401,'Player Rounds'!$A$2:$A$401,$A28,'Player Rounds'!$B$2:$B$401,$B28,'Player Rounds'!$C$2:$C$401,$D28)-_xlfn.MINIFS('Player Rounds'!$AC$2:$AC$401,'Player Rounds'!$A$2:$A$401,$A28,'Player Rounds'!$B$2:$B$401,$B28,'Player Rounds'!$C$2:$C$401,$C28))))</f>
      </c>
      <c r="P28" t="e">
        <f>IF($A28="","",IF(COUNTIFS('Player Rounds'!$A$2:$A$401,$A28,'Player Rounds'!$B$2:$B$401,$B28,'Player Rounds'!$J$2:$J$401,"&gt;0")=0,"",SIGN(_xlfn.MINIFS('Player Rounds'!$AD$2:$AD$401,'Player Rounds'!$A$2:$A$401,$A28,'Player Rounds'!$B$2:$B$401,$B28,'Player Rounds'!$C$2:$C$401,$D28)-_xlfn.MINIFS('Player Rounds'!$AD$2:$AD$401,'Player Rounds'!$A$2:$A$401,$A28,'Player Rounds'!$B$2:$B$401,$B28,'Player Rounds'!$C$2:$C$401,$C28))))</f>
      </c>
      <c r="Q28" t="e">
        <f>IF($A28="","",IF(COUNTIFS('Player Rounds'!$A$2:$A$401,$A28,'Player Rounds'!$B$2:$B$401,$B28,'Player Rounds'!$K$2:$K$401,"&gt;0")=0,"",SIGN(_xlfn.MINIFS('Player Rounds'!$AE$2:$AE$401,'Player Rounds'!$A$2:$A$401,$A28,'Player Rounds'!$B$2:$B$401,$B28,'Player Rounds'!$C$2:$C$401,$D28)-_xlfn.MINIFS('Player Rounds'!$AE$2:$AE$401,'Player Rounds'!$A$2:$A$401,$A28,'Player Rounds'!$B$2:$B$401,$B28,'Player Rounds'!$C$2:$C$401,$C28))))</f>
      </c>
      <c r="R28" t="e">
        <f>IF($A28="","",IF(COUNTIFS('Player Rounds'!$A$2:$A$401,$A28,'Player Rounds'!$B$2:$B$401,$B28,'Player Rounds'!$L$2:$L$401,"&gt;0")=0,"",SIGN(_xlfn.MINIFS('Player Rounds'!$AF$2:$AF$401,'Player Rounds'!$A$2:$A$401,$A28,'Player Rounds'!$B$2:$B$401,$B28,'Player Rounds'!$C$2:$C$401,$D28)-_xlfn.MINIFS('Player Rounds'!$AF$2:$AF$401,'Player Rounds'!$A$2:$A$401,$A28,'Player Rounds'!$B$2:$B$401,$B28,'Player Rounds'!$C$2:$C$401,$C28))))</f>
      </c>
      <c r="S28" t="e">
        <f>IF($A28="","",IF(COUNTIFS('Player Rounds'!$A$2:$A$401,$A28,'Player Rounds'!$B$2:$B$401,$B28,'Player Rounds'!$M$2:$M$401,"&gt;0")=0,"",SIGN(_xlfn.MINIFS('Player Rounds'!$AG$2:$AG$401,'Player Rounds'!$A$2:$A$401,$A28,'Player Rounds'!$B$2:$B$401,$B28,'Player Rounds'!$C$2:$C$401,$D28)-_xlfn.MINIFS('Player Rounds'!$AG$2:$AG$401,'Player Rounds'!$A$2:$A$401,$A28,'Player Rounds'!$B$2:$B$401,$B28,'Player Rounds'!$C$2:$C$401,$C28))))</f>
      </c>
      <c r="T28" t="e">
        <f>IF($A28="","",IF(COUNTIFS('Player Rounds'!$A$2:$A$401,$A28,'Player Rounds'!$B$2:$B$401,$B28,'Player Rounds'!$N$2:$N$401,"&gt;0")=0,"",SIGN(_xlfn.MINIFS('Player Rounds'!$AH$2:$AH$401,'Player Rounds'!$A$2:$A$401,$A28,'Player Rounds'!$B$2:$B$401,$B28,'Player Rounds'!$C$2:$C$401,$D28)-_xlfn.MINIFS('Player Rounds'!$AH$2:$AH$401,'Player Rounds'!$A$2:$A$401,$A28,'Player Rounds'!$B$2:$B$401,$B28,'Player Rounds'!$C$2:$C$401,$C28))))</f>
      </c>
      <c r="U28" t="e">
        <f>IF($A28="","",IF(COUNTIFS('Player Rounds'!$A$2:$A$401,$A28,'Player Rounds'!$B$2:$B$401,$B28,'Player Rounds'!$O$2:$O$401,"&gt;0")=0,"",SIGN(_xlfn.MINIFS('Player Rounds'!$AI$2:$AI$401,'Player Rounds'!$A$2:$A$401,$A28,'Player Rounds'!$B$2:$B$401,$B28,'Player Rounds'!$C$2:$C$401,$D28)-_xlfn.MINIFS('Player Rounds'!$AI$2:$AI$401,'Player Rounds'!$A$2:$A$401,$A28,'Player Rounds'!$B$2:$B$401,$B28,'Player Rounds'!$C$2:$C$401,$C28))))</f>
      </c>
      <c r="V28" t="e">
        <f>IF($A28="","",IF(COUNTIFS('Player Rounds'!$A$2:$A$401,$A28,'Player Rounds'!$B$2:$B$401,$B28,'Player Rounds'!$P$2:$P$401,"&gt;0")=0,"",SIGN(_xlfn.MINIFS('Player Rounds'!$AJ$2:$AJ$401,'Player Rounds'!$A$2:$A$401,$A28,'Player Rounds'!$B$2:$B$401,$B28,'Player Rounds'!$C$2:$C$401,$D28)-_xlfn.MINIFS('Player Rounds'!$AJ$2:$AJ$401,'Player Rounds'!$A$2:$A$401,$A28,'Player Rounds'!$B$2:$B$401,$B28,'Player Rounds'!$C$2:$C$401,$C28))))</f>
      </c>
      <c r="W28" t="e">
        <f>IF($A28="","",IF(COUNTIFS('Player Rounds'!$A$2:$A$401,$A28,'Player Rounds'!$B$2:$B$401,$B28,'Player Rounds'!$Q$2:$Q$401,"&gt;0")=0,"",SIGN(_xlfn.MINIFS('Player Rounds'!$AK$2:$AK$401,'Player Rounds'!$A$2:$A$401,$A28,'Player Rounds'!$B$2:$B$401,$B28,'Player Rounds'!$C$2:$C$401,$D28)-_xlfn.MINIFS('Player Rounds'!$AK$2:$AK$401,'Player Rounds'!$A$2:$A$401,$A28,'Player Rounds'!$B$2:$B$401,$B28,'Player Rounds'!$C$2:$C$401,$C28))))</f>
      </c>
      <c r="X28" t="e">
        <f>IF($A28="","",IF(COUNTIFS('Player Rounds'!$A$2:$A$401,$A28,'Player Rounds'!$B$2:$B$401,$B28,'Player Rounds'!$R$2:$R$401,"&gt;0")=0,"",SIGN(_xlfn.MINIFS('Player Rounds'!$AL$2:$AL$401,'Player Rounds'!$A$2:$A$401,$A28,'Player Rounds'!$B$2:$B$401,$B28,'Player Rounds'!$C$2:$C$401,$D28)-_xlfn.MINIFS('Player Rounds'!$AL$2:$AL$401,'Player Rounds'!$A$2:$A$401,$A28,'Player Rounds'!$B$2:$B$401,$B28,'Player Rounds'!$C$2:$C$401,$C28))))</f>
      </c>
      <c r="Y28" t="e">
        <f>IF($A28="","",IF(COUNTIFS('Player Rounds'!$A$2:$A$401,$A28,'Player Rounds'!$B$2:$B$401,$B28,'Player Rounds'!$S$2:$S$401,"&gt;0")=0,"",SIGN(_xlfn.MINIFS('Player Rounds'!$AM$2:$AM$401,'Player Rounds'!$A$2:$A$401,$A28,'Player Rounds'!$B$2:$B$401,$B28,'Player Rounds'!$C$2:$C$401,$D28)-_xlfn.MINIFS('Player Rounds'!$AM$2:$AM$401,'Player Rounds'!$A$2:$A$401,$A28,'Player Rounds'!$B$2:$B$401,$B28,'Player Rounds'!$C$2:$C$401,$C28))))</f>
      </c>
      <c r="Z28" t="e">
        <f>IF($A28="","",IF(COUNTIFS('Player Rounds'!$A$2:$A$401,$A28,'Player Rounds'!$B$2:$B$401,$B28,'Player Rounds'!$T$2:$T$401,"&gt;0")=0,"",SIGN(_xlfn.MINIFS('Player Rounds'!$AN$2:$AN$401,'Player Rounds'!$A$2:$A$401,$A28,'Player Rounds'!$B$2:$B$401,$B28,'Player Rounds'!$C$2:$C$401,$D28)-_xlfn.MINIFS('Player Rounds'!$AN$2:$AN$401,'Player Rounds'!$A$2:$A$401,$A28,'Player Rounds'!$B$2:$B$401,$B28,'Player Rounds'!$C$2:$C$401,$C28))))</f>
      </c>
      <c r="AA28" t="e">
        <f>IF($A28="","",IF(COUNTIFS('Player Rounds'!$A$2:$A$401,$A28,'Player Rounds'!$B$2:$B$401,$B28,'Player Rounds'!$U$2:$U$401,"&gt;0")=0,"",SIGN(_xlfn.MINIFS('Player Rounds'!$AO$2:$AO$401,'Player Rounds'!$A$2:$A$401,$A28,'Player Rounds'!$B$2:$B$401,$B28,'Player Rounds'!$C$2:$C$401,$D28)-_xlfn.MINIFS('Player Rounds'!$AO$2:$AO$401,'Player Rounds'!$A$2:$A$401,$A28,'Player Rounds'!$B$2:$B$401,$B28,'Player Rounds'!$C$2:$C$401,$C28))))</f>
      </c>
      <c r="AB28" t="e">
        <f>IF($A28="","",IF(COUNTIFS('Player Rounds'!$A$2:$A$401,$A28,'Player Rounds'!$B$2:$B$401,$B28,'Player Rounds'!$V$2:$V$401,"&gt;0")=0,"",SIGN(_xlfn.MINIFS('Player Rounds'!$AP$2:$AP$401,'Player Rounds'!$A$2:$A$401,$A28,'Player Rounds'!$B$2:$B$401,$B28,'Player Rounds'!$C$2:$C$401,$D28)-_xlfn.MINIFS('Player Rounds'!$AP$2:$AP$401,'Player Rounds'!$A$2:$A$401,$A28,'Player Rounds'!$B$2:$B$401,$B28,'Player Rounds'!$C$2:$C$401,$C28))))</f>
      </c>
      <c r="AC28" t="e">
        <f>IF($A28="","",IF(COUNTIFS('Player Rounds'!$A$2:$A$401,$A28,'Player Rounds'!$B$2:$B$401,$B28,'Player Rounds'!$W$2:$W$401,"&gt;0")=0,"",SIGN(_xlfn.MINIFS('Player Rounds'!$AQ$2:$AQ$401,'Player Rounds'!$A$2:$A$401,$A28,'Player Rounds'!$B$2:$B$401,$B28,'Player Rounds'!$C$2:$C$401,$D28)-_xlfn.MINIFS('Player Rounds'!$AQ$2:$AQ$401,'Player Rounds'!$A$2:$A$401,$A28,'Player Rounds'!$B$2:$B$401,$B28,'Player Rounds'!$C$2:$C$401,$C28))))</f>
      </c>
      <c r="AD28" t="e">
        <f>IF($A28="","",SUM($L28:L28))</f>
      </c>
      <c r="AE28" t="e">
        <f>IF($A28="","",SUM($L28:M28))</f>
      </c>
      <c r="AF28" t="e">
        <f>IF($A28="","",SUM($L28:N28))</f>
      </c>
      <c r="AG28" t="e">
        <f>IF($A28="","",SUM($L28:O28))</f>
      </c>
      <c r="AH28" t="e">
        <f>IF($A28="","",SUM($L28:P28))</f>
      </c>
      <c r="AI28" t="e">
        <f>IF($A28="","",SUM($L28:Q28))</f>
      </c>
      <c r="AJ28" t="e">
        <f>IF($A28="","",SUM($L28:R28))</f>
      </c>
      <c r="AK28" t="e">
        <f>IF($A28="","",SUM($L28:S28))</f>
      </c>
      <c r="AL28" t="e">
        <f>IF($A28="","",SUM($L28:T28))</f>
      </c>
      <c r="AM28" t="e">
        <f>IF($A28="","",SUM($L28:U28))</f>
      </c>
      <c r="AN28" t="e">
        <f>IF($A28="","",SUM($L28:V28))</f>
      </c>
      <c r="AO28" t="e">
        <f>IF($A28="","",SUM($L28:W28))</f>
      </c>
      <c r="AP28" t="e">
        <f>IF($A28="","",SUM($L28:X28))</f>
      </c>
      <c r="AQ28" t="e">
        <f>IF($A28="","",SUM($L28:Y28))</f>
      </c>
      <c r="AR28" t="e">
        <f>IF($A28="","",SUM($L28:Z28))</f>
      </c>
      <c r="AS28" t="e">
        <f>IF($A28="","",SUM($L28:AA28))</f>
      </c>
      <c r="AT28" t="e">
        <f>IF($A28="","",SUM($L28:AB28))</f>
      </c>
      <c r="AU28" t="e">
        <f>IF($A28="","",SUM($L28:AC28))</f>
      </c>
      <c r="AV28" t="e">
        <f>IF(OR($A28="",L28=""),"",IF(ABS(AD28)&gt;17,1,""))</f>
      </c>
      <c r="AW28" t="e">
        <f>IF(OR($A28="",M28=""),"",IF(ABS(AE28)&gt;16,2,""))</f>
      </c>
      <c r="AX28" t="e">
        <f>IF(OR($A28="",N28=""),"",IF(ABS(AF28)&gt;15,3,""))</f>
      </c>
      <c r="AY28" t="e">
        <f>IF(OR($A28="",O28=""),"",IF(ABS(AG28)&gt;14,4,""))</f>
      </c>
      <c r="AZ28" t="e">
        <f>IF(OR($A28="",P28=""),"",IF(ABS(AH28)&gt;13,5,""))</f>
      </c>
      <c r="BA28" t="e">
        <f>IF(OR($A28="",Q28=""),"",IF(ABS(AI28)&gt;12,6,""))</f>
      </c>
      <c r="BB28" t="e">
        <f>IF(OR($A28="",R28=""),"",IF(ABS(AJ28)&gt;11,7,""))</f>
      </c>
      <c r="BC28" t="e">
        <f>IF(OR($A28="",S28=""),"",IF(ABS(AK28)&gt;10,8,""))</f>
      </c>
      <c r="BD28" t="e">
        <f>IF(OR($A28="",T28=""),"",IF(ABS(AL28)&gt;9,9,""))</f>
      </c>
      <c r="BE28" t="e">
        <f>IF(OR($A28="",U28=""),"",IF(ABS(AM28)&gt;8,10,""))</f>
      </c>
      <c r="BF28" t="e">
        <f>IF(OR($A28="",V28=""),"",IF(ABS(AN28)&gt;7,11,""))</f>
      </c>
      <c r="BG28" t="e">
        <f>IF(OR($A28="",W28=""),"",IF(ABS(AO28)&gt;6,12,""))</f>
      </c>
      <c r="BH28" t="e">
        <f>IF(OR($A28="",X28=""),"",IF(ABS(AP28)&gt;5,13,""))</f>
      </c>
      <c r="BI28" t="e">
        <f>IF(OR($A28="",Y28=""),"",IF(ABS(AQ28)&gt;4,14,""))</f>
      </c>
      <c r="BJ28" t="e">
        <f>IF(OR($A28="",Z28=""),"",IF(ABS(AR28)&gt;3,15,""))</f>
      </c>
      <c r="BK28" t="e">
        <f>IF(OR($A28="",AA28=""),"",IF(ABS(AS28)&gt;2,16,""))</f>
      </c>
      <c r="BL28" t="e">
        <f>IF(OR($A28="",AB28=""),"",IF(ABS(AT28)&gt;1,17,""))</f>
      </c>
      <c r="BM28" t="e">
        <f>IF(OR($A28="",AC28=""),"",IF(ABS(AU28)&gt;0,18,""))</f>
      </c>
    </row>
    <row r="29">
      <c r="C29" t="str">
        <f>IF($A29="","",INDEX('Tournament Setup'!$J:$J,MATCH($A29,'Tournament Setup'!$A:$A,0)))</f>
        <v/>
      </c>
      <c r="D29" t="str">
        <f>IF($A29="","",INDEX('Tournament Setup'!$K:$K,MATCH($A29,'Tournament Setup'!$A:$A,0)))</f>
        <v/>
      </c>
      <c r="E29" t="str">
        <f>IF($A29="","",IF(COUNT(L29:AC29)=0,"Not played",IF(AND($K29&gt;0,$K29&lt;18),IF(INDEX(AD29:AU29,1,$K29)&gt;0,$C29,$D29)&amp;" "&amp;ABS(INDEX(AD29:AU29,1,$K29))&amp;"&amp;"&amp;(18-$K29),IF($J29=0,"Halved (AS)",IF($J29&gt;0,$C29,$D29)&amp;" "&amp;ABS($J29)&amp;" UP"))))</f>
        <v/>
      </c>
      <c r="F29" t="e">
        <f>IF(OR($A29="",COUNT(L29:AC29)=0),"",INDEX('Tournament Setup'!$I:$I,MATCH($A29,'Tournament Setup'!$A:$A,0))*IF(INDEX('Tournament Setup'!$H:$H,MATCH($A29,'Tournament Setup'!$A:$A,0))="Yes",IF($H29&gt;0,1,IF($H29=0,0.5,0))+IF($I29&gt;0,1,IF($I29=0,0.5,0))+IF($J29&gt;0,1,IF($J29=0,0.5,0)),IF(IF(AND($K29&gt;0,$K29&lt;18),INDEX(AD29:AU29,1,$K29),$J29)&gt;0,1,IF(IF(AND($K29&gt;0,$K29&lt;18),INDEX(AD29:AU29,1,$K29),$J29)=0,0.5,0))))</f>
      </c>
      <c r="G29" t="e">
        <f>IF(OR($A29="",COUNT(L29:AC29)=0),"",INDEX('Tournament Setup'!$I:$I,MATCH($A29,'Tournament Setup'!$A:$A,0))*IF(INDEX('Tournament Setup'!$H:$H,MATCH($A29,'Tournament Setup'!$A:$A,0))="Yes",IF($H29&lt;0,1,IF($H29=0,0.5,0))+IF($I29&lt;0,1,IF($I29=0,0.5,0))+IF($J29&lt;0,1,IF($J29=0,0.5,0)),IF(IF(AND($K29&gt;0,$K29&lt;18),INDEX(AD29:AU29,1,$K29),$J29)&lt;0,1,IF(IF(AND($K29&gt;0,$K29&lt;18),INDEX(AD29:AU29,1,$K29),$J29)=0,0.5,0))))</f>
      </c>
      <c r="H29" t="e">
        <f>IF($A29="","",SUM(L29:T29))</f>
      </c>
      <c r="I29" t="e">
        <f>IF($A29="","",SUM(U29:AC29))</f>
      </c>
      <c r="J29" t="e">
        <f>IF($A29="","",SUM(L29:AC29))</f>
      </c>
      <c r="K29" t="e">
        <f>IF($A29="","",MIN(AV29:BM29))</f>
      </c>
      <c r="L29" t="e">
        <f>IF($A29="","",IF(COUNTIFS('Player Rounds'!$A$2:$A$401,$A29,'Player Rounds'!$B$2:$B$401,$B29,'Player Rounds'!$F$2:$F$401,"&gt;0")=0,"",SIGN(_xlfn.MINIFS('Player Rounds'!$Z$2:$Z$401,'Player Rounds'!$A$2:$A$401,$A29,'Player Rounds'!$B$2:$B$401,$B29,'Player Rounds'!$C$2:$C$401,$D29)-_xlfn.MINIFS('Player Rounds'!$Z$2:$Z$401,'Player Rounds'!$A$2:$A$401,$A29,'Player Rounds'!$B$2:$B$401,$B29,'Player Rounds'!$C$2:$C$401,$C29))))</f>
      </c>
      <c r="M29" t="e">
        <f>IF($A29="","",IF(COUNTIFS('Player Rounds'!$A$2:$A$401,$A29,'Player Rounds'!$B$2:$B$401,$B29,'Player Rounds'!$G$2:$G$401,"&gt;0")=0,"",SIGN(_xlfn.MINIFS('Player Rounds'!$AA$2:$AA$401,'Player Rounds'!$A$2:$A$401,$A29,'Player Rounds'!$B$2:$B$401,$B29,'Player Rounds'!$C$2:$C$401,$D29)-_xlfn.MINIFS('Player Rounds'!$AA$2:$AA$401,'Player Rounds'!$A$2:$A$401,$A29,'Player Rounds'!$B$2:$B$401,$B29,'Player Rounds'!$C$2:$C$401,$C29))))</f>
      </c>
      <c r="N29" t="e">
        <f>IF($A29="","",IF(COUNTIFS('Player Rounds'!$A$2:$A$401,$A29,'Player Rounds'!$B$2:$B$401,$B29,'Player Rounds'!$H$2:$H$401,"&gt;0")=0,"",SIGN(_xlfn.MINIFS('Player Rounds'!$AB$2:$AB$401,'Player Rounds'!$A$2:$A$401,$A29,'Player Rounds'!$B$2:$B$401,$B29,'Player Rounds'!$C$2:$C$401,$D29)-_xlfn.MINIFS('Player Rounds'!$AB$2:$AB$401,'Player Rounds'!$A$2:$A$401,$A29,'Player Rounds'!$B$2:$B$401,$B29,'Player Rounds'!$C$2:$C$401,$C29))))</f>
      </c>
      <c r="O29" t="e">
        <f>IF($A29="","",IF(COUNTIFS('Player Rounds'!$A$2:$A$401,$A29,'Player Rounds'!$B$2:$B$401,$B29,'Player Rounds'!$I$2:$I$401,"&gt;0")=0,"",SIGN(_xlfn.MINIFS('Player Rounds'!$AC$2:$AC$401,'Player Rounds'!$A$2:$A$401,$A29,'Player Rounds'!$B$2:$B$401,$B29,'Player Rounds'!$C$2:$C$401,$D29)-_xlfn.MINIFS('Player Rounds'!$AC$2:$AC$401,'Player Rounds'!$A$2:$A$401,$A29,'Player Rounds'!$B$2:$B$401,$B29,'Player Rounds'!$C$2:$C$401,$C29))))</f>
      </c>
      <c r="P29" t="e">
        <f>IF($A29="","",IF(COUNTIFS('Player Rounds'!$A$2:$A$401,$A29,'Player Rounds'!$B$2:$B$401,$B29,'Player Rounds'!$J$2:$J$401,"&gt;0")=0,"",SIGN(_xlfn.MINIFS('Player Rounds'!$AD$2:$AD$401,'Player Rounds'!$A$2:$A$401,$A29,'Player Rounds'!$B$2:$B$401,$B29,'Player Rounds'!$C$2:$C$401,$D29)-_xlfn.MINIFS('Player Rounds'!$AD$2:$AD$401,'Player Rounds'!$A$2:$A$401,$A29,'Player Rounds'!$B$2:$B$401,$B29,'Player Rounds'!$C$2:$C$401,$C29))))</f>
      </c>
      <c r="Q29" t="e">
        <f>IF($A29="","",IF(COUNTIFS('Player Rounds'!$A$2:$A$401,$A29,'Player Rounds'!$B$2:$B$401,$B29,'Player Rounds'!$K$2:$K$401,"&gt;0")=0,"",SIGN(_xlfn.MINIFS('Player Rounds'!$AE$2:$AE$401,'Player Rounds'!$A$2:$A$401,$A29,'Player Rounds'!$B$2:$B$401,$B29,'Player Rounds'!$C$2:$C$401,$D29)-_xlfn.MINIFS('Player Rounds'!$AE$2:$AE$401,'Player Rounds'!$A$2:$A$401,$A29,'Player Rounds'!$B$2:$B$401,$B29,'Player Rounds'!$C$2:$C$401,$C29))))</f>
      </c>
      <c r="R29" t="e">
        <f>IF($A29="","",IF(COUNTIFS('Player Rounds'!$A$2:$A$401,$A29,'Player Rounds'!$B$2:$B$401,$B29,'Player Rounds'!$L$2:$L$401,"&gt;0")=0,"",SIGN(_xlfn.MINIFS('Player Rounds'!$AF$2:$AF$401,'Player Rounds'!$A$2:$A$401,$A29,'Player Rounds'!$B$2:$B$401,$B29,'Player Rounds'!$C$2:$C$401,$D29)-_xlfn.MINIFS('Player Rounds'!$AF$2:$AF$401,'Player Rounds'!$A$2:$A$401,$A29,'Player Rounds'!$B$2:$B$401,$B29,'Player Rounds'!$C$2:$C$401,$C29))))</f>
      </c>
      <c r="S29" t="e">
        <f>IF($A29="","",IF(COUNTIFS('Player Rounds'!$A$2:$A$401,$A29,'Player Rounds'!$B$2:$B$401,$B29,'Player Rounds'!$M$2:$M$401,"&gt;0")=0,"",SIGN(_xlfn.MINIFS('Player Rounds'!$AG$2:$AG$401,'Player Rounds'!$A$2:$A$401,$A29,'Player Rounds'!$B$2:$B$401,$B29,'Player Rounds'!$C$2:$C$401,$D29)-_xlfn.MINIFS('Player Rounds'!$AG$2:$AG$401,'Player Rounds'!$A$2:$A$401,$A29,'Player Rounds'!$B$2:$B$401,$B29,'Player Rounds'!$C$2:$C$401,$C29))))</f>
      </c>
      <c r="T29" t="e">
        <f>IF($A29="","",IF(COUNTIFS('Player Rounds'!$A$2:$A$401,$A29,'Player Rounds'!$B$2:$B$401,$B29,'Player Rounds'!$N$2:$N$401,"&gt;0")=0,"",SIGN(_xlfn.MINIFS('Player Rounds'!$AH$2:$AH$401,'Player Rounds'!$A$2:$A$401,$A29,'Player Rounds'!$B$2:$B$401,$B29,'Player Rounds'!$C$2:$C$401,$D29)-_xlfn.MINIFS('Player Rounds'!$AH$2:$AH$401,'Player Rounds'!$A$2:$A$401,$A29,'Player Rounds'!$B$2:$B$401,$B29,'Player Rounds'!$C$2:$C$401,$C29))))</f>
      </c>
      <c r="U29" t="e">
        <f>IF($A29="","",IF(COUNTIFS('Player Rounds'!$A$2:$A$401,$A29,'Player Rounds'!$B$2:$B$401,$B29,'Player Rounds'!$O$2:$O$401,"&gt;0")=0,"",SIGN(_xlfn.MINIFS('Player Rounds'!$AI$2:$AI$401,'Player Rounds'!$A$2:$A$401,$A29,'Player Rounds'!$B$2:$B$401,$B29,'Player Rounds'!$C$2:$C$401,$D29)-_xlfn.MINIFS('Player Rounds'!$AI$2:$AI$401,'Player Rounds'!$A$2:$A$401,$A29,'Player Rounds'!$B$2:$B$401,$B29,'Player Rounds'!$C$2:$C$401,$C29))))</f>
      </c>
      <c r="V29" t="e">
        <f>IF($A29="","",IF(COUNTIFS('Player Rounds'!$A$2:$A$401,$A29,'Player Rounds'!$B$2:$B$401,$B29,'Player Rounds'!$P$2:$P$401,"&gt;0")=0,"",SIGN(_xlfn.MINIFS('Player Rounds'!$AJ$2:$AJ$401,'Player Rounds'!$A$2:$A$401,$A29,'Player Rounds'!$B$2:$B$401,$B29,'Player Rounds'!$C$2:$C$401,$D29)-_xlfn.MINIFS('Player Rounds'!$AJ$2:$AJ$401,'Player Rounds'!$A$2:$A$401,$A29,'Player Rounds'!$B$2:$B$401,$B29,'Player Rounds'!$C$2:$C$401,$C29))))</f>
      </c>
      <c r="W29" t="e">
        <f>IF($A29="","",IF(COUNTIFS('Player Rounds'!$A$2:$A$401,$A29,'Player Rounds'!$B$2:$B$401,$B29,'Player Rounds'!$Q$2:$Q$401,"&gt;0")=0,"",SIGN(_xlfn.MINIFS('Player Rounds'!$AK$2:$AK$401,'Player Rounds'!$A$2:$A$401,$A29,'Player Rounds'!$B$2:$B$401,$B29,'Player Rounds'!$C$2:$C$401,$D29)-_xlfn.MINIFS('Player Rounds'!$AK$2:$AK$401,'Player Rounds'!$A$2:$A$401,$A29,'Player Rounds'!$B$2:$B$401,$B29,'Player Rounds'!$C$2:$C$401,$C29))))</f>
      </c>
      <c r="X29" t="e">
        <f>IF($A29="","",IF(COUNTIFS('Player Rounds'!$A$2:$A$401,$A29,'Player Rounds'!$B$2:$B$401,$B29,'Player Rounds'!$R$2:$R$401,"&gt;0")=0,"",SIGN(_xlfn.MINIFS('Player Rounds'!$AL$2:$AL$401,'Player Rounds'!$A$2:$A$401,$A29,'Player Rounds'!$B$2:$B$401,$B29,'Player Rounds'!$C$2:$C$401,$D29)-_xlfn.MINIFS('Player Rounds'!$AL$2:$AL$401,'Player Rounds'!$A$2:$A$401,$A29,'Player Rounds'!$B$2:$B$401,$B29,'Player Rounds'!$C$2:$C$401,$C29))))</f>
      </c>
      <c r="Y29" t="e">
        <f>IF($A29="","",IF(COUNTIFS('Player Rounds'!$A$2:$A$401,$A29,'Player Rounds'!$B$2:$B$401,$B29,'Player Rounds'!$S$2:$S$401,"&gt;0")=0,"",SIGN(_xlfn.MINIFS('Player Rounds'!$AM$2:$AM$401,'Player Rounds'!$A$2:$A$401,$A29,'Player Rounds'!$B$2:$B$401,$B29,'Player Rounds'!$C$2:$C$401,$D29)-_xlfn.MINIFS('Player Rounds'!$AM$2:$AM$401,'Player Rounds'!$A$2:$A$401,$A29,'Player Rounds'!$B$2:$B$401,$B29,'Player Rounds'!$C$2:$C$401,$C29))))</f>
      </c>
      <c r="Z29" t="e">
        <f>IF($A29="","",IF(COUNTIFS('Player Rounds'!$A$2:$A$401,$A29,'Player Rounds'!$B$2:$B$401,$B29,'Player Rounds'!$T$2:$T$401,"&gt;0")=0,"",SIGN(_xlfn.MINIFS('Player Rounds'!$AN$2:$AN$401,'Player Rounds'!$A$2:$A$401,$A29,'Player Rounds'!$B$2:$B$401,$B29,'Player Rounds'!$C$2:$C$401,$D29)-_xlfn.MINIFS('Player Rounds'!$AN$2:$AN$401,'Player Rounds'!$A$2:$A$401,$A29,'Player Rounds'!$B$2:$B$401,$B29,'Player Rounds'!$C$2:$C$401,$C29))))</f>
      </c>
      <c r="AA29" t="e">
        <f>IF($A29="","",IF(COUNTIFS('Player Rounds'!$A$2:$A$401,$A29,'Player Rounds'!$B$2:$B$401,$B29,'Player Rounds'!$U$2:$U$401,"&gt;0")=0,"",SIGN(_xlfn.MINIFS('Player Rounds'!$AO$2:$AO$401,'Player Rounds'!$A$2:$A$401,$A29,'Player Rounds'!$B$2:$B$401,$B29,'Player Rounds'!$C$2:$C$401,$D29)-_xlfn.MINIFS('Player Rounds'!$AO$2:$AO$401,'Player Rounds'!$A$2:$A$401,$A29,'Player Rounds'!$B$2:$B$401,$B29,'Player Rounds'!$C$2:$C$401,$C29))))</f>
      </c>
      <c r="AB29" t="e">
        <f>IF($A29="","",IF(COUNTIFS('Player Rounds'!$A$2:$A$401,$A29,'Player Rounds'!$B$2:$B$401,$B29,'Player Rounds'!$V$2:$V$401,"&gt;0")=0,"",SIGN(_xlfn.MINIFS('Player Rounds'!$AP$2:$AP$401,'Player Rounds'!$A$2:$A$401,$A29,'Player Rounds'!$B$2:$B$401,$B29,'Player Rounds'!$C$2:$C$401,$D29)-_xlfn.MINIFS('Player Rounds'!$AP$2:$AP$401,'Player Rounds'!$A$2:$A$401,$A29,'Player Rounds'!$B$2:$B$401,$B29,'Player Rounds'!$C$2:$C$401,$C29))))</f>
      </c>
      <c r="AC29" t="e">
        <f>IF($A29="","",IF(COUNTIFS('Player Rounds'!$A$2:$A$401,$A29,'Player Rounds'!$B$2:$B$401,$B29,'Player Rounds'!$W$2:$W$401,"&gt;0")=0,"",SIGN(_xlfn.MINIFS('Player Rounds'!$AQ$2:$AQ$401,'Player Rounds'!$A$2:$A$401,$A29,'Player Rounds'!$B$2:$B$401,$B29,'Player Rounds'!$C$2:$C$401,$D29)-_xlfn.MINIFS('Player Rounds'!$AQ$2:$AQ$401,'Player Rounds'!$A$2:$A$401,$A29,'Player Rounds'!$B$2:$B$401,$B29,'Player Rounds'!$C$2:$C$401,$C29))))</f>
      </c>
      <c r="AD29" t="e">
        <f>IF($A29="","",SUM($L29:L29))</f>
      </c>
      <c r="AE29" t="e">
        <f>IF($A29="","",SUM($L29:M29))</f>
      </c>
      <c r="AF29" t="e">
        <f>IF($A29="","",SUM($L29:N29))</f>
      </c>
      <c r="AG29" t="e">
        <f>IF($A29="","",SUM($L29:O29))</f>
      </c>
      <c r="AH29" t="e">
        <f>IF($A29="","",SUM($L29:P29))</f>
      </c>
      <c r="AI29" t="e">
        <f>IF($A29="","",SUM($L29:Q29))</f>
      </c>
      <c r="AJ29" t="e">
        <f>IF($A29="","",SUM($L29:R29))</f>
      </c>
      <c r="AK29" t="e">
        <f>IF($A29="","",SUM($L29:S29))</f>
      </c>
      <c r="AL29" t="e">
        <f>IF($A29="","",SUM($L29:T29))</f>
      </c>
      <c r="AM29" t="e">
        <f>IF($A29="","",SUM($L29:U29))</f>
      </c>
      <c r="AN29" t="e">
        <f>IF($A29="","",SUM($L29:V29))</f>
      </c>
      <c r="AO29" t="e">
        <f>IF($A29="","",SUM($L29:W29))</f>
      </c>
      <c r="AP29" t="e">
        <f>IF($A29="","",SUM($L29:X29))</f>
      </c>
      <c r="AQ29" t="e">
        <f>IF($A29="","",SUM($L29:Y29))</f>
      </c>
      <c r="AR29" t="e">
        <f>IF($A29="","",SUM($L29:Z29))</f>
      </c>
      <c r="AS29" t="e">
        <f>IF($A29="","",SUM($L29:AA29))</f>
      </c>
      <c r="AT29" t="e">
        <f>IF($A29="","",SUM($L29:AB29))</f>
      </c>
      <c r="AU29" t="e">
        <f>IF($A29="","",SUM($L29:AC29))</f>
      </c>
      <c r="AV29" t="e">
        <f>IF(OR($A29="",L29=""),"",IF(ABS(AD29)&gt;17,1,""))</f>
      </c>
      <c r="AW29" t="e">
        <f>IF(OR($A29="",M29=""),"",IF(ABS(AE29)&gt;16,2,""))</f>
      </c>
      <c r="AX29" t="e">
        <f>IF(OR($A29="",N29=""),"",IF(ABS(AF29)&gt;15,3,""))</f>
      </c>
      <c r="AY29" t="e">
        <f>IF(OR($A29="",O29=""),"",IF(ABS(AG29)&gt;14,4,""))</f>
      </c>
      <c r="AZ29" t="e">
        <f>IF(OR($A29="",P29=""),"",IF(ABS(AH29)&gt;13,5,""))</f>
      </c>
      <c r="BA29" t="e">
        <f>IF(OR($A29="",Q29=""),"",IF(ABS(AI29)&gt;12,6,""))</f>
      </c>
      <c r="BB29" t="e">
        <f>IF(OR($A29="",R29=""),"",IF(ABS(AJ29)&gt;11,7,""))</f>
      </c>
      <c r="BC29" t="e">
        <f>IF(OR($A29="",S29=""),"",IF(ABS(AK29)&gt;10,8,""))</f>
      </c>
      <c r="BD29" t="e">
        <f>IF(OR($A29="",T29=""),"",IF(ABS(AL29)&gt;9,9,""))</f>
      </c>
      <c r="BE29" t="e">
        <f>IF(OR($A29="",U29=""),"",IF(ABS(AM29)&gt;8,10,""))</f>
      </c>
      <c r="BF29" t="e">
        <f>IF(OR($A29="",V29=""),"",IF(ABS(AN29)&gt;7,11,""))</f>
      </c>
      <c r="BG29" t="e">
        <f>IF(OR($A29="",W29=""),"",IF(ABS(AO29)&gt;6,12,""))</f>
      </c>
      <c r="BH29" t="e">
        <f>IF(OR($A29="",X29=""),"",IF(ABS(AP29)&gt;5,13,""))</f>
      </c>
      <c r="BI29" t="e">
        <f>IF(OR($A29="",Y29=""),"",IF(ABS(AQ29)&gt;4,14,""))</f>
      </c>
      <c r="BJ29" t="e">
        <f>IF(OR($A29="",Z29=""),"",IF(ABS(AR29)&gt;3,15,""))</f>
      </c>
      <c r="BK29" t="e">
        <f>IF(OR($A29="",AA29=""),"",IF(ABS(AS29)&gt;2,16,""))</f>
      </c>
      <c r="BL29" t="e">
        <f>IF(OR($A29="",AB29=""),"",IF(ABS(AT29)&gt;1,17,""))</f>
      </c>
      <c r="BM29" t="e">
        <f>IF(OR($A29="",AC29=""),"",IF(ABS(AU29)&gt;0,18,""))</f>
      </c>
    </row>
    <row r="30">
      <c r="C30" t="str">
        <f>IF($A30="","",INDEX('Tournament Setup'!$J:$J,MATCH($A30,'Tournament Setup'!$A:$A,0)))</f>
        <v/>
      </c>
      <c r="D30" t="str">
        <f>IF($A30="","",INDEX('Tournament Setup'!$K:$K,MATCH($A30,'Tournament Setup'!$A:$A,0)))</f>
        <v/>
      </c>
      <c r="E30" t="str">
        <f>IF($A30="","",IF(COUNT(L30:AC30)=0,"Not played",IF(AND($K30&gt;0,$K30&lt;18),IF(INDEX(AD30:AU30,1,$K30)&gt;0,$C30,$D30)&amp;" "&amp;ABS(INDEX(AD30:AU30,1,$K30))&amp;"&amp;"&amp;(18-$K30),IF($J30=0,"Halved (AS)",IF($J30&gt;0,$C30,$D30)&amp;" "&amp;ABS($J30)&amp;" UP"))))</f>
        <v/>
      </c>
      <c r="F30" t="e">
        <f>IF(OR($A30="",COUNT(L30:AC30)=0),"",INDEX('Tournament Setup'!$I:$I,MATCH($A30,'Tournament Setup'!$A:$A,0))*IF(INDEX('Tournament Setup'!$H:$H,MATCH($A30,'Tournament Setup'!$A:$A,0))="Yes",IF($H30&gt;0,1,IF($H30=0,0.5,0))+IF($I30&gt;0,1,IF($I30=0,0.5,0))+IF($J30&gt;0,1,IF($J30=0,0.5,0)),IF(IF(AND($K30&gt;0,$K30&lt;18),INDEX(AD30:AU30,1,$K30),$J30)&gt;0,1,IF(IF(AND($K30&gt;0,$K30&lt;18),INDEX(AD30:AU30,1,$K30),$J30)=0,0.5,0))))</f>
      </c>
      <c r="G30" t="e">
        <f>IF(OR($A30="",COUNT(L30:AC30)=0),"",INDEX('Tournament Setup'!$I:$I,MATCH($A30,'Tournament Setup'!$A:$A,0))*IF(INDEX('Tournament Setup'!$H:$H,MATCH($A30,'Tournament Setup'!$A:$A,0))="Yes",IF($H30&lt;0,1,IF($H30=0,0.5,0))+IF($I30&lt;0,1,IF($I30=0,0.5,0))+IF($J30&lt;0,1,IF($J30=0,0.5,0)),IF(IF(AND($K30&gt;0,$K30&lt;18),INDEX(AD30:AU30,1,$K30),$J30)&lt;0,1,IF(IF(AND($K30&gt;0,$K30&lt;18),INDEX(AD30:AU30,1,$K30),$J30)=0,0.5,0))))</f>
      </c>
      <c r="H30" t="e">
        <f>IF($A30="","",SUM(L30:T30))</f>
      </c>
      <c r="I30" t="e">
        <f>IF($A30="","",SUM(U30:AC30))</f>
      </c>
      <c r="J30" t="e">
        <f>IF($A30="","",SUM(L30:AC30))</f>
      </c>
      <c r="K30" t="e">
        <f>IF($A30="","",MIN(AV30:BM30))</f>
      </c>
      <c r="L30" t="e">
        <f>IF($A30="","",IF(COUNTIFS('Player Rounds'!$A$2:$A$401,$A30,'Player Rounds'!$B$2:$B$401,$B30,'Player Rounds'!$F$2:$F$401,"&gt;0")=0,"",SIGN(_xlfn.MINIFS('Player Rounds'!$Z$2:$Z$401,'Player Rounds'!$A$2:$A$401,$A30,'Player Rounds'!$B$2:$B$401,$B30,'Player Rounds'!$C$2:$C$401,$D30)-_xlfn.MINIFS('Player Rounds'!$Z$2:$Z$401,'Player Rounds'!$A$2:$A$401,$A30,'Player Rounds'!$B$2:$B$401,$B30,'Player Rounds'!$C$2:$C$401,$C30))))</f>
      </c>
      <c r="M30" t="e">
        <f>IF($A30="","",IF(COUNTIFS('Player Rounds'!$A$2:$A$401,$A30,'Player Rounds'!$B$2:$B$401,$B30,'Player Rounds'!$G$2:$G$401,"&gt;0")=0,"",SIGN(_xlfn.MINIFS('Player Rounds'!$AA$2:$AA$401,'Player Rounds'!$A$2:$A$401,$A30,'Player Rounds'!$B$2:$B$401,$B30,'Player Rounds'!$C$2:$C$401,$D30)-_xlfn.MINIFS('Player Rounds'!$AA$2:$AA$401,'Player Rounds'!$A$2:$A$401,$A30,'Player Rounds'!$B$2:$B$401,$B30,'Player Rounds'!$C$2:$C$401,$C30))))</f>
      </c>
      <c r="N30" t="e">
        <f>IF($A30="","",IF(COUNTIFS('Player Rounds'!$A$2:$A$401,$A30,'Player Rounds'!$B$2:$B$401,$B30,'Player Rounds'!$H$2:$H$401,"&gt;0")=0,"",SIGN(_xlfn.MINIFS('Player Rounds'!$AB$2:$AB$401,'Player Rounds'!$A$2:$A$401,$A30,'Player Rounds'!$B$2:$B$401,$B30,'Player Rounds'!$C$2:$C$401,$D30)-_xlfn.MINIFS('Player Rounds'!$AB$2:$AB$401,'Player Rounds'!$A$2:$A$401,$A30,'Player Rounds'!$B$2:$B$401,$B30,'Player Rounds'!$C$2:$C$401,$C30))))</f>
      </c>
      <c r="O30" t="e">
        <f>IF($A30="","",IF(COUNTIFS('Player Rounds'!$A$2:$A$401,$A30,'Player Rounds'!$B$2:$B$401,$B30,'Player Rounds'!$I$2:$I$401,"&gt;0")=0,"",SIGN(_xlfn.MINIFS('Player Rounds'!$AC$2:$AC$401,'Player Rounds'!$A$2:$A$401,$A30,'Player Rounds'!$B$2:$B$401,$B30,'Player Rounds'!$C$2:$C$401,$D30)-_xlfn.MINIFS('Player Rounds'!$AC$2:$AC$401,'Player Rounds'!$A$2:$A$401,$A30,'Player Rounds'!$B$2:$B$401,$B30,'Player Rounds'!$C$2:$C$401,$C30))))</f>
      </c>
      <c r="P30" t="e">
        <f>IF($A30="","",IF(COUNTIFS('Player Rounds'!$A$2:$A$401,$A30,'Player Rounds'!$B$2:$B$401,$B30,'Player Rounds'!$J$2:$J$401,"&gt;0")=0,"",SIGN(_xlfn.MINIFS('Player Rounds'!$AD$2:$AD$401,'Player Rounds'!$A$2:$A$401,$A30,'Player Rounds'!$B$2:$B$401,$B30,'Player Rounds'!$C$2:$C$401,$D30)-_xlfn.MINIFS('Player Rounds'!$AD$2:$AD$401,'Player Rounds'!$A$2:$A$401,$A30,'Player Rounds'!$B$2:$B$401,$B30,'Player Rounds'!$C$2:$C$401,$C30))))</f>
      </c>
      <c r="Q30" t="e">
        <f>IF($A30="","",IF(COUNTIFS('Player Rounds'!$A$2:$A$401,$A30,'Player Rounds'!$B$2:$B$401,$B30,'Player Rounds'!$K$2:$K$401,"&gt;0")=0,"",SIGN(_xlfn.MINIFS('Player Rounds'!$AE$2:$AE$401,'Player Rounds'!$A$2:$A$401,$A30,'Player Rounds'!$B$2:$B$401,$B30,'Player Rounds'!$C$2:$C$401,$D30)-_xlfn.MINIFS('Player Rounds'!$AE$2:$AE$401,'Player Rounds'!$A$2:$A$401,$A30,'Player Rounds'!$B$2:$B$401,$B30,'Player Rounds'!$C$2:$C$401,$C30))))</f>
      </c>
      <c r="R30" t="e">
        <f>IF($A30="","",IF(COUNTIFS('Player Rounds'!$A$2:$A$401,$A30,'Player Rounds'!$B$2:$B$401,$B30,'Player Rounds'!$L$2:$L$401,"&gt;0")=0,"",SIGN(_xlfn.MINIFS('Player Rounds'!$AF$2:$AF$401,'Player Rounds'!$A$2:$A$401,$A30,'Player Rounds'!$B$2:$B$401,$B30,'Player Rounds'!$C$2:$C$401,$D30)-_xlfn.MINIFS('Player Rounds'!$AF$2:$AF$401,'Player Rounds'!$A$2:$A$401,$A30,'Player Rounds'!$B$2:$B$401,$B30,'Player Rounds'!$C$2:$C$401,$C30))))</f>
      </c>
      <c r="S30" t="e">
        <f>IF($A30="","",IF(COUNTIFS('Player Rounds'!$A$2:$A$401,$A30,'Player Rounds'!$B$2:$B$401,$B30,'Player Rounds'!$M$2:$M$401,"&gt;0")=0,"",SIGN(_xlfn.MINIFS('Player Rounds'!$AG$2:$AG$401,'Player Rounds'!$A$2:$A$401,$A30,'Player Rounds'!$B$2:$B$401,$B30,'Player Rounds'!$C$2:$C$401,$D30)-_xlfn.MINIFS('Player Rounds'!$AG$2:$AG$401,'Player Rounds'!$A$2:$A$401,$A30,'Player Rounds'!$B$2:$B$401,$B30,'Player Rounds'!$C$2:$C$401,$C30))))</f>
      </c>
      <c r="T30" t="e">
        <f>IF($A30="","",IF(COUNTIFS('Player Rounds'!$A$2:$A$401,$A30,'Player Rounds'!$B$2:$B$401,$B30,'Player Rounds'!$N$2:$N$401,"&gt;0")=0,"",SIGN(_xlfn.MINIFS('Player Rounds'!$AH$2:$AH$401,'Player Rounds'!$A$2:$A$401,$A30,'Player Rounds'!$B$2:$B$401,$B30,'Player Rounds'!$C$2:$C$401,$D30)-_xlfn.MINIFS('Player Rounds'!$AH$2:$AH$401,'Player Rounds'!$A$2:$A$401,$A30,'Player Rounds'!$B$2:$B$401,$B30,'Player Rounds'!$C$2:$C$401,$C30))))</f>
      </c>
      <c r="U30" t="e">
        <f>IF($A30="","",IF(COUNTIFS('Player Rounds'!$A$2:$A$401,$A30,'Player Rounds'!$B$2:$B$401,$B30,'Player Rounds'!$O$2:$O$401,"&gt;0")=0,"",SIGN(_xlfn.MINIFS('Player Rounds'!$AI$2:$AI$401,'Player Rounds'!$A$2:$A$401,$A30,'Player Rounds'!$B$2:$B$401,$B30,'Player Rounds'!$C$2:$C$401,$D30)-_xlfn.MINIFS('Player Rounds'!$AI$2:$AI$401,'Player Rounds'!$A$2:$A$401,$A30,'Player Rounds'!$B$2:$B$401,$B30,'Player Rounds'!$C$2:$C$401,$C30))))</f>
      </c>
      <c r="V30" t="e">
        <f>IF($A30="","",IF(COUNTIFS('Player Rounds'!$A$2:$A$401,$A30,'Player Rounds'!$B$2:$B$401,$B30,'Player Rounds'!$P$2:$P$401,"&gt;0")=0,"",SIGN(_xlfn.MINIFS('Player Rounds'!$AJ$2:$AJ$401,'Player Rounds'!$A$2:$A$401,$A30,'Player Rounds'!$B$2:$B$401,$B30,'Player Rounds'!$C$2:$C$401,$D30)-_xlfn.MINIFS('Player Rounds'!$AJ$2:$AJ$401,'Player Rounds'!$A$2:$A$401,$A30,'Player Rounds'!$B$2:$B$401,$B30,'Player Rounds'!$C$2:$C$401,$C30))))</f>
      </c>
      <c r="W30" t="e">
        <f>IF($A30="","",IF(COUNTIFS('Player Rounds'!$A$2:$A$401,$A30,'Player Rounds'!$B$2:$B$401,$B30,'Player Rounds'!$Q$2:$Q$401,"&gt;0")=0,"",SIGN(_xlfn.MINIFS('Player Rounds'!$AK$2:$AK$401,'Player Rounds'!$A$2:$A$401,$A30,'Player Rounds'!$B$2:$B$401,$B30,'Player Rounds'!$C$2:$C$401,$D30)-_xlfn.MINIFS('Player Rounds'!$AK$2:$AK$401,'Player Rounds'!$A$2:$A$401,$A30,'Player Rounds'!$B$2:$B$401,$B30,'Player Rounds'!$C$2:$C$401,$C30))))</f>
      </c>
      <c r="X30" t="e">
        <f>IF($A30="","",IF(COUNTIFS('Player Rounds'!$A$2:$A$401,$A30,'Player Rounds'!$B$2:$B$401,$B30,'Player Rounds'!$R$2:$R$401,"&gt;0")=0,"",SIGN(_xlfn.MINIFS('Player Rounds'!$AL$2:$AL$401,'Player Rounds'!$A$2:$A$401,$A30,'Player Rounds'!$B$2:$B$401,$B30,'Player Rounds'!$C$2:$C$401,$D30)-_xlfn.MINIFS('Player Rounds'!$AL$2:$AL$401,'Player Rounds'!$A$2:$A$401,$A30,'Player Rounds'!$B$2:$B$401,$B30,'Player Rounds'!$C$2:$C$401,$C30))))</f>
      </c>
      <c r="Y30" t="e">
        <f>IF($A30="","",IF(COUNTIFS('Player Rounds'!$A$2:$A$401,$A30,'Player Rounds'!$B$2:$B$401,$B30,'Player Rounds'!$S$2:$S$401,"&gt;0")=0,"",SIGN(_xlfn.MINIFS('Player Rounds'!$AM$2:$AM$401,'Player Rounds'!$A$2:$A$401,$A30,'Player Rounds'!$B$2:$B$401,$B30,'Player Rounds'!$C$2:$C$401,$D30)-_xlfn.MINIFS('Player Rounds'!$AM$2:$AM$401,'Player Rounds'!$A$2:$A$401,$A30,'Player Rounds'!$B$2:$B$401,$B30,'Player Rounds'!$C$2:$C$401,$C30))))</f>
      </c>
      <c r="Z30" t="e">
        <f>IF($A30="","",IF(COUNTIFS('Player Rounds'!$A$2:$A$401,$A30,'Player Rounds'!$B$2:$B$401,$B30,'Player Rounds'!$T$2:$T$401,"&gt;0")=0,"",SIGN(_xlfn.MINIFS('Player Rounds'!$AN$2:$AN$401,'Player Rounds'!$A$2:$A$401,$A30,'Player Rounds'!$B$2:$B$401,$B30,'Player Rounds'!$C$2:$C$401,$D30)-_xlfn.MINIFS('Player Rounds'!$AN$2:$AN$401,'Player Rounds'!$A$2:$A$401,$A30,'Player Rounds'!$B$2:$B$401,$B30,'Player Rounds'!$C$2:$C$401,$C30))))</f>
      </c>
      <c r="AA30" t="e">
        <f>IF($A30="","",IF(COUNTIFS('Player Rounds'!$A$2:$A$401,$A30,'Player Rounds'!$B$2:$B$401,$B30,'Player Rounds'!$U$2:$U$401,"&gt;0")=0,"",SIGN(_xlfn.MINIFS('Player Rounds'!$AO$2:$AO$401,'Player Rounds'!$A$2:$A$401,$A30,'Player Rounds'!$B$2:$B$401,$B30,'Player Rounds'!$C$2:$C$401,$D30)-_xlfn.MINIFS('Player Rounds'!$AO$2:$AO$401,'Player Rounds'!$A$2:$A$401,$A30,'Player Rounds'!$B$2:$B$401,$B30,'Player Rounds'!$C$2:$C$401,$C30))))</f>
      </c>
      <c r="AB30" t="e">
        <f>IF($A30="","",IF(COUNTIFS('Player Rounds'!$A$2:$A$401,$A30,'Player Rounds'!$B$2:$B$401,$B30,'Player Rounds'!$V$2:$V$401,"&gt;0")=0,"",SIGN(_xlfn.MINIFS('Player Rounds'!$AP$2:$AP$401,'Player Rounds'!$A$2:$A$401,$A30,'Player Rounds'!$B$2:$B$401,$B30,'Player Rounds'!$C$2:$C$401,$D30)-_xlfn.MINIFS('Player Rounds'!$AP$2:$AP$401,'Player Rounds'!$A$2:$A$401,$A30,'Player Rounds'!$B$2:$B$401,$B30,'Player Rounds'!$C$2:$C$401,$C30))))</f>
      </c>
      <c r="AC30" t="e">
        <f>IF($A30="","",IF(COUNTIFS('Player Rounds'!$A$2:$A$401,$A30,'Player Rounds'!$B$2:$B$401,$B30,'Player Rounds'!$W$2:$W$401,"&gt;0")=0,"",SIGN(_xlfn.MINIFS('Player Rounds'!$AQ$2:$AQ$401,'Player Rounds'!$A$2:$A$401,$A30,'Player Rounds'!$B$2:$B$401,$B30,'Player Rounds'!$C$2:$C$401,$D30)-_xlfn.MINIFS('Player Rounds'!$AQ$2:$AQ$401,'Player Rounds'!$A$2:$A$401,$A30,'Player Rounds'!$B$2:$B$401,$B30,'Player Rounds'!$C$2:$C$401,$C30))))</f>
      </c>
      <c r="AD30" t="e">
        <f>IF($A30="","",SUM($L30:L30))</f>
      </c>
      <c r="AE30" t="e">
        <f>IF($A30="","",SUM($L30:M30))</f>
      </c>
      <c r="AF30" t="e">
        <f>IF($A30="","",SUM($L30:N30))</f>
      </c>
      <c r="AG30" t="e">
        <f>IF($A30="","",SUM($L30:O30))</f>
      </c>
      <c r="AH30" t="e">
        <f>IF($A30="","",SUM($L30:P30))</f>
      </c>
      <c r="AI30" t="e">
        <f>IF($A30="","",SUM($L30:Q30))</f>
      </c>
      <c r="AJ30" t="e">
        <f>IF($A30="","",SUM($L30:R30))</f>
      </c>
      <c r="AK30" t="e">
        <f>IF($A30="","",SUM($L30:S30))</f>
      </c>
      <c r="AL30" t="e">
        <f>IF($A30="","",SUM($L30:T30))</f>
      </c>
      <c r="AM30" t="e">
        <f>IF($A30="","",SUM($L30:U30))</f>
      </c>
      <c r="AN30" t="e">
        <f>IF($A30="","",SUM($L30:V30))</f>
      </c>
      <c r="AO30" t="e">
        <f>IF($A30="","",SUM($L30:W30))</f>
      </c>
      <c r="AP30" t="e">
        <f>IF($A30="","",SUM($L30:X30))</f>
      </c>
      <c r="AQ30" t="e">
        <f>IF($A30="","",SUM($L30:Y30))</f>
      </c>
      <c r="AR30" t="e">
        <f>IF($A30="","",SUM($L30:Z30))</f>
      </c>
      <c r="AS30" t="e">
        <f>IF($A30="","",SUM($L30:AA30))</f>
      </c>
      <c r="AT30" t="e">
        <f>IF($A30="","",SUM($L30:AB30))</f>
      </c>
      <c r="AU30" t="e">
        <f>IF($A30="","",SUM($L30:AC30))</f>
      </c>
      <c r="AV30" t="e">
        <f>IF(OR($A30="",L30=""),"",IF(ABS(AD30)&gt;17,1,""))</f>
      </c>
      <c r="AW30" t="e">
        <f>IF(OR($A30="",M30=""),"",IF(ABS(AE30)&gt;16,2,""))</f>
      </c>
      <c r="AX30" t="e">
        <f>IF(OR($A30="",N30=""),"",IF(ABS(AF30)&gt;15,3,""))</f>
      </c>
      <c r="AY30" t="e">
        <f>IF(OR($A30="",O30=""),"",IF(ABS(AG30)&gt;14,4,""))</f>
      </c>
      <c r="AZ30" t="e">
        <f>IF(OR($A30="",P30=""),"",IF(ABS(AH30)&gt;13,5,""))</f>
      </c>
      <c r="BA30" t="e">
        <f>IF(OR($A30="",Q30=""),"",IF(ABS(AI30)&gt;12,6,""))</f>
      </c>
      <c r="BB30" t="e">
        <f>IF(OR($A30="",R30=""),"",IF(ABS(AJ30)&gt;11,7,""))</f>
      </c>
      <c r="BC30" t="e">
        <f>IF(OR($A30="",S30=""),"",IF(ABS(AK30)&gt;10,8,""))</f>
      </c>
      <c r="BD30" t="e">
        <f>IF(OR($A30="",T30=""),"",IF(ABS(AL30)&gt;9,9,""))</f>
      </c>
      <c r="BE30" t="e">
        <f>IF(OR($A30="",U30=""),"",IF(ABS(AM30)&gt;8,10,""))</f>
      </c>
      <c r="BF30" t="e">
        <f>IF(OR($A30="",V30=""),"",IF(ABS(AN30)&gt;7,11,""))</f>
      </c>
      <c r="BG30" t="e">
        <f>IF(OR($A30="",W30=""),"",IF(ABS(AO30)&gt;6,12,""))</f>
      </c>
      <c r="BH30" t="e">
        <f>IF(OR($A30="",X30=""),"",IF(ABS(AP30)&gt;5,13,""))</f>
      </c>
      <c r="BI30" t="e">
        <f>IF(OR($A30="",Y30=""),"",IF(ABS(AQ30)&gt;4,14,""))</f>
      </c>
      <c r="BJ30" t="e">
        <f>IF(OR($A30="",Z30=""),"",IF(ABS(AR30)&gt;3,15,""))</f>
      </c>
      <c r="BK30" t="e">
        <f>IF(OR($A30="",AA30=""),"",IF(ABS(AS30)&gt;2,16,""))</f>
      </c>
      <c r="BL30" t="e">
        <f>IF(OR($A30="",AB30=""),"",IF(ABS(AT30)&gt;1,17,""))</f>
      </c>
      <c r="BM30" t="e">
        <f>IF(OR($A30="",AC30=""),"",IF(ABS(AU30)&gt;0,18,""))</f>
      </c>
    </row>
    <row r="31">
      <c r="C31" t="str">
        <f>IF($A31="","",INDEX('Tournament Setup'!$J:$J,MATCH($A31,'Tournament Setup'!$A:$A,0)))</f>
        <v/>
      </c>
      <c r="D31" t="str">
        <f>IF($A31="","",INDEX('Tournament Setup'!$K:$K,MATCH($A31,'Tournament Setup'!$A:$A,0)))</f>
        <v/>
      </c>
      <c r="E31" t="str">
        <f>IF($A31="","",IF(COUNT(L31:AC31)=0,"Not played",IF(AND($K31&gt;0,$K31&lt;18),IF(INDEX(AD31:AU31,1,$K31)&gt;0,$C31,$D31)&amp;" "&amp;ABS(INDEX(AD31:AU31,1,$K31))&amp;"&amp;"&amp;(18-$K31),IF($J31=0,"Halved (AS)",IF($J31&gt;0,$C31,$D31)&amp;" "&amp;ABS($J31)&amp;" UP"))))</f>
        <v/>
      </c>
      <c r="F31" t="e">
        <f>IF(OR($A31="",COUNT(L31:AC31)=0),"",INDEX('Tournament Setup'!$I:$I,MATCH($A31,'Tournament Setup'!$A:$A,0))*IF(INDEX('Tournament Setup'!$H:$H,MATCH($A31,'Tournament Setup'!$A:$A,0))="Yes",IF($H31&gt;0,1,IF($H31=0,0.5,0))+IF($I31&gt;0,1,IF($I31=0,0.5,0))+IF($J31&gt;0,1,IF($J31=0,0.5,0)),IF(IF(AND($K31&gt;0,$K31&lt;18),INDEX(AD31:AU31,1,$K31),$J31)&gt;0,1,IF(IF(AND($K31&gt;0,$K31&lt;18),INDEX(AD31:AU31,1,$K31),$J31)=0,0.5,0))))</f>
      </c>
      <c r="G31" t="e">
        <f>IF(OR($A31="",COUNT(L31:AC31)=0),"",INDEX('Tournament Setup'!$I:$I,MATCH($A31,'Tournament Setup'!$A:$A,0))*IF(INDEX('Tournament Setup'!$H:$H,MATCH($A31,'Tournament Setup'!$A:$A,0))="Yes",IF($H31&lt;0,1,IF($H31=0,0.5,0))+IF($I31&lt;0,1,IF($I31=0,0.5,0))+IF($J31&lt;0,1,IF($J31=0,0.5,0)),IF(IF(AND($K31&gt;0,$K31&lt;18),INDEX(AD31:AU31,1,$K31),$J31)&lt;0,1,IF(IF(AND($K31&gt;0,$K31&lt;18),INDEX(AD31:AU31,1,$K31),$J31)=0,0.5,0))))</f>
      </c>
      <c r="H31" t="e">
        <f>IF($A31="","",SUM(L31:T31))</f>
      </c>
      <c r="I31" t="e">
        <f>IF($A31="","",SUM(U31:AC31))</f>
      </c>
      <c r="J31" t="e">
        <f>IF($A31="","",SUM(L31:AC31))</f>
      </c>
      <c r="K31" t="e">
        <f>IF($A31="","",MIN(AV31:BM31))</f>
      </c>
      <c r="L31" t="e">
        <f>IF($A31="","",IF(COUNTIFS('Player Rounds'!$A$2:$A$401,$A31,'Player Rounds'!$B$2:$B$401,$B31,'Player Rounds'!$F$2:$F$401,"&gt;0")=0,"",SIGN(_xlfn.MINIFS('Player Rounds'!$Z$2:$Z$401,'Player Rounds'!$A$2:$A$401,$A31,'Player Rounds'!$B$2:$B$401,$B31,'Player Rounds'!$C$2:$C$401,$D31)-_xlfn.MINIFS('Player Rounds'!$Z$2:$Z$401,'Player Rounds'!$A$2:$A$401,$A31,'Player Rounds'!$B$2:$B$401,$B31,'Player Rounds'!$C$2:$C$401,$C31))))</f>
      </c>
      <c r="M31" t="e">
        <f>IF($A31="","",IF(COUNTIFS('Player Rounds'!$A$2:$A$401,$A31,'Player Rounds'!$B$2:$B$401,$B31,'Player Rounds'!$G$2:$G$401,"&gt;0")=0,"",SIGN(_xlfn.MINIFS('Player Rounds'!$AA$2:$AA$401,'Player Rounds'!$A$2:$A$401,$A31,'Player Rounds'!$B$2:$B$401,$B31,'Player Rounds'!$C$2:$C$401,$D31)-_xlfn.MINIFS('Player Rounds'!$AA$2:$AA$401,'Player Rounds'!$A$2:$A$401,$A31,'Player Rounds'!$B$2:$B$401,$B31,'Player Rounds'!$C$2:$C$401,$C31))))</f>
      </c>
      <c r="N31" t="e">
        <f>IF($A31="","",IF(COUNTIFS('Player Rounds'!$A$2:$A$401,$A31,'Player Rounds'!$B$2:$B$401,$B31,'Player Rounds'!$H$2:$H$401,"&gt;0")=0,"",SIGN(_xlfn.MINIFS('Player Rounds'!$AB$2:$AB$401,'Player Rounds'!$A$2:$A$401,$A31,'Player Rounds'!$B$2:$B$401,$B31,'Player Rounds'!$C$2:$C$401,$D31)-_xlfn.MINIFS('Player Rounds'!$AB$2:$AB$401,'Player Rounds'!$A$2:$A$401,$A31,'Player Rounds'!$B$2:$B$401,$B31,'Player Rounds'!$C$2:$C$401,$C31))))</f>
      </c>
      <c r="O31" t="e">
        <f>IF($A31="","",IF(COUNTIFS('Player Rounds'!$A$2:$A$401,$A31,'Player Rounds'!$B$2:$B$401,$B31,'Player Rounds'!$I$2:$I$401,"&gt;0")=0,"",SIGN(_xlfn.MINIFS('Player Rounds'!$AC$2:$AC$401,'Player Rounds'!$A$2:$A$401,$A31,'Player Rounds'!$B$2:$B$401,$B31,'Player Rounds'!$C$2:$C$401,$D31)-_xlfn.MINIFS('Player Rounds'!$AC$2:$AC$401,'Player Rounds'!$A$2:$A$401,$A31,'Player Rounds'!$B$2:$B$401,$B31,'Player Rounds'!$C$2:$C$401,$C31))))</f>
      </c>
      <c r="P31" t="e">
        <f>IF($A31="","",IF(COUNTIFS('Player Rounds'!$A$2:$A$401,$A31,'Player Rounds'!$B$2:$B$401,$B31,'Player Rounds'!$J$2:$J$401,"&gt;0")=0,"",SIGN(_xlfn.MINIFS('Player Rounds'!$AD$2:$AD$401,'Player Rounds'!$A$2:$A$401,$A31,'Player Rounds'!$B$2:$B$401,$B31,'Player Rounds'!$C$2:$C$401,$D31)-_xlfn.MINIFS('Player Rounds'!$AD$2:$AD$401,'Player Rounds'!$A$2:$A$401,$A31,'Player Rounds'!$B$2:$B$401,$B31,'Player Rounds'!$C$2:$C$401,$C31))))</f>
      </c>
      <c r="Q31" t="e">
        <f>IF($A31="","",IF(COUNTIFS('Player Rounds'!$A$2:$A$401,$A31,'Player Rounds'!$B$2:$B$401,$B31,'Player Rounds'!$K$2:$K$401,"&gt;0")=0,"",SIGN(_xlfn.MINIFS('Player Rounds'!$AE$2:$AE$401,'Player Rounds'!$A$2:$A$401,$A31,'Player Rounds'!$B$2:$B$401,$B31,'Player Rounds'!$C$2:$C$401,$D31)-_xlfn.MINIFS('Player Rounds'!$AE$2:$AE$401,'Player Rounds'!$A$2:$A$401,$A31,'Player Rounds'!$B$2:$B$401,$B31,'Player Rounds'!$C$2:$C$401,$C31))))</f>
      </c>
      <c r="R31" t="e">
        <f>IF($A31="","",IF(COUNTIFS('Player Rounds'!$A$2:$A$401,$A31,'Player Rounds'!$B$2:$B$401,$B31,'Player Rounds'!$L$2:$L$401,"&gt;0")=0,"",SIGN(_xlfn.MINIFS('Player Rounds'!$AF$2:$AF$401,'Player Rounds'!$A$2:$A$401,$A31,'Player Rounds'!$B$2:$B$401,$B31,'Player Rounds'!$C$2:$C$401,$D31)-_xlfn.MINIFS('Player Rounds'!$AF$2:$AF$401,'Player Rounds'!$A$2:$A$401,$A31,'Player Rounds'!$B$2:$B$401,$B31,'Player Rounds'!$C$2:$C$401,$C31))))</f>
      </c>
      <c r="S31" t="e">
        <f>IF($A31="","",IF(COUNTIFS('Player Rounds'!$A$2:$A$401,$A31,'Player Rounds'!$B$2:$B$401,$B31,'Player Rounds'!$M$2:$M$401,"&gt;0")=0,"",SIGN(_xlfn.MINIFS('Player Rounds'!$AG$2:$AG$401,'Player Rounds'!$A$2:$A$401,$A31,'Player Rounds'!$B$2:$B$401,$B31,'Player Rounds'!$C$2:$C$401,$D31)-_xlfn.MINIFS('Player Rounds'!$AG$2:$AG$401,'Player Rounds'!$A$2:$A$401,$A31,'Player Rounds'!$B$2:$B$401,$B31,'Player Rounds'!$C$2:$C$401,$C31))))</f>
      </c>
      <c r="T31" t="e">
        <f>IF($A31="","",IF(COUNTIFS('Player Rounds'!$A$2:$A$401,$A31,'Player Rounds'!$B$2:$B$401,$B31,'Player Rounds'!$N$2:$N$401,"&gt;0")=0,"",SIGN(_xlfn.MINIFS('Player Rounds'!$AH$2:$AH$401,'Player Rounds'!$A$2:$A$401,$A31,'Player Rounds'!$B$2:$B$401,$B31,'Player Rounds'!$C$2:$C$401,$D31)-_xlfn.MINIFS('Player Rounds'!$AH$2:$AH$401,'Player Rounds'!$A$2:$A$401,$A31,'Player Rounds'!$B$2:$B$401,$B31,'Player Rounds'!$C$2:$C$401,$C31))))</f>
      </c>
      <c r="U31" t="e">
        <f>IF($A31="","",IF(COUNTIFS('Player Rounds'!$A$2:$A$401,$A31,'Player Rounds'!$B$2:$B$401,$B31,'Player Rounds'!$O$2:$O$401,"&gt;0")=0,"",SIGN(_xlfn.MINIFS('Player Rounds'!$AI$2:$AI$401,'Player Rounds'!$A$2:$A$401,$A31,'Player Rounds'!$B$2:$B$401,$B31,'Player Rounds'!$C$2:$C$401,$D31)-_xlfn.MINIFS('Player Rounds'!$AI$2:$AI$401,'Player Rounds'!$A$2:$A$401,$A31,'Player Rounds'!$B$2:$B$401,$B31,'Player Rounds'!$C$2:$C$401,$C31))))</f>
      </c>
      <c r="V31" t="e">
        <f>IF($A31="","",IF(COUNTIFS('Player Rounds'!$A$2:$A$401,$A31,'Player Rounds'!$B$2:$B$401,$B31,'Player Rounds'!$P$2:$P$401,"&gt;0")=0,"",SIGN(_xlfn.MINIFS('Player Rounds'!$AJ$2:$AJ$401,'Player Rounds'!$A$2:$A$401,$A31,'Player Rounds'!$B$2:$B$401,$B31,'Player Rounds'!$C$2:$C$401,$D31)-_xlfn.MINIFS('Player Rounds'!$AJ$2:$AJ$401,'Player Rounds'!$A$2:$A$401,$A31,'Player Rounds'!$B$2:$B$401,$B31,'Player Rounds'!$C$2:$C$401,$C31))))</f>
      </c>
      <c r="W31" t="e">
        <f>IF($A31="","",IF(COUNTIFS('Player Rounds'!$A$2:$A$401,$A31,'Player Rounds'!$B$2:$B$401,$B31,'Player Rounds'!$Q$2:$Q$401,"&gt;0")=0,"",SIGN(_xlfn.MINIFS('Player Rounds'!$AK$2:$AK$401,'Player Rounds'!$A$2:$A$401,$A31,'Player Rounds'!$B$2:$B$401,$B31,'Player Rounds'!$C$2:$C$401,$D31)-_xlfn.MINIFS('Player Rounds'!$AK$2:$AK$401,'Player Rounds'!$A$2:$A$401,$A31,'Player Rounds'!$B$2:$B$401,$B31,'Player Rounds'!$C$2:$C$401,$C31))))</f>
      </c>
      <c r="X31" t="e">
        <f>IF($A31="","",IF(COUNTIFS('Player Rounds'!$A$2:$A$401,$A31,'Player Rounds'!$B$2:$B$401,$B31,'Player Rounds'!$R$2:$R$401,"&gt;0")=0,"",SIGN(_xlfn.MINIFS('Player Rounds'!$AL$2:$AL$401,'Player Rounds'!$A$2:$A$401,$A31,'Player Rounds'!$B$2:$B$401,$B31,'Player Rounds'!$C$2:$C$401,$D31)-_xlfn.MINIFS('Player Rounds'!$AL$2:$AL$401,'Player Rounds'!$A$2:$A$401,$A31,'Player Rounds'!$B$2:$B$401,$B31,'Player Rounds'!$C$2:$C$401,$C31))))</f>
      </c>
      <c r="Y31" t="e">
        <f>IF($A31="","",IF(COUNTIFS('Player Rounds'!$A$2:$A$401,$A31,'Player Rounds'!$B$2:$B$401,$B31,'Player Rounds'!$S$2:$S$401,"&gt;0")=0,"",SIGN(_xlfn.MINIFS('Player Rounds'!$AM$2:$AM$401,'Player Rounds'!$A$2:$A$401,$A31,'Player Rounds'!$B$2:$B$401,$B31,'Player Rounds'!$C$2:$C$401,$D31)-_xlfn.MINIFS('Player Rounds'!$AM$2:$AM$401,'Player Rounds'!$A$2:$A$401,$A31,'Player Rounds'!$B$2:$B$401,$B31,'Player Rounds'!$C$2:$C$401,$C31))))</f>
      </c>
      <c r="Z31" t="e">
        <f>IF($A31="","",IF(COUNTIFS('Player Rounds'!$A$2:$A$401,$A31,'Player Rounds'!$B$2:$B$401,$B31,'Player Rounds'!$T$2:$T$401,"&gt;0")=0,"",SIGN(_xlfn.MINIFS('Player Rounds'!$AN$2:$AN$401,'Player Rounds'!$A$2:$A$401,$A31,'Player Rounds'!$B$2:$B$401,$B31,'Player Rounds'!$C$2:$C$401,$D31)-_xlfn.MINIFS('Player Rounds'!$AN$2:$AN$401,'Player Rounds'!$A$2:$A$401,$A31,'Player Rounds'!$B$2:$B$401,$B31,'Player Rounds'!$C$2:$C$401,$C31))))</f>
      </c>
      <c r="AA31" t="e">
        <f>IF($A31="","",IF(COUNTIFS('Player Rounds'!$A$2:$A$401,$A31,'Player Rounds'!$B$2:$B$401,$B31,'Player Rounds'!$U$2:$U$401,"&gt;0")=0,"",SIGN(_xlfn.MINIFS('Player Rounds'!$AO$2:$AO$401,'Player Rounds'!$A$2:$A$401,$A31,'Player Rounds'!$B$2:$B$401,$B31,'Player Rounds'!$C$2:$C$401,$D31)-_xlfn.MINIFS('Player Rounds'!$AO$2:$AO$401,'Player Rounds'!$A$2:$A$401,$A31,'Player Rounds'!$B$2:$B$401,$B31,'Player Rounds'!$C$2:$C$401,$C31))))</f>
      </c>
      <c r="AB31" t="e">
        <f>IF($A31="","",IF(COUNTIFS('Player Rounds'!$A$2:$A$401,$A31,'Player Rounds'!$B$2:$B$401,$B31,'Player Rounds'!$V$2:$V$401,"&gt;0")=0,"",SIGN(_xlfn.MINIFS('Player Rounds'!$AP$2:$AP$401,'Player Rounds'!$A$2:$A$401,$A31,'Player Rounds'!$B$2:$B$401,$B31,'Player Rounds'!$C$2:$C$401,$D31)-_xlfn.MINIFS('Player Rounds'!$AP$2:$AP$401,'Player Rounds'!$A$2:$A$401,$A31,'Player Rounds'!$B$2:$B$401,$B31,'Player Rounds'!$C$2:$C$401,$C31))))</f>
      </c>
      <c r="AC31" t="e">
        <f>IF($A31="","",IF(COUNTIFS('Player Rounds'!$A$2:$A$401,$A31,'Player Rounds'!$B$2:$B$401,$B31,'Player Rounds'!$W$2:$W$401,"&gt;0")=0,"",SIGN(_xlfn.MINIFS('Player Rounds'!$AQ$2:$AQ$401,'Player Rounds'!$A$2:$A$401,$A31,'Player Rounds'!$B$2:$B$401,$B31,'Player Rounds'!$C$2:$C$401,$D31)-_xlfn.MINIFS('Player Rounds'!$AQ$2:$AQ$401,'Player Rounds'!$A$2:$A$401,$A31,'Player Rounds'!$B$2:$B$401,$B31,'Player Rounds'!$C$2:$C$401,$C31))))</f>
      </c>
      <c r="AD31" t="e">
        <f>IF($A31="","",SUM($L31:L31))</f>
      </c>
      <c r="AE31" t="e">
        <f>IF($A31="","",SUM($L31:M31))</f>
      </c>
      <c r="AF31" t="e">
        <f>IF($A31="","",SUM($L31:N31))</f>
      </c>
      <c r="AG31" t="e">
        <f>IF($A31="","",SUM($L31:O31))</f>
      </c>
      <c r="AH31" t="e">
        <f>IF($A31="","",SUM($L31:P31))</f>
      </c>
      <c r="AI31" t="e">
        <f>IF($A31="","",SUM($L31:Q31))</f>
      </c>
      <c r="AJ31" t="e">
        <f>IF($A31="","",SUM($L31:R31))</f>
      </c>
      <c r="AK31" t="e">
        <f>IF($A31="","",SUM($L31:S31))</f>
      </c>
      <c r="AL31" t="e">
        <f>IF($A31="","",SUM($L31:T31))</f>
      </c>
      <c r="AM31" t="e">
        <f>IF($A31="","",SUM($L31:U31))</f>
      </c>
      <c r="AN31" t="e">
        <f>IF($A31="","",SUM($L31:V31))</f>
      </c>
      <c r="AO31" t="e">
        <f>IF($A31="","",SUM($L31:W31))</f>
      </c>
      <c r="AP31" t="e">
        <f>IF($A31="","",SUM($L31:X31))</f>
      </c>
      <c r="AQ31" t="e">
        <f>IF($A31="","",SUM($L31:Y31))</f>
      </c>
      <c r="AR31" t="e">
        <f>IF($A31="","",SUM($L31:Z31))</f>
      </c>
      <c r="AS31" t="e">
        <f>IF($A31="","",SUM($L31:AA31))</f>
      </c>
      <c r="AT31" t="e">
        <f>IF($A31="","",SUM($L31:AB31))</f>
      </c>
      <c r="AU31" t="e">
        <f>IF($A31="","",SUM($L31:AC31))</f>
      </c>
      <c r="AV31" t="e">
        <f>IF(OR($A31="",L31=""),"",IF(ABS(AD31)&gt;17,1,""))</f>
      </c>
      <c r="AW31" t="e">
        <f>IF(OR($A31="",M31=""),"",IF(ABS(AE31)&gt;16,2,""))</f>
      </c>
      <c r="AX31" t="e">
        <f>IF(OR($A31="",N31=""),"",IF(ABS(AF31)&gt;15,3,""))</f>
      </c>
      <c r="AY31" t="e">
        <f>IF(OR($A31="",O31=""),"",IF(ABS(AG31)&gt;14,4,""))</f>
      </c>
      <c r="AZ31" t="e">
        <f>IF(OR($A31="",P31=""),"",IF(ABS(AH31)&gt;13,5,""))</f>
      </c>
      <c r="BA31" t="e">
        <f>IF(OR($A31="",Q31=""),"",IF(ABS(AI31)&gt;12,6,""))</f>
      </c>
      <c r="BB31" t="e">
        <f>IF(OR($A31="",R31=""),"",IF(ABS(AJ31)&gt;11,7,""))</f>
      </c>
      <c r="BC31" t="e">
        <f>IF(OR($A31="",S31=""),"",IF(ABS(AK31)&gt;10,8,""))</f>
      </c>
      <c r="BD31" t="e">
        <f>IF(OR($A31="",T31=""),"",IF(ABS(AL31)&gt;9,9,""))</f>
      </c>
      <c r="BE31" t="e">
        <f>IF(OR($A31="",U31=""),"",IF(ABS(AM31)&gt;8,10,""))</f>
      </c>
      <c r="BF31" t="e">
        <f>IF(OR($A31="",V31=""),"",IF(ABS(AN31)&gt;7,11,""))</f>
      </c>
      <c r="BG31" t="e">
        <f>IF(OR($A31="",W31=""),"",IF(ABS(AO31)&gt;6,12,""))</f>
      </c>
      <c r="BH31" t="e">
        <f>IF(OR($A31="",X31=""),"",IF(ABS(AP31)&gt;5,13,""))</f>
      </c>
      <c r="BI31" t="e">
        <f>IF(OR($A31="",Y31=""),"",IF(ABS(AQ31)&gt;4,14,""))</f>
      </c>
      <c r="BJ31" t="e">
        <f>IF(OR($A31="",Z31=""),"",IF(ABS(AR31)&gt;3,15,""))</f>
      </c>
      <c r="BK31" t="e">
        <f>IF(OR($A31="",AA31=""),"",IF(ABS(AS31)&gt;2,16,""))</f>
      </c>
      <c r="BL31" t="e">
        <f>IF(OR($A31="",AB31=""),"",IF(ABS(AT31)&gt;1,17,""))</f>
      </c>
      <c r="BM31" t="e">
        <f>IF(OR($A31="",AC31=""),"",IF(ABS(AU31)&gt;0,18,""))</f>
      </c>
    </row>
    <row r="32">
      <c r="C32" t="str">
        <f>IF($A32="","",INDEX('Tournament Setup'!$J:$J,MATCH($A32,'Tournament Setup'!$A:$A,0)))</f>
        <v/>
      </c>
      <c r="D32" t="str">
        <f>IF($A32="","",INDEX('Tournament Setup'!$K:$K,MATCH($A32,'Tournament Setup'!$A:$A,0)))</f>
        <v/>
      </c>
      <c r="E32" t="str">
        <f>IF($A32="","",IF(COUNT(L32:AC32)=0,"Not played",IF(AND($K32&gt;0,$K32&lt;18),IF(INDEX(AD32:AU32,1,$K32)&gt;0,$C32,$D32)&amp;" "&amp;ABS(INDEX(AD32:AU32,1,$K32))&amp;"&amp;"&amp;(18-$K32),IF($J32=0,"Halved (AS)",IF($J32&gt;0,$C32,$D32)&amp;" "&amp;ABS($J32)&amp;" UP"))))</f>
        <v/>
      </c>
      <c r="F32" t="e">
        <f>IF(OR($A32="",COUNT(L32:AC32)=0),"",INDEX('Tournament Setup'!$I:$I,MATCH($A32,'Tournament Setup'!$A:$A,0))*IF(INDEX('Tournament Setup'!$H:$H,MATCH($A32,'Tournament Setup'!$A:$A,0))="Yes",IF($H32&gt;0,1,IF($H32=0,0.5,0))+IF($I32&gt;0,1,IF($I32=0,0.5,0))+IF($J32&gt;0,1,IF($J32=0,0.5,0)),IF(IF(AND($K32&gt;0,$K32&lt;18),INDEX(AD32:AU32,1,$K32),$J32)&gt;0,1,IF(IF(AND($K32&gt;0,$K32&lt;18),INDEX(AD32:AU32,1,$K32),$J32)=0,0.5,0))))</f>
      </c>
      <c r="G32" t="e">
        <f>IF(OR($A32="",COUNT(L32:AC32)=0),"",INDEX('Tournament Setup'!$I:$I,MATCH($A32,'Tournament Setup'!$A:$A,0))*IF(INDEX('Tournament Setup'!$H:$H,MATCH($A32,'Tournament Setup'!$A:$A,0))="Yes",IF($H32&lt;0,1,IF($H32=0,0.5,0))+IF($I32&lt;0,1,IF($I32=0,0.5,0))+IF($J32&lt;0,1,IF($J32=0,0.5,0)),IF(IF(AND($K32&gt;0,$K32&lt;18),INDEX(AD32:AU32,1,$K32),$J32)&lt;0,1,IF(IF(AND($K32&gt;0,$K32&lt;18),INDEX(AD32:AU32,1,$K32),$J32)=0,0.5,0))))</f>
      </c>
      <c r="H32" t="e">
        <f>IF($A32="","",SUM(L32:T32))</f>
      </c>
      <c r="I32" t="e">
        <f>IF($A32="","",SUM(U32:AC32))</f>
      </c>
      <c r="J32" t="e">
        <f>IF($A32="","",SUM(L32:AC32))</f>
      </c>
      <c r="K32" t="e">
        <f>IF($A32="","",MIN(AV32:BM32))</f>
      </c>
      <c r="L32" t="e">
        <f>IF($A32="","",IF(COUNTIFS('Player Rounds'!$A$2:$A$401,$A32,'Player Rounds'!$B$2:$B$401,$B32,'Player Rounds'!$F$2:$F$401,"&gt;0")=0,"",SIGN(_xlfn.MINIFS('Player Rounds'!$Z$2:$Z$401,'Player Rounds'!$A$2:$A$401,$A32,'Player Rounds'!$B$2:$B$401,$B32,'Player Rounds'!$C$2:$C$401,$D32)-_xlfn.MINIFS('Player Rounds'!$Z$2:$Z$401,'Player Rounds'!$A$2:$A$401,$A32,'Player Rounds'!$B$2:$B$401,$B32,'Player Rounds'!$C$2:$C$401,$C32))))</f>
      </c>
      <c r="M32" t="e">
        <f>IF($A32="","",IF(COUNTIFS('Player Rounds'!$A$2:$A$401,$A32,'Player Rounds'!$B$2:$B$401,$B32,'Player Rounds'!$G$2:$G$401,"&gt;0")=0,"",SIGN(_xlfn.MINIFS('Player Rounds'!$AA$2:$AA$401,'Player Rounds'!$A$2:$A$401,$A32,'Player Rounds'!$B$2:$B$401,$B32,'Player Rounds'!$C$2:$C$401,$D32)-_xlfn.MINIFS('Player Rounds'!$AA$2:$AA$401,'Player Rounds'!$A$2:$A$401,$A32,'Player Rounds'!$B$2:$B$401,$B32,'Player Rounds'!$C$2:$C$401,$C32))))</f>
      </c>
      <c r="N32" t="e">
        <f>IF($A32="","",IF(COUNTIFS('Player Rounds'!$A$2:$A$401,$A32,'Player Rounds'!$B$2:$B$401,$B32,'Player Rounds'!$H$2:$H$401,"&gt;0")=0,"",SIGN(_xlfn.MINIFS('Player Rounds'!$AB$2:$AB$401,'Player Rounds'!$A$2:$A$401,$A32,'Player Rounds'!$B$2:$B$401,$B32,'Player Rounds'!$C$2:$C$401,$D32)-_xlfn.MINIFS('Player Rounds'!$AB$2:$AB$401,'Player Rounds'!$A$2:$A$401,$A32,'Player Rounds'!$B$2:$B$401,$B32,'Player Rounds'!$C$2:$C$401,$C32))))</f>
      </c>
      <c r="O32" t="e">
        <f>IF($A32="","",IF(COUNTIFS('Player Rounds'!$A$2:$A$401,$A32,'Player Rounds'!$B$2:$B$401,$B32,'Player Rounds'!$I$2:$I$401,"&gt;0")=0,"",SIGN(_xlfn.MINIFS('Player Rounds'!$AC$2:$AC$401,'Player Rounds'!$A$2:$A$401,$A32,'Player Rounds'!$B$2:$B$401,$B32,'Player Rounds'!$C$2:$C$401,$D32)-_xlfn.MINIFS('Player Rounds'!$AC$2:$AC$401,'Player Rounds'!$A$2:$A$401,$A32,'Player Rounds'!$B$2:$B$401,$B32,'Player Rounds'!$C$2:$C$401,$C32))))</f>
      </c>
      <c r="P32" t="e">
        <f>IF($A32="","",IF(COUNTIFS('Player Rounds'!$A$2:$A$401,$A32,'Player Rounds'!$B$2:$B$401,$B32,'Player Rounds'!$J$2:$J$401,"&gt;0")=0,"",SIGN(_xlfn.MINIFS('Player Rounds'!$AD$2:$AD$401,'Player Rounds'!$A$2:$A$401,$A32,'Player Rounds'!$B$2:$B$401,$B32,'Player Rounds'!$C$2:$C$401,$D32)-_xlfn.MINIFS('Player Rounds'!$AD$2:$AD$401,'Player Rounds'!$A$2:$A$401,$A32,'Player Rounds'!$B$2:$B$401,$B32,'Player Rounds'!$C$2:$C$401,$C32))))</f>
      </c>
      <c r="Q32" t="e">
        <f>IF($A32="","",IF(COUNTIFS('Player Rounds'!$A$2:$A$401,$A32,'Player Rounds'!$B$2:$B$401,$B32,'Player Rounds'!$K$2:$K$401,"&gt;0")=0,"",SIGN(_xlfn.MINIFS('Player Rounds'!$AE$2:$AE$401,'Player Rounds'!$A$2:$A$401,$A32,'Player Rounds'!$B$2:$B$401,$B32,'Player Rounds'!$C$2:$C$401,$D32)-_xlfn.MINIFS('Player Rounds'!$AE$2:$AE$401,'Player Rounds'!$A$2:$A$401,$A32,'Player Rounds'!$B$2:$B$401,$B32,'Player Rounds'!$C$2:$C$401,$C32))))</f>
      </c>
      <c r="R32" t="e">
        <f>IF($A32="","",IF(COUNTIFS('Player Rounds'!$A$2:$A$401,$A32,'Player Rounds'!$B$2:$B$401,$B32,'Player Rounds'!$L$2:$L$401,"&gt;0")=0,"",SIGN(_xlfn.MINIFS('Player Rounds'!$AF$2:$AF$401,'Player Rounds'!$A$2:$A$401,$A32,'Player Rounds'!$B$2:$B$401,$B32,'Player Rounds'!$C$2:$C$401,$D32)-_xlfn.MINIFS('Player Rounds'!$AF$2:$AF$401,'Player Rounds'!$A$2:$A$401,$A32,'Player Rounds'!$B$2:$B$401,$B32,'Player Rounds'!$C$2:$C$401,$C32))))</f>
      </c>
      <c r="S32" t="e">
        <f>IF($A32="","",IF(COUNTIFS('Player Rounds'!$A$2:$A$401,$A32,'Player Rounds'!$B$2:$B$401,$B32,'Player Rounds'!$M$2:$M$401,"&gt;0")=0,"",SIGN(_xlfn.MINIFS('Player Rounds'!$AG$2:$AG$401,'Player Rounds'!$A$2:$A$401,$A32,'Player Rounds'!$B$2:$B$401,$B32,'Player Rounds'!$C$2:$C$401,$D32)-_xlfn.MINIFS('Player Rounds'!$AG$2:$AG$401,'Player Rounds'!$A$2:$A$401,$A32,'Player Rounds'!$B$2:$B$401,$B32,'Player Rounds'!$C$2:$C$401,$C32))))</f>
      </c>
      <c r="T32" t="e">
        <f>IF($A32="","",IF(COUNTIFS('Player Rounds'!$A$2:$A$401,$A32,'Player Rounds'!$B$2:$B$401,$B32,'Player Rounds'!$N$2:$N$401,"&gt;0")=0,"",SIGN(_xlfn.MINIFS('Player Rounds'!$AH$2:$AH$401,'Player Rounds'!$A$2:$A$401,$A32,'Player Rounds'!$B$2:$B$401,$B32,'Player Rounds'!$C$2:$C$401,$D32)-_xlfn.MINIFS('Player Rounds'!$AH$2:$AH$401,'Player Rounds'!$A$2:$A$401,$A32,'Player Rounds'!$B$2:$B$401,$B32,'Player Rounds'!$C$2:$C$401,$C32))))</f>
      </c>
      <c r="U32" t="e">
        <f>IF($A32="","",IF(COUNTIFS('Player Rounds'!$A$2:$A$401,$A32,'Player Rounds'!$B$2:$B$401,$B32,'Player Rounds'!$O$2:$O$401,"&gt;0")=0,"",SIGN(_xlfn.MINIFS('Player Rounds'!$AI$2:$AI$401,'Player Rounds'!$A$2:$A$401,$A32,'Player Rounds'!$B$2:$B$401,$B32,'Player Rounds'!$C$2:$C$401,$D32)-_xlfn.MINIFS('Player Rounds'!$AI$2:$AI$401,'Player Rounds'!$A$2:$A$401,$A32,'Player Rounds'!$B$2:$B$401,$B32,'Player Rounds'!$C$2:$C$401,$C32))))</f>
      </c>
      <c r="V32" t="e">
        <f>IF($A32="","",IF(COUNTIFS('Player Rounds'!$A$2:$A$401,$A32,'Player Rounds'!$B$2:$B$401,$B32,'Player Rounds'!$P$2:$P$401,"&gt;0")=0,"",SIGN(_xlfn.MINIFS('Player Rounds'!$AJ$2:$AJ$401,'Player Rounds'!$A$2:$A$401,$A32,'Player Rounds'!$B$2:$B$401,$B32,'Player Rounds'!$C$2:$C$401,$D32)-_xlfn.MINIFS('Player Rounds'!$AJ$2:$AJ$401,'Player Rounds'!$A$2:$A$401,$A32,'Player Rounds'!$B$2:$B$401,$B32,'Player Rounds'!$C$2:$C$401,$C32))))</f>
      </c>
      <c r="W32" t="e">
        <f>IF($A32="","",IF(COUNTIFS('Player Rounds'!$A$2:$A$401,$A32,'Player Rounds'!$B$2:$B$401,$B32,'Player Rounds'!$Q$2:$Q$401,"&gt;0")=0,"",SIGN(_xlfn.MINIFS('Player Rounds'!$AK$2:$AK$401,'Player Rounds'!$A$2:$A$401,$A32,'Player Rounds'!$B$2:$B$401,$B32,'Player Rounds'!$C$2:$C$401,$D32)-_xlfn.MINIFS('Player Rounds'!$AK$2:$AK$401,'Player Rounds'!$A$2:$A$401,$A32,'Player Rounds'!$B$2:$B$401,$B32,'Player Rounds'!$C$2:$C$401,$C32))))</f>
      </c>
      <c r="X32" t="e">
        <f>IF($A32="","",IF(COUNTIFS('Player Rounds'!$A$2:$A$401,$A32,'Player Rounds'!$B$2:$B$401,$B32,'Player Rounds'!$R$2:$R$401,"&gt;0")=0,"",SIGN(_xlfn.MINIFS('Player Rounds'!$AL$2:$AL$401,'Player Rounds'!$A$2:$A$401,$A32,'Player Rounds'!$B$2:$B$401,$B32,'Player Rounds'!$C$2:$C$401,$D32)-_xlfn.MINIFS('Player Rounds'!$AL$2:$AL$401,'Player Rounds'!$A$2:$A$401,$A32,'Player Rounds'!$B$2:$B$401,$B32,'Player Rounds'!$C$2:$C$401,$C32))))</f>
      </c>
      <c r="Y32" t="e">
        <f>IF($A32="","",IF(COUNTIFS('Player Rounds'!$A$2:$A$401,$A32,'Player Rounds'!$B$2:$B$401,$B32,'Player Rounds'!$S$2:$S$401,"&gt;0")=0,"",SIGN(_xlfn.MINIFS('Player Rounds'!$AM$2:$AM$401,'Player Rounds'!$A$2:$A$401,$A32,'Player Rounds'!$B$2:$B$401,$B32,'Player Rounds'!$C$2:$C$401,$D32)-_xlfn.MINIFS('Player Rounds'!$AM$2:$AM$401,'Player Rounds'!$A$2:$A$401,$A32,'Player Rounds'!$B$2:$B$401,$B32,'Player Rounds'!$C$2:$C$401,$C32))))</f>
      </c>
      <c r="Z32" t="e">
        <f>IF($A32="","",IF(COUNTIFS('Player Rounds'!$A$2:$A$401,$A32,'Player Rounds'!$B$2:$B$401,$B32,'Player Rounds'!$T$2:$T$401,"&gt;0")=0,"",SIGN(_xlfn.MINIFS('Player Rounds'!$AN$2:$AN$401,'Player Rounds'!$A$2:$A$401,$A32,'Player Rounds'!$B$2:$B$401,$B32,'Player Rounds'!$C$2:$C$401,$D32)-_xlfn.MINIFS('Player Rounds'!$AN$2:$AN$401,'Player Rounds'!$A$2:$A$401,$A32,'Player Rounds'!$B$2:$B$401,$B32,'Player Rounds'!$C$2:$C$401,$C32))))</f>
      </c>
      <c r="AA32" t="e">
        <f>IF($A32="","",IF(COUNTIFS('Player Rounds'!$A$2:$A$401,$A32,'Player Rounds'!$B$2:$B$401,$B32,'Player Rounds'!$U$2:$U$401,"&gt;0")=0,"",SIGN(_xlfn.MINIFS('Player Rounds'!$AO$2:$AO$401,'Player Rounds'!$A$2:$A$401,$A32,'Player Rounds'!$B$2:$B$401,$B32,'Player Rounds'!$C$2:$C$401,$D32)-_xlfn.MINIFS('Player Rounds'!$AO$2:$AO$401,'Player Rounds'!$A$2:$A$401,$A32,'Player Rounds'!$B$2:$B$401,$B32,'Player Rounds'!$C$2:$C$401,$C32))))</f>
      </c>
      <c r="AB32" t="e">
        <f>IF($A32="","",IF(COUNTIFS('Player Rounds'!$A$2:$A$401,$A32,'Player Rounds'!$B$2:$B$401,$B32,'Player Rounds'!$V$2:$V$401,"&gt;0")=0,"",SIGN(_xlfn.MINIFS('Player Rounds'!$AP$2:$AP$401,'Player Rounds'!$A$2:$A$401,$A32,'Player Rounds'!$B$2:$B$401,$B32,'Player Rounds'!$C$2:$C$401,$D32)-_xlfn.MINIFS('Player Rounds'!$AP$2:$AP$401,'Player Rounds'!$A$2:$A$401,$A32,'Player Rounds'!$B$2:$B$401,$B32,'Player Rounds'!$C$2:$C$401,$C32))))</f>
      </c>
      <c r="AC32" t="e">
        <f>IF($A32="","",IF(COUNTIFS('Player Rounds'!$A$2:$A$401,$A32,'Player Rounds'!$B$2:$B$401,$B32,'Player Rounds'!$W$2:$W$401,"&gt;0")=0,"",SIGN(_xlfn.MINIFS('Player Rounds'!$AQ$2:$AQ$401,'Player Rounds'!$A$2:$A$401,$A32,'Player Rounds'!$B$2:$B$401,$B32,'Player Rounds'!$C$2:$C$401,$D32)-_xlfn.MINIFS('Player Rounds'!$AQ$2:$AQ$401,'Player Rounds'!$A$2:$A$401,$A32,'Player Rounds'!$B$2:$B$401,$B32,'Player Rounds'!$C$2:$C$401,$C32))))</f>
      </c>
      <c r="AD32" t="e">
        <f>IF($A32="","",SUM($L32:L32))</f>
      </c>
      <c r="AE32" t="e">
        <f>IF($A32="","",SUM($L32:M32))</f>
      </c>
      <c r="AF32" t="e">
        <f>IF($A32="","",SUM($L32:N32))</f>
      </c>
      <c r="AG32" t="e">
        <f>IF($A32="","",SUM($L32:O32))</f>
      </c>
      <c r="AH32" t="e">
        <f>IF($A32="","",SUM($L32:P32))</f>
      </c>
      <c r="AI32" t="e">
        <f>IF($A32="","",SUM($L32:Q32))</f>
      </c>
      <c r="AJ32" t="e">
        <f>IF($A32="","",SUM($L32:R32))</f>
      </c>
      <c r="AK32" t="e">
        <f>IF($A32="","",SUM($L32:S32))</f>
      </c>
      <c r="AL32" t="e">
        <f>IF($A32="","",SUM($L32:T32))</f>
      </c>
      <c r="AM32" t="e">
        <f>IF($A32="","",SUM($L32:U32))</f>
      </c>
      <c r="AN32" t="e">
        <f>IF($A32="","",SUM($L32:V32))</f>
      </c>
      <c r="AO32" t="e">
        <f>IF($A32="","",SUM($L32:W32))</f>
      </c>
      <c r="AP32" t="e">
        <f>IF($A32="","",SUM($L32:X32))</f>
      </c>
      <c r="AQ32" t="e">
        <f>IF($A32="","",SUM($L32:Y32))</f>
      </c>
      <c r="AR32" t="e">
        <f>IF($A32="","",SUM($L32:Z32))</f>
      </c>
      <c r="AS32" t="e">
        <f>IF($A32="","",SUM($L32:AA32))</f>
      </c>
      <c r="AT32" t="e">
        <f>IF($A32="","",SUM($L32:AB32))</f>
      </c>
      <c r="AU32" t="e">
        <f>IF($A32="","",SUM($L32:AC32))</f>
      </c>
      <c r="AV32" t="e">
        <f>IF(OR($A32="",L32=""),"",IF(ABS(AD32)&gt;17,1,""))</f>
      </c>
      <c r="AW32" t="e">
        <f>IF(OR($A32="",M32=""),"",IF(ABS(AE32)&gt;16,2,""))</f>
      </c>
      <c r="AX32" t="e">
        <f>IF(OR($A32="",N32=""),"",IF(ABS(AF32)&gt;15,3,""))</f>
      </c>
      <c r="AY32" t="e">
        <f>IF(OR($A32="",O32=""),"",IF(ABS(AG32)&gt;14,4,""))</f>
      </c>
      <c r="AZ32" t="e">
        <f>IF(OR($A32="",P32=""),"",IF(ABS(AH32)&gt;13,5,""))</f>
      </c>
      <c r="BA32" t="e">
        <f>IF(OR($A32="",Q32=""),"",IF(ABS(AI32)&gt;12,6,""))</f>
      </c>
      <c r="BB32" t="e">
        <f>IF(OR($A32="",R32=""),"",IF(ABS(AJ32)&gt;11,7,""))</f>
      </c>
      <c r="BC32" t="e">
        <f>IF(OR($A32="",S32=""),"",IF(ABS(AK32)&gt;10,8,""))</f>
      </c>
      <c r="BD32" t="e">
        <f>IF(OR($A32="",T32=""),"",IF(ABS(AL32)&gt;9,9,""))</f>
      </c>
      <c r="BE32" t="e">
        <f>IF(OR($A32="",U32=""),"",IF(ABS(AM32)&gt;8,10,""))</f>
      </c>
      <c r="BF32" t="e">
        <f>IF(OR($A32="",V32=""),"",IF(ABS(AN32)&gt;7,11,""))</f>
      </c>
      <c r="BG32" t="e">
        <f>IF(OR($A32="",W32=""),"",IF(ABS(AO32)&gt;6,12,""))</f>
      </c>
      <c r="BH32" t="e">
        <f>IF(OR($A32="",X32=""),"",IF(ABS(AP32)&gt;5,13,""))</f>
      </c>
      <c r="BI32" t="e">
        <f>IF(OR($A32="",Y32=""),"",IF(ABS(AQ32)&gt;4,14,""))</f>
      </c>
      <c r="BJ32" t="e">
        <f>IF(OR($A32="",Z32=""),"",IF(ABS(AR32)&gt;3,15,""))</f>
      </c>
      <c r="BK32" t="e">
        <f>IF(OR($A32="",AA32=""),"",IF(ABS(AS32)&gt;2,16,""))</f>
      </c>
      <c r="BL32" t="e">
        <f>IF(OR($A32="",AB32=""),"",IF(ABS(AT32)&gt;1,17,""))</f>
      </c>
      <c r="BM32" t="e">
        <f>IF(OR($A32="",AC32=""),"",IF(ABS(AU32)&gt;0,18,""))</f>
      </c>
    </row>
    <row r="33">
      <c r="C33" t="str">
        <f>IF($A33="","",INDEX('Tournament Setup'!$J:$J,MATCH($A33,'Tournament Setup'!$A:$A,0)))</f>
        <v/>
      </c>
      <c r="D33" t="str">
        <f>IF($A33="","",INDEX('Tournament Setup'!$K:$K,MATCH($A33,'Tournament Setup'!$A:$A,0)))</f>
        <v/>
      </c>
      <c r="E33" t="str">
        <f>IF($A33="","",IF(COUNT(L33:AC33)=0,"Not played",IF(AND($K33&gt;0,$K33&lt;18),IF(INDEX(AD33:AU33,1,$K33)&gt;0,$C33,$D33)&amp;" "&amp;ABS(INDEX(AD33:AU33,1,$K33))&amp;"&amp;"&amp;(18-$K33),IF($J33=0,"Halved (AS)",IF($J33&gt;0,$C33,$D33)&amp;" "&amp;ABS($J33)&amp;" UP"))))</f>
        <v/>
      </c>
      <c r="F33" t="e">
        <f>IF(OR($A33="",COUNT(L33:AC33)=0),"",INDEX('Tournament Setup'!$I:$I,MATCH($A33,'Tournament Setup'!$A:$A,0))*IF(INDEX('Tournament Setup'!$H:$H,MATCH($A33,'Tournament Setup'!$A:$A,0))="Yes",IF($H33&gt;0,1,IF($H33=0,0.5,0))+IF($I33&gt;0,1,IF($I33=0,0.5,0))+IF($J33&gt;0,1,IF($J33=0,0.5,0)),IF(IF(AND($K33&gt;0,$K33&lt;18),INDEX(AD33:AU33,1,$K33),$J33)&gt;0,1,IF(IF(AND($K33&gt;0,$K33&lt;18),INDEX(AD33:AU33,1,$K33),$J33)=0,0.5,0))))</f>
      </c>
      <c r="G33" t="e">
        <f>IF(OR($A33="",COUNT(L33:AC33)=0),"",INDEX('Tournament Setup'!$I:$I,MATCH($A33,'Tournament Setup'!$A:$A,0))*IF(INDEX('Tournament Setup'!$H:$H,MATCH($A33,'Tournament Setup'!$A:$A,0))="Yes",IF($H33&lt;0,1,IF($H33=0,0.5,0))+IF($I33&lt;0,1,IF($I33=0,0.5,0))+IF($J33&lt;0,1,IF($J33=0,0.5,0)),IF(IF(AND($K33&gt;0,$K33&lt;18),INDEX(AD33:AU33,1,$K33),$J33)&lt;0,1,IF(IF(AND($K33&gt;0,$K33&lt;18),INDEX(AD33:AU33,1,$K33),$J33)=0,0.5,0))))</f>
      </c>
      <c r="H33" t="e">
        <f>IF($A33="","",SUM(L33:T33))</f>
      </c>
      <c r="I33" t="e">
        <f>IF($A33="","",SUM(U33:AC33))</f>
      </c>
      <c r="J33" t="e">
        <f>IF($A33="","",SUM(L33:AC33))</f>
      </c>
      <c r="K33" t="e">
        <f>IF($A33="","",MIN(AV33:BM33))</f>
      </c>
      <c r="L33" t="e">
        <f>IF($A33="","",IF(COUNTIFS('Player Rounds'!$A$2:$A$401,$A33,'Player Rounds'!$B$2:$B$401,$B33,'Player Rounds'!$F$2:$F$401,"&gt;0")=0,"",SIGN(_xlfn.MINIFS('Player Rounds'!$Z$2:$Z$401,'Player Rounds'!$A$2:$A$401,$A33,'Player Rounds'!$B$2:$B$401,$B33,'Player Rounds'!$C$2:$C$401,$D33)-_xlfn.MINIFS('Player Rounds'!$Z$2:$Z$401,'Player Rounds'!$A$2:$A$401,$A33,'Player Rounds'!$B$2:$B$401,$B33,'Player Rounds'!$C$2:$C$401,$C33))))</f>
      </c>
      <c r="M33" t="e">
        <f>IF($A33="","",IF(COUNTIFS('Player Rounds'!$A$2:$A$401,$A33,'Player Rounds'!$B$2:$B$401,$B33,'Player Rounds'!$G$2:$G$401,"&gt;0")=0,"",SIGN(_xlfn.MINIFS('Player Rounds'!$AA$2:$AA$401,'Player Rounds'!$A$2:$A$401,$A33,'Player Rounds'!$B$2:$B$401,$B33,'Player Rounds'!$C$2:$C$401,$D33)-_xlfn.MINIFS('Player Rounds'!$AA$2:$AA$401,'Player Rounds'!$A$2:$A$401,$A33,'Player Rounds'!$B$2:$B$401,$B33,'Player Rounds'!$C$2:$C$401,$C33))))</f>
      </c>
      <c r="N33" t="e">
        <f>IF($A33="","",IF(COUNTIFS('Player Rounds'!$A$2:$A$401,$A33,'Player Rounds'!$B$2:$B$401,$B33,'Player Rounds'!$H$2:$H$401,"&gt;0")=0,"",SIGN(_xlfn.MINIFS('Player Rounds'!$AB$2:$AB$401,'Player Rounds'!$A$2:$A$401,$A33,'Player Rounds'!$B$2:$B$401,$B33,'Player Rounds'!$C$2:$C$401,$D33)-_xlfn.MINIFS('Player Rounds'!$AB$2:$AB$401,'Player Rounds'!$A$2:$A$401,$A33,'Player Rounds'!$B$2:$B$401,$B33,'Player Rounds'!$C$2:$C$401,$C33))))</f>
      </c>
      <c r="O33" t="e">
        <f>IF($A33="","",IF(COUNTIFS('Player Rounds'!$A$2:$A$401,$A33,'Player Rounds'!$B$2:$B$401,$B33,'Player Rounds'!$I$2:$I$401,"&gt;0")=0,"",SIGN(_xlfn.MINIFS('Player Rounds'!$AC$2:$AC$401,'Player Rounds'!$A$2:$A$401,$A33,'Player Rounds'!$B$2:$B$401,$B33,'Player Rounds'!$C$2:$C$401,$D33)-_xlfn.MINIFS('Player Rounds'!$AC$2:$AC$401,'Player Rounds'!$A$2:$A$401,$A33,'Player Rounds'!$B$2:$B$401,$B33,'Player Rounds'!$C$2:$C$401,$C33))))</f>
      </c>
      <c r="P33" t="e">
        <f>IF($A33="","",IF(COUNTIFS('Player Rounds'!$A$2:$A$401,$A33,'Player Rounds'!$B$2:$B$401,$B33,'Player Rounds'!$J$2:$J$401,"&gt;0")=0,"",SIGN(_xlfn.MINIFS('Player Rounds'!$AD$2:$AD$401,'Player Rounds'!$A$2:$A$401,$A33,'Player Rounds'!$B$2:$B$401,$B33,'Player Rounds'!$C$2:$C$401,$D33)-_xlfn.MINIFS('Player Rounds'!$AD$2:$AD$401,'Player Rounds'!$A$2:$A$401,$A33,'Player Rounds'!$B$2:$B$401,$B33,'Player Rounds'!$C$2:$C$401,$C33))))</f>
      </c>
      <c r="Q33" t="e">
        <f>IF($A33="","",IF(COUNTIFS('Player Rounds'!$A$2:$A$401,$A33,'Player Rounds'!$B$2:$B$401,$B33,'Player Rounds'!$K$2:$K$401,"&gt;0")=0,"",SIGN(_xlfn.MINIFS('Player Rounds'!$AE$2:$AE$401,'Player Rounds'!$A$2:$A$401,$A33,'Player Rounds'!$B$2:$B$401,$B33,'Player Rounds'!$C$2:$C$401,$D33)-_xlfn.MINIFS('Player Rounds'!$AE$2:$AE$401,'Player Rounds'!$A$2:$A$401,$A33,'Player Rounds'!$B$2:$B$401,$B33,'Player Rounds'!$C$2:$C$401,$C33))))</f>
      </c>
      <c r="R33" t="e">
        <f>IF($A33="","",IF(COUNTIFS('Player Rounds'!$A$2:$A$401,$A33,'Player Rounds'!$B$2:$B$401,$B33,'Player Rounds'!$L$2:$L$401,"&gt;0")=0,"",SIGN(_xlfn.MINIFS('Player Rounds'!$AF$2:$AF$401,'Player Rounds'!$A$2:$A$401,$A33,'Player Rounds'!$B$2:$B$401,$B33,'Player Rounds'!$C$2:$C$401,$D33)-_xlfn.MINIFS('Player Rounds'!$AF$2:$AF$401,'Player Rounds'!$A$2:$A$401,$A33,'Player Rounds'!$B$2:$B$401,$B33,'Player Rounds'!$C$2:$C$401,$C33))))</f>
      </c>
      <c r="S33" t="e">
        <f>IF($A33="","",IF(COUNTIFS('Player Rounds'!$A$2:$A$401,$A33,'Player Rounds'!$B$2:$B$401,$B33,'Player Rounds'!$M$2:$M$401,"&gt;0")=0,"",SIGN(_xlfn.MINIFS('Player Rounds'!$AG$2:$AG$401,'Player Rounds'!$A$2:$A$401,$A33,'Player Rounds'!$B$2:$B$401,$B33,'Player Rounds'!$C$2:$C$401,$D33)-_xlfn.MINIFS('Player Rounds'!$AG$2:$AG$401,'Player Rounds'!$A$2:$A$401,$A33,'Player Rounds'!$B$2:$B$401,$B33,'Player Rounds'!$C$2:$C$401,$C33))))</f>
      </c>
      <c r="T33" t="e">
        <f>IF($A33="","",IF(COUNTIFS('Player Rounds'!$A$2:$A$401,$A33,'Player Rounds'!$B$2:$B$401,$B33,'Player Rounds'!$N$2:$N$401,"&gt;0")=0,"",SIGN(_xlfn.MINIFS('Player Rounds'!$AH$2:$AH$401,'Player Rounds'!$A$2:$A$401,$A33,'Player Rounds'!$B$2:$B$401,$B33,'Player Rounds'!$C$2:$C$401,$D33)-_xlfn.MINIFS('Player Rounds'!$AH$2:$AH$401,'Player Rounds'!$A$2:$A$401,$A33,'Player Rounds'!$B$2:$B$401,$B33,'Player Rounds'!$C$2:$C$401,$C33))))</f>
      </c>
      <c r="U33" t="e">
        <f>IF($A33="","",IF(COUNTIFS('Player Rounds'!$A$2:$A$401,$A33,'Player Rounds'!$B$2:$B$401,$B33,'Player Rounds'!$O$2:$O$401,"&gt;0")=0,"",SIGN(_xlfn.MINIFS('Player Rounds'!$AI$2:$AI$401,'Player Rounds'!$A$2:$A$401,$A33,'Player Rounds'!$B$2:$B$401,$B33,'Player Rounds'!$C$2:$C$401,$D33)-_xlfn.MINIFS('Player Rounds'!$AI$2:$AI$401,'Player Rounds'!$A$2:$A$401,$A33,'Player Rounds'!$B$2:$B$401,$B33,'Player Rounds'!$C$2:$C$401,$C33))))</f>
      </c>
      <c r="V33" t="e">
        <f>IF($A33="","",IF(COUNTIFS('Player Rounds'!$A$2:$A$401,$A33,'Player Rounds'!$B$2:$B$401,$B33,'Player Rounds'!$P$2:$P$401,"&gt;0")=0,"",SIGN(_xlfn.MINIFS('Player Rounds'!$AJ$2:$AJ$401,'Player Rounds'!$A$2:$A$401,$A33,'Player Rounds'!$B$2:$B$401,$B33,'Player Rounds'!$C$2:$C$401,$D33)-_xlfn.MINIFS('Player Rounds'!$AJ$2:$AJ$401,'Player Rounds'!$A$2:$A$401,$A33,'Player Rounds'!$B$2:$B$401,$B33,'Player Rounds'!$C$2:$C$401,$C33))))</f>
      </c>
      <c r="W33" t="e">
        <f>IF($A33="","",IF(COUNTIFS('Player Rounds'!$A$2:$A$401,$A33,'Player Rounds'!$B$2:$B$401,$B33,'Player Rounds'!$Q$2:$Q$401,"&gt;0")=0,"",SIGN(_xlfn.MINIFS('Player Rounds'!$AK$2:$AK$401,'Player Rounds'!$A$2:$A$401,$A33,'Player Rounds'!$B$2:$B$401,$B33,'Player Rounds'!$C$2:$C$401,$D33)-_xlfn.MINIFS('Player Rounds'!$AK$2:$AK$401,'Player Rounds'!$A$2:$A$401,$A33,'Player Rounds'!$B$2:$B$401,$B33,'Player Rounds'!$C$2:$C$401,$C33))))</f>
      </c>
      <c r="X33" t="e">
        <f>IF($A33="","",IF(COUNTIFS('Player Rounds'!$A$2:$A$401,$A33,'Player Rounds'!$B$2:$B$401,$B33,'Player Rounds'!$R$2:$R$401,"&gt;0")=0,"",SIGN(_xlfn.MINIFS('Player Rounds'!$AL$2:$AL$401,'Player Rounds'!$A$2:$A$401,$A33,'Player Rounds'!$B$2:$B$401,$B33,'Player Rounds'!$C$2:$C$401,$D33)-_xlfn.MINIFS('Player Rounds'!$AL$2:$AL$401,'Player Rounds'!$A$2:$A$401,$A33,'Player Rounds'!$B$2:$B$401,$B33,'Player Rounds'!$C$2:$C$401,$C33))))</f>
      </c>
      <c r="Y33" t="e">
        <f>IF($A33="","",IF(COUNTIFS('Player Rounds'!$A$2:$A$401,$A33,'Player Rounds'!$B$2:$B$401,$B33,'Player Rounds'!$S$2:$S$401,"&gt;0")=0,"",SIGN(_xlfn.MINIFS('Player Rounds'!$AM$2:$AM$401,'Player Rounds'!$A$2:$A$401,$A33,'Player Rounds'!$B$2:$B$401,$B33,'Player Rounds'!$C$2:$C$401,$D33)-_xlfn.MINIFS('Player Rounds'!$AM$2:$AM$401,'Player Rounds'!$A$2:$A$401,$A33,'Player Rounds'!$B$2:$B$401,$B33,'Player Rounds'!$C$2:$C$401,$C33))))</f>
      </c>
      <c r="Z33" t="e">
        <f>IF($A33="","",IF(COUNTIFS('Player Rounds'!$A$2:$A$401,$A33,'Player Rounds'!$B$2:$B$401,$B33,'Player Rounds'!$T$2:$T$401,"&gt;0")=0,"",SIGN(_xlfn.MINIFS('Player Rounds'!$AN$2:$AN$401,'Player Rounds'!$A$2:$A$401,$A33,'Player Rounds'!$B$2:$B$401,$B33,'Player Rounds'!$C$2:$C$401,$D33)-_xlfn.MINIFS('Player Rounds'!$AN$2:$AN$401,'Player Rounds'!$A$2:$A$401,$A33,'Player Rounds'!$B$2:$B$401,$B33,'Player Rounds'!$C$2:$C$401,$C33))))</f>
      </c>
      <c r="AA33" t="e">
        <f>IF($A33="","",IF(COUNTIFS('Player Rounds'!$A$2:$A$401,$A33,'Player Rounds'!$B$2:$B$401,$B33,'Player Rounds'!$U$2:$U$401,"&gt;0")=0,"",SIGN(_xlfn.MINIFS('Player Rounds'!$AO$2:$AO$401,'Player Rounds'!$A$2:$A$401,$A33,'Player Rounds'!$B$2:$B$401,$B33,'Player Rounds'!$C$2:$C$401,$D33)-_xlfn.MINIFS('Player Rounds'!$AO$2:$AO$401,'Player Rounds'!$A$2:$A$401,$A33,'Player Rounds'!$B$2:$B$401,$B33,'Player Rounds'!$C$2:$C$401,$C33))))</f>
      </c>
      <c r="AB33" t="e">
        <f>IF($A33="","",IF(COUNTIFS('Player Rounds'!$A$2:$A$401,$A33,'Player Rounds'!$B$2:$B$401,$B33,'Player Rounds'!$V$2:$V$401,"&gt;0")=0,"",SIGN(_xlfn.MINIFS('Player Rounds'!$AP$2:$AP$401,'Player Rounds'!$A$2:$A$401,$A33,'Player Rounds'!$B$2:$B$401,$B33,'Player Rounds'!$C$2:$C$401,$D33)-_xlfn.MINIFS('Player Rounds'!$AP$2:$AP$401,'Player Rounds'!$A$2:$A$401,$A33,'Player Rounds'!$B$2:$B$401,$B33,'Player Rounds'!$C$2:$C$401,$C33))))</f>
      </c>
      <c r="AC33" t="e">
        <f>IF($A33="","",IF(COUNTIFS('Player Rounds'!$A$2:$A$401,$A33,'Player Rounds'!$B$2:$B$401,$B33,'Player Rounds'!$W$2:$W$401,"&gt;0")=0,"",SIGN(_xlfn.MINIFS('Player Rounds'!$AQ$2:$AQ$401,'Player Rounds'!$A$2:$A$401,$A33,'Player Rounds'!$B$2:$B$401,$B33,'Player Rounds'!$C$2:$C$401,$D33)-_xlfn.MINIFS('Player Rounds'!$AQ$2:$AQ$401,'Player Rounds'!$A$2:$A$401,$A33,'Player Rounds'!$B$2:$B$401,$B33,'Player Rounds'!$C$2:$C$401,$C33))))</f>
      </c>
      <c r="AD33" t="e">
        <f>IF($A33="","",SUM($L33:L33))</f>
      </c>
      <c r="AE33" t="e">
        <f>IF($A33="","",SUM($L33:M33))</f>
      </c>
      <c r="AF33" t="e">
        <f>IF($A33="","",SUM($L33:N33))</f>
      </c>
      <c r="AG33" t="e">
        <f>IF($A33="","",SUM($L33:O33))</f>
      </c>
      <c r="AH33" t="e">
        <f>IF($A33="","",SUM($L33:P33))</f>
      </c>
      <c r="AI33" t="e">
        <f>IF($A33="","",SUM($L33:Q33))</f>
      </c>
      <c r="AJ33" t="e">
        <f>IF($A33="","",SUM($L33:R33))</f>
      </c>
      <c r="AK33" t="e">
        <f>IF($A33="","",SUM($L33:S33))</f>
      </c>
      <c r="AL33" t="e">
        <f>IF($A33="","",SUM($L33:T33))</f>
      </c>
      <c r="AM33" t="e">
        <f>IF($A33="","",SUM($L33:U33))</f>
      </c>
      <c r="AN33" t="e">
        <f>IF($A33="","",SUM($L33:V33))</f>
      </c>
      <c r="AO33" t="e">
        <f>IF($A33="","",SUM($L33:W33))</f>
      </c>
      <c r="AP33" t="e">
        <f>IF($A33="","",SUM($L33:X33))</f>
      </c>
      <c r="AQ33" t="e">
        <f>IF($A33="","",SUM($L33:Y33))</f>
      </c>
      <c r="AR33" t="e">
        <f>IF($A33="","",SUM($L33:Z33))</f>
      </c>
      <c r="AS33" t="e">
        <f>IF($A33="","",SUM($L33:AA33))</f>
      </c>
      <c r="AT33" t="e">
        <f>IF($A33="","",SUM($L33:AB33))</f>
      </c>
      <c r="AU33" t="e">
        <f>IF($A33="","",SUM($L33:AC33))</f>
      </c>
      <c r="AV33" t="e">
        <f>IF(OR($A33="",L33=""),"",IF(ABS(AD33)&gt;17,1,""))</f>
      </c>
      <c r="AW33" t="e">
        <f>IF(OR($A33="",M33=""),"",IF(ABS(AE33)&gt;16,2,""))</f>
      </c>
      <c r="AX33" t="e">
        <f>IF(OR($A33="",N33=""),"",IF(ABS(AF33)&gt;15,3,""))</f>
      </c>
      <c r="AY33" t="e">
        <f>IF(OR($A33="",O33=""),"",IF(ABS(AG33)&gt;14,4,""))</f>
      </c>
      <c r="AZ33" t="e">
        <f>IF(OR($A33="",P33=""),"",IF(ABS(AH33)&gt;13,5,""))</f>
      </c>
      <c r="BA33" t="e">
        <f>IF(OR($A33="",Q33=""),"",IF(ABS(AI33)&gt;12,6,""))</f>
      </c>
      <c r="BB33" t="e">
        <f>IF(OR($A33="",R33=""),"",IF(ABS(AJ33)&gt;11,7,""))</f>
      </c>
      <c r="BC33" t="e">
        <f>IF(OR($A33="",S33=""),"",IF(ABS(AK33)&gt;10,8,""))</f>
      </c>
      <c r="BD33" t="e">
        <f>IF(OR($A33="",T33=""),"",IF(ABS(AL33)&gt;9,9,""))</f>
      </c>
      <c r="BE33" t="e">
        <f>IF(OR($A33="",U33=""),"",IF(ABS(AM33)&gt;8,10,""))</f>
      </c>
      <c r="BF33" t="e">
        <f>IF(OR($A33="",V33=""),"",IF(ABS(AN33)&gt;7,11,""))</f>
      </c>
      <c r="BG33" t="e">
        <f>IF(OR($A33="",W33=""),"",IF(ABS(AO33)&gt;6,12,""))</f>
      </c>
      <c r="BH33" t="e">
        <f>IF(OR($A33="",X33=""),"",IF(ABS(AP33)&gt;5,13,""))</f>
      </c>
      <c r="BI33" t="e">
        <f>IF(OR($A33="",Y33=""),"",IF(ABS(AQ33)&gt;4,14,""))</f>
      </c>
      <c r="BJ33" t="e">
        <f>IF(OR($A33="",Z33=""),"",IF(ABS(AR33)&gt;3,15,""))</f>
      </c>
      <c r="BK33" t="e">
        <f>IF(OR($A33="",AA33=""),"",IF(ABS(AS33)&gt;2,16,""))</f>
      </c>
      <c r="BL33" t="e">
        <f>IF(OR($A33="",AB33=""),"",IF(ABS(AT33)&gt;1,17,""))</f>
      </c>
      <c r="BM33" t="e">
        <f>IF(OR($A33="",AC33=""),"",IF(ABS(AU33)&gt;0,18,""))</f>
      </c>
    </row>
    <row r="34">
      <c r="C34" t="str">
        <f>IF($A34="","",INDEX('Tournament Setup'!$J:$J,MATCH($A34,'Tournament Setup'!$A:$A,0)))</f>
        <v/>
      </c>
      <c r="D34" t="str">
        <f>IF($A34="","",INDEX('Tournament Setup'!$K:$K,MATCH($A34,'Tournament Setup'!$A:$A,0)))</f>
        <v/>
      </c>
      <c r="E34" t="str">
        <f>IF($A34="","",IF(COUNT(L34:AC34)=0,"Not played",IF(AND($K34&gt;0,$K34&lt;18),IF(INDEX(AD34:AU34,1,$K34)&gt;0,$C34,$D34)&amp;" "&amp;ABS(INDEX(AD34:AU34,1,$K34))&amp;"&amp;"&amp;(18-$K34),IF($J34=0,"Halved (AS)",IF($J34&gt;0,$C34,$D34)&amp;" "&amp;ABS($J34)&amp;" UP"))))</f>
        <v/>
      </c>
      <c r="F34" t="e">
        <f>IF(OR($A34="",COUNT(L34:AC34)=0),"",INDEX('Tournament Setup'!$I:$I,MATCH($A34,'Tournament Setup'!$A:$A,0))*IF(INDEX('Tournament Setup'!$H:$H,MATCH($A34,'Tournament Setup'!$A:$A,0))="Yes",IF($H34&gt;0,1,IF($H34=0,0.5,0))+IF($I34&gt;0,1,IF($I34=0,0.5,0))+IF($J34&gt;0,1,IF($J34=0,0.5,0)),IF(IF(AND($K34&gt;0,$K34&lt;18),INDEX(AD34:AU34,1,$K34),$J34)&gt;0,1,IF(IF(AND($K34&gt;0,$K34&lt;18),INDEX(AD34:AU34,1,$K34),$J34)=0,0.5,0))))</f>
      </c>
      <c r="G34" t="e">
        <f>IF(OR($A34="",COUNT(L34:AC34)=0),"",INDEX('Tournament Setup'!$I:$I,MATCH($A34,'Tournament Setup'!$A:$A,0))*IF(INDEX('Tournament Setup'!$H:$H,MATCH($A34,'Tournament Setup'!$A:$A,0))="Yes",IF($H34&lt;0,1,IF($H34=0,0.5,0))+IF($I34&lt;0,1,IF($I34=0,0.5,0))+IF($J34&lt;0,1,IF($J34=0,0.5,0)),IF(IF(AND($K34&gt;0,$K34&lt;18),INDEX(AD34:AU34,1,$K34),$J34)&lt;0,1,IF(IF(AND($K34&gt;0,$K34&lt;18),INDEX(AD34:AU34,1,$K34),$J34)=0,0.5,0))))</f>
      </c>
      <c r="H34" t="e">
        <f>IF($A34="","",SUM(L34:T34))</f>
      </c>
      <c r="I34" t="e">
        <f>IF($A34="","",SUM(U34:AC34))</f>
      </c>
      <c r="J34" t="e">
        <f>IF($A34="","",SUM(L34:AC34))</f>
      </c>
      <c r="K34" t="e">
        <f>IF($A34="","",MIN(AV34:BM34))</f>
      </c>
      <c r="L34" t="e">
        <f>IF($A34="","",IF(COUNTIFS('Player Rounds'!$A$2:$A$401,$A34,'Player Rounds'!$B$2:$B$401,$B34,'Player Rounds'!$F$2:$F$401,"&gt;0")=0,"",SIGN(_xlfn.MINIFS('Player Rounds'!$Z$2:$Z$401,'Player Rounds'!$A$2:$A$401,$A34,'Player Rounds'!$B$2:$B$401,$B34,'Player Rounds'!$C$2:$C$401,$D34)-_xlfn.MINIFS('Player Rounds'!$Z$2:$Z$401,'Player Rounds'!$A$2:$A$401,$A34,'Player Rounds'!$B$2:$B$401,$B34,'Player Rounds'!$C$2:$C$401,$C34))))</f>
      </c>
      <c r="M34" t="e">
        <f>IF($A34="","",IF(COUNTIFS('Player Rounds'!$A$2:$A$401,$A34,'Player Rounds'!$B$2:$B$401,$B34,'Player Rounds'!$G$2:$G$401,"&gt;0")=0,"",SIGN(_xlfn.MINIFS('Player Rounds'!$AA$2:$AA$401,'Player Rounds'!$A$2:$A$401,$A34,'Player Rounds'!$B$2:$B$401,$B34,'Player Rounds'!$C$2:$C$401,$D34)-_xlfn.MINIFS('Player Rounds'!$AA$2:$AA$401,'Player Rounds'!$A$2:$A$401,$A34,'Player Rounds'!$B$2:$B$401,$B34,'Player Rounds'!$C$2:$C$401,$C34))))</f>
      </c>
      <c r="N34" t="e">
        <f>IF($A34="","",IF(COUNTIFS('Player Rounds'!$A$2:$A$401,$A34,'Player Rounds'!$B$2:$B$401,$B34,'Player Rounds'!$H$2:$H$401,"&gt;0")=0,"",SIGN(_xlfn.MINIFS('Player Rounds'!$AB$2:$AB$401,'Player Rounds'!$A$2:$A$401,$A34,'Player Rounds'!$B$2:$B$401,$B34,'Player Rounds'!$C$2:$C$401,$D34)-_xlfn.MINIFS('Player Rounds'!$AB$2:$AB$401,'Player Rounds'!$A$2:$A$401,$A34,'Player Rounds'!$B$2:$B$401,$B34,'Player Rounds'!$C$2:$C$401,$C34))))</f>
      </c>
      <c r="O34" t="e">
        <f>IF($A34="","",IF(COUNTIFS('Player Rounds'!$A$2:$A$401,$A34,'Player Rounds'!$B$2:$B$401,$B34,'Player Rounds'!$I$2:$I$401,"&gt;0")=0,"",SIGN(_xlfn.MINIFS('Player Rounds'!$AC$2:$AC$401,'Player Rounds'!$A$2:$A$401,$A34,'Player Rounds'!$B$2:$B$401,$B34,'Player Rounds'!$C$2:$C$401,$D34)-_xlfn.MINIFS('Player Rounds'!$AC$2:$AC$401,'Player Rounds'!$A$2:$A$401,$A34,'Player Rounds'!$B$2:$B$401,$B34,'Player Rounds'!$C$2:$C$401,$C34))))</f>
      </c>
      <c r="P34" t="e">
        <f>IF($A34="","",IF(COUNTIFS('Player Rounds'!$A$2:$A$401,$A34,'Player Rounds'!$B$2:$B$401,$B34,'Player Rounds'!$J$2:$J$401,"&gt;0")=0,"",SIGN(_xlfn.MINIFS('Player Rounds'!$AD$2:$AD$401,'Player Rounds'!$A$2:$A$401,$A34,'Player Rounds'!$B$2:$B$401,$B34,'Player Rounds'!$C$2:$C$401,$D34)-_xlfn.MINIFS('Player Rounds'!$AD$2:$AD$401,'Player Rounds'!$A$2:$A$401,$A34,'Player Rounds'!$B$2:$B$401,$B34,'Player Rounds'!$C$2:$C$401,$C34))))</f>
      </c>
      <c r="Q34" t="e">
        <f>IF($A34="","",IF(COUNTIFS('Player Rounds'!$A$2:$A$401,$A34,'Player Rounds'!$B$2:$B$401,$B34,'Player Rounds'!$K$2:$K$401,"&gt;0")=0,"",SIGN(_xlfn.MINIFS('Player Rounds'!$AE$2:$AE$401,'Player Rounds'!$A$2:$A$401,$A34,'Player Rounds'!$B$2:$B$401,$B34,'Player Rounds'!$C$2:$C$401,$D34)-_xlfn.MINIFS('Player Rounds'!$AE$2:$AE$401,'Player Rounds'!$A$2:$A$401,$A34,'Player Rounds'!$B$2:$B$401,$B34,'Player Rounds'!$C$2:$C$401,$C34))))</f>
      </c>
      <c r="R34" t="e">
        <f>IF($A34="","",IF(COUNTIFS('Player Rounds'!$A$2:$A$401,$A34,'Player Rounds'!$B$2:$B$401,$B34,'Player Rounds'!$L$2:$L$401,"&gt;0")=0,"",SIGN(_xlfn.MINIFS('Player Rounds'!$AF$2:$AF$401,'Player Rounds'!$A$2:$A$401,$A34,'Player Rounds'!$B$2:$B$401,$B34,'Player Rounds'!$C$2:$C$401,$D34)-_xlfn.MINIFS('Player Rounds'!$AF$2:$AF$401,'Player Rounds'!$A$2:$A$401,$A34,'Player Rounds'!$B$2:$B$401,$B34,'Player Rounds'!$C$2:$C$401,$C34))))</f>
      </c>
      <c r="S34" t="e">
        <f>IF($A34="","",IF(COUNTIFS('Player Rounds'!$A$2:$A$401,$A34,'Player Rounds'!$B$2:$B$401,$B34,'Player Rounds'!$M$2:$M$401,"&gt;0")=0,"",SIGN(_xlfn.MINIFS('Player Rounds'!$AG$2:$AG$401,'Player Rounds'!$A$2:$A$401,$A34,'Player Rounds'!$B$2:$B$401,$B34,'Player Rounds'!$C$2:$C$401,$D34)-_xlfn.MINIFS('Player Rounds'!$AG$2:$AG$401,'Player Rounds'!$A$2:$A$401,$A34,'Player Rounds'!$B$2:$B$401,$B34,'Player Rounds'!$C$2:$C$401,$C34))))</f>
      </c>
      <c r="T34" t="e">
        <f>IF($A34="","",IF(COUNTIFS('Player Rounds'!$A$2:$A$401,$A34,'Player Rounds'!$B$2:$B$401,$B34,'Player Rounds'!$N$2:$N$401,"&gt;0")=0,"",SIGN(_xlfn.MINIFS('Player Rounds'!$AH$2:$AH$401,'Player Rounds'!$A$2:$A$401,$A34,'Player Rounds'!$B$2:$B$401,$B34,'Player Rounds'!$C$2:$C$401,$D34)-_xlfn.MINIFS('Player Rounds'!$AH$2:$AH$401,'Player Rounds'!$A$2:$A$401,$A34,'Player Rounds'!$B$2:$B$401,$B34,'Player Rounds'!$C$2:$C$401,$C34))))</f>
      </c>
      <c r="U34" t="e">
        <f>IF($A34="","",IF(COUNTIFS('Player Rounds'!$A$2:$A$401,$A34,'Player Rounds'!$B$2:$B$401,$B34,'Player Rounds'!$O$2:$O$401,"&gt;0")=0,"",SIGN(_xlfn.MINIFS('Player Rounds'!$AI$2:$AI$401,'Player Rounds'!$A$2:$A$401,$A34,'Player Rounds'!$B$2:$B$401,$B34,'Player Rounds'!$C$2:$C$401,$D34)-_xlfn.MINIFS('Player Rounds'!$AI$2:$AI$401,'Player Rounds'!$A$2:$A$401,$A34,'Player Rounds'!$B$2:$B$401,$B34,'Player Rounds'!$C$2:$C$401,$C34))))</f>
      </c>
      <c r="V34" t="e">
        <f>IF($A34="","",IF(COUNTIFS('Player Rounds'!$A$2:$A$401,$A34,'Player Rounds'!$B$2:$B$401,$B34,'Player Rounds'!$P$2:$P$401,"&gt;0")=0,"",SIGN(_xlfn.MINIFS('Player Rounds'!$AJ$2:$AJ$401,'Player Rounds'!$A$2:$A$401,$A34,'Player Rounds'!$B$2:$B$401,$B34,'Player Rounds'!$C$2:$C$401,$D34)-_xlfn.MINIFS('Player Rounds'!$AJ$2:$AJ$401,'Player Rounds'!$A$2:$A$401,$A34,'Player Rounds'!$B$2:$B$401,$B34,'Player Rounds'!$C$2:$C$401,$C34))))</f>
      </c>
      <c r="W34" t="e">
        <f>IF($A34="","",IF(COUNTIFS('Player Rounds'!$A$2:$A$401,$A34,'Player Rounds'!$B$2:$B$401,$B34,'Player Rounds'!$Q$2:$Q$401,"&gt;0")=0,"",SIGN(_xlfn.MINIFS('Player Rounds'!$AK$2:$AK$401,'Player Rounds'!$A$2:$A$401,$A34,'Player Rounds'!$B$2:$B$401,$B34,'Player Rounds'!$C$2:$C$401,$D34)-_xlfn.MINIFS('Player Rounds'!$AK$2:$AK$401,'Player Rounds'!$A$2:$A$401,$A34,'Player Rounds'!$B$2:$B$401,$B34,'Player Rounds'!$C$2:$C$401,$C34))))</f>
      </c>
      <c r="X34" t="e">
        <f>IF($A34="","",IF(COUNTIFS('Player Rounds'!$A$2:$A$401,$A34,'Player Rounds'!$B$2:$B$401,$B34,'Player Rounds'!$R$2:$R$401,"&gt;0")=0,"",SIGN(_xlfn.MINIFS('Player Rounds'!$AL$2:$AL$401,'Player Rounds'!$A$2:$A$401,$A34,'Player Rounds'!$B$2:$B$401,$B34,'Player Rounds'!$C$2:$C$401,$D34)-_xlfn.MINIFS('Player Rounds'!$AL$2:$AL$401,'Player Rounds'!$A$2:$A$401,$A34,'Player Rounds'!$B$2:$B$401,$B34,'Player Rounds'!$C$2:$C$401,$C34))))</f>
      </c>
      <c r="Y34" t="e">
        <f>IF($A34="","",IF(COUNTIFS('Player Rounds'!$A$2:$A$401,$A34,'Player Rounds'!$B$2:$B$401,$B34,'Player Rounds'!$S$2:$S$401,"&gt;0")=0,"",SIGN(_xlfn.MINIFS('Player Rounds'!$AM$2:$AM$401,'Player Rounds'!$A$2:$A$401,$A34,'Player Rounds'!$B$2:$B$401,$B34,'Player Rounds'!$C$2:$C$401,$D34)-_xlfn.MINIFS('Player Rounds'!$AM$2:$AM$401,'Player Rounds'!$A$2:$A$401,$A34,'Player Rounds'!$B$2:$B$401,$B34,'Player Rounds'!$C$2:$C$401,$C34))))</f>
      </c>
      <c r="Z34" t="e">
        <f>IF($A34="","",IF(COUNTIFS('Player Rounds'!$A$2:$A$401,$A34,'Player Rounds'!$B$2:$B$401,$B34,'Player Rounds'!$T$2:$T$401,"&gt;0")=0,"",SIGN(_xlfn.MINIFS('Player Rounds'!$AN$2:$AN$401,'Player Rounds'!$A$2:$A$401,$A34,'Player Rounds'!$B$2:$B$401,$B34,'Player Rounds'!$C$2:$C$401,$D34)-_xlfn.MINIFS('Player Rounds'!$AN$2:$AN$401,'Player Rounds'!$A$2:$A$401,$A34,'Player Rounds'!$B$2:$B$401,$B34,'Player Rounds'!$C$2:$C$401,$C34))))</f>
      </c>
      <c r="AA34" t="e">
        <f>IF($A34="","",IF(COUNTIFS('Player Rounds'!$A$2:$A$401,$A34,'Player Rounds'!$B$2:$B$401,$B34,'Player Rounds'!$U$2:$U$401,"&gt;0")=0,"",SIGN(_xlfn.MINIFS('Player Rounds'!$AO$2:$AO$401,'Player Rounds'!$A$2:$A$401,$A34,'Player Rounds'!$B$2:$B$401,$B34,'Player Rounds'!$C$2:$C$401,$D34)-_xlfn.MINIFS('Player Rounds'!$AO$2:$AO$401,'Player Rounds'!$A$2:$A$401,$A34,'Player Rounds'!$B$2:$B$401,$B34,'Player Rounds'!$C$2:$C$401,$C34))))</f>
      </c>
      <c r="AB34" t="e">
        <f>IF($A34="","",IF(COUNTIFS('Player Rounds'!$A$2:$A$401,$A34,'Player Rounds'!$B$2:$B$401,$B34,'Player Rounds'!$V$2:$V$401,"&gt;0")=0,"",SIGN(_xlfn.MINIFS('Player Rounds'!$AP$2:$AP$401,'Player Rounds'!$A$2:$A$401,$A34,'Player Rounds'!$B$2:$B$401,$B34,'Player Rounds'!$C$2:$C$401,$D34)-_xlfn.MINIFS('Player Rounds'!$AP$2:$AP$401,'Player Rounds'!$A$2:$A$401,$A34,'Player Rounds'!$B$2:$B$401,$B34,'Player Rounds'!$C$2:$C$401,$C34))))</f>
      </c>
      <c r="AC34" t="e">
        <f>IF($A34="","",IF(COUNTIFS('Player Rounds'!$A$2:$A$401,$A34,'Player Rounds'!$B$2:$B$401,$B34,'Player Rounds'!$W$2:$W$401,"&gt;0")=0,"",SIGN(_xlfn.MINIFS('Player Rounds'!$AQ$2:$AQ$401,'Player Rounds'!$A$2:$A$401,$A34,'Player Rounds'!$B$2:$B$401,$B34,'Player Rounds'!$C$2:$C$401,$D34)-_xlfn.MINIFS('Player Rounds'!$AQ$2:$AQ$401,'Player Rounds'!$A$2:$A$401,$A34,'Player Rounds'!$B$2:$B$401,$B34,'Player Rounds'!$C$2:$C$401,$C34))))</f>
      </c>
      <c r="AD34" t="e">
        <f>IF($A34="","",SUM($L34:L34))</f>
      </c>
      <c r="AE34" t="e">
        <f>IF($A34="","",SUM($L34:M34))</f>
      </c>
      <c r="AF34" t="e">
        <f>IF($A34="","",SUM($L34:N34))</f>
      </c>
      <c r="AG34" t="e">
        <f>IF($A34="","",SUM($L34:O34))</f>
      </c>
      <c r="AH34" t="e">
        <f>IF($A34="","",SUM($L34:P34))</f>
      </c>
      <c r="AI34" t="e">
        <f>IF($A34="","",SUM($L34:Q34))</f>
      </c>
      <c r="AJ34" t="e">
        <f>IF($A34="","",SUM($L34:R34))</f>
      </c>
      <c r="AK34" t="e">
        <f>IF($A34="","",SUM($L34:S34))</f>
      </c>
      <c r="AL34" t="e">
        <f>IF($A34="","",SUM($L34:T34))</f>
      </c>
      <c r="AM34" t="e">
        <f>IF($A34="","",SUM($L34:U34))</f>
      </c>
      <c r="AN34" t="e">
        <f>IF($A34="","",SUM($L34:V34))</f>
      </c>
      <c r="AO34" t="e">
        <f>IF($A34="","",SUM($L34:W34))</f>
      </c>
      <c r="AP34" t="e">
        <f>IF($A34="","",SUM($L34:X34))</f>
      </c>
      <c r="AQ34" t="e">
        <f>IF($A34="","",SUM($L34:Y34))</f>
      </c>
      <c r="AR34" t="e">
        <f>IF($A34="","",SUM($L34:Z34))</f>
      </c>
      <c r="AS34" t="e">
        <f>IF($A34="","",SUM($L34:AA34))</f>
      </c>
      <c r="AT34" t="e">
        <f>IF($A34="","",SUM($L34:AB34))</f>
      </c>
      <c r="AU34" t="e">
        <f>IF($A34="","",SUM($L34:AC34))</f>
      </c>
      <c r="AV34" t="e">
        <f>IF(OR($A34="",L34=""),"",IF(ABS(AD34)&gt;17,1,""))</f>
      </c>
      <c r="AW34" t="e">
        <f>IF(OR($A34="",M34=""),"",IF(ABS(AE34)&gt;16,2,""))</f>
      </c>
      <c r="AX34" t="e">
        <f>IF(OR($A34="",N34=""),"",IF(ABS(AF34)&gt;15,3,""))</f>
      </c>
      <c r="AY34" t="e">
        <f>IF(OR($A34="",O34=""),"",IF(ABS(AG34)&gt;14,4,""))</f>
      </c>
      <c r="AZ34" t="e">
        <f>IF(OR($A34="",P34=""),"",IF(ABS(AH34)&gt;13,5,""))</f>
      </c>
      <c r="BA34" t="e">
        <f>IF(OR($A34="",Q34=""),"",IF(ABS(AI34)&gt;12,6,""))</f>
      </c>
      <c r="BB34" t="e">
        <f>IF(OR($A34="",R34=""),"",IF(ABS(AJ34)&gt;11,7,""))</f>
      </c>
      <c r="BC34" t="e">
        <f>IF(OR($A34="",S34=""),"",IF(ABS(AK34)&gt;10,8,""))</f>
      </c>
      <c r="BD34" t="e">
        <f>IF(OR($A34="",T34=""),"",IF(ABS(AL34)&gt;9,9,""))</f>
      </c>
      <c r="BE34" t="e">
        <f>IF(OR($A34="",U34=""),"",IF(ABS(AM34)&gt;8,10,""))</f>
      </c>
      <c r="BF34" t="e">
        <f>IF(OR($A34="",V34=""),"",IF(ABS(AN34)&gt;7,11,""))</f>
      </c>
      <c r="BG34" t="e">
        <f>IF(OR($A34="",W34=""),"",IF(ABS(AO34)&gt;6,12,""))</f>
      </c>
      <c r="BH34" t="e">
        <f>IF(OR($A34="",X34=""),"",IF(ABS(AP34)&gt;5,13,""))</f>
      </c>
      <c r="BI34" t="e">
        <f>IF(OR($A34="",Y34=""),"",IF(ABS(AQ34)&gt;4,14,""))</f>
      </c>
      <c r="BJ34" t="e">
        <f>IF(OR($A34="",Z34=""),"",IF(ABS(AR34)&gt;3,15,""))</f>
      </c>
      <c r="BK34" t="e">
        <f>IF(OR($A34="",AA34=""),"",IF(ABS(AS34)&gt;2,16,""))</f>
      </c>
      <c r="BL34" t="e">
        <f>IF(OR($A34="",AB34=""),"",IF(ABS(AT34)&gt;1,17,""))</f>
      </c>
      <c r="BM34" t="e">
        <f>IF(OR($A34="",AC34=""),"",IF(ABS(AU34)&gt;0,18,""))</f>
      </c>
    </row>
    <row r="35">
      <c r="C35" t="str">
        <f>IF($A35="","",INDEX('Tournament Setup'!$J:$J,MATCH($A35,'Tournament Setup'!$A:$A,0)))</f>
        <v/>
      </c>
      <c r="D35" t="str">
        <f>IF($A35="","",INDEX('Tournament Setup'!$K:$K,MATCH($A35,'Tournament Setup'!$A:$A,0)))</f>
        <v/>
      </c>
      <c r="E35" t="str">
        <f>IF($A35="","",IF(COUNT(L35:AC35)=0,"Not played",IF(AND($K35&gt;0,$K35&lt;18),IF(INDEX(AD35:AU35,1,$K35)&gt;0,$C35,$D35)&amp;" "&amp;ABS(INDEX(AD35:AU35,1,$K35))&amp;"&amp;"&amp;(18-$K35),IF($J35=0,"Halved (AS)",IF($J35&gt;0,$C35,$D35)&amp;" "&amp;ABS($J35)&amp;" UP"))))</f>
        <v/>
      </c>
      <c r="F35" t="e">
        <f>IF(OR($A35="",COUNT(L35:AC35)=0),"",INDEX('Tournament Setup'!$I:$I,MATCH($A35,'Tournament Setup'!$A:$A,0))*IF(INDEX('Tournament Setup'!$H:$H,MATCH($A35,'Tournament Setup'!$A:$A,0))="Yes",IF($H35&gt;0,1,IF($H35=0,0.5,0))+IF($I35&gt;0,1,IF($I35=0,0.5,0))+IF($J35&gt;0,1,IF($J35=0,0.5,0)),IF(IF(AND($K35&gt;0,$K35&lt;18),INDEX(AD35:AU35,1,$K35),$J35)&gt;0,1,IF(IF(AND($K35&gt;0,$K35&lt;18),INDEX(AD35:AU35,1,$K35),$J35)=0,0.5,0))))</f>
      </c>
      <c r="G35" t="e">
        <f>IF(OR($A35="",COUNT(L35:AC35)=0),"",INDEX('Tournament Setup'!$I:$I,MATCH($A35,'Tournament Setup'!$A:$A,0))*IF(INDEX('Tournament Setup'!$H:$H,MATCH($A35,'Tournament Setup'!$A:$A,0))="Yes",IF($H35&lt;0,1,IF($H35=0,0.5,0))+IF($I35&lt;0,1,IF($I35=0,0.5,0))+IF($J35&lt;0,1,IF($J35=0,0.5,0)),IF(IF(AND($K35&gt;0,$K35&lt;18),INDEX(AD35:AU35,1,$K35),$J35)&lt;0,1,IF(IF(AND($K35&gt;0,$K35&lt;18),INDEX(AD35:AU35,1,$K35),$J35)=0,0.5,0))))</f>
      </c>
      <c r="H35" t="e">
        <f>IF($A35="","",SUM(L35:T35))</f>
      </c>
      <c r="I35" t="e">
        <f>IF($A35="","",SUM(U35:AC35))</f>
      </c>
      <c r="J35" t="e">
        <f>IF($A35="","",SUM(L35:AC35))</f>
      </c>
      <c r="K35" t="e">
        <f>IF($A35="","",MIN(AV35:BM35))</f>
      </c>
      <c r="L35" t="e">
        <f>IF($A35="","",IF(COUNTIFS('Player Rounds'!$A$2:$A$401,$A35,'Player Rounds'!$B$2:$B$401,$B35,'Player Rounds'!$F$2:$F$401,"&gt;0")=0,"",SIGN(_xlfn.MINIFS('Player Rounds'!$Z$2:$Z$401,'Player Rounds'!$A$2:$A$401,$A35,'Player Rounds'!$B$2:$B$401,$B35,'Player Rounds'!$C$2:$C$401,$D35)-_xlfn.MINIFS('Player Rounds'!$Z$2:$Z$401,'Player Rounds'!$A$2:$A$401,$A35,'Player Rounds'!$B$2:$B$401,$B35,'Player Rounds'!$C$2:$C$401,$C35))))</f>
      </c>
      <c r="M35" t="e">
        <f>IF($A35="","",IF(COUNTIFS('Player Rounds'!$A$2:$A$401,$A35,'Player Rounds'!$B$2:$B$401,$B35,'Player Rounds'!$G$2:$G$401,"&gt;0")=0,"",SIGN(_xlfn.MINIFS('Player Rounds'!$AA$2:$AA$401,'Player Rounds'!$A$2:$A$401,$A35,'Player Rounds'!$B$2:$B$401,$B35,'Player Rounds'!$C$2:$C$401,$D35)-_xlfn.MINIFS('Player Rounds'!$AA$2:$AA$401,'Player Rounds'!$A$2:$A$401,$A35,'Player Rounds'!$B$2:$B$401,$B35,'Player Rounds'!$C$2:$C$401,$C35))))</f>
      </c>
      <c r="N35" t="e">
        <f>IF($A35="","",IF(COUNTIFS('Player Rounds'!$A$2:$A$401,$A35,'Player Rounds'!$B$2:$B$401,$B35,'Player Rounds'!$H$2:$H$401,"&gt;0")=0,"",SIGN(_xlfn.MINIFS('Player Rounds'!$AB$2:$AB$401,'Player Rounds'!$A$2:$A$401,$A35,'Player Rounds'!$B$2:$B$401,$B35,'Player Rounds'!$C$2:$C$401,$D35)-_xlfn.MINIFS('Player Rounds'!$AB$2:$AB$401,'Player Rounds'!$A$2:$A$401,$A35,'Player Rounds'!$B$2:$B$401,$B35,'Player Rounds'!$C$2:$C$401,$C35))))</f>
      </c>
      <c r="O35" t="e">
        <f>IF($A35="","",IF(COUNTIFS('Player Rounds'!$A$2:$A$401,$A35,'Player Rounds'!$B$2:$B$401,$B35,'Player Rounds'!$I$2:$I$401,"&gt;0")=0,"",SIGN(_xlfn.MINIFS('Player Rounds'!$AC$2:$AC$401,'Player Rounds'!$A$2:$A$401,$A35,'Player Rounds'!$B$2:$B$401,$B35,'Player Rounds'!$C$2:$C$401,$D35)-_xlfn.MINIFS('Player Rounds'!$AC$2:$AC$401,'Player Rounds'!$A$2:$A$401,$A35,'Player Rounds'!$B$2:$B$401,$B35,'Player Rounds'!$C$2:$C$401,$C35))))</f>
      </c>
      <c r="P35" t="e">
        <f>IF($A35="","",IF(COUNTIFS('Player Rounds'!$A$2:$A$401,$A35,'Player Rounds'!$B$2:$B$401,$B35,'Player Rounds'!$J$2:$J$401,"&gt;0")=0,"",SIGN(_xlfn.MINIFS('Player Rounds'!$AD$2:$AD$401,'Player Rounds'!$A$2:$A$401,$A35,'Player Rounds'!$B$2:$B$401,$B35,'Player Rounds'!$C$2:$C$401,$D35)-_xlfn.MINIFS('Player Rounds'!$AD$2:$AD$401,'Player Rounds'!$A$2:$A$401,$A35,'Player Rounds'!$B$2:$B$401,$B35,'Player Rounds'!$C$2:$C$401,$C35))))</f>
      </c>
      <c r="Q35" t="e">
        <f>IF($A35="","",IF(COUNTIFS('Player Rounds'!$A$2:$A$401,$A35,'Player Rounds'!$B$2:$B$401,$B35,'Player Rounds'!$K$2:$K$401,"&gt;0")=0,"",SIGN(_xlfn.MINIFS('Player Rounds'!$AE$2:$AE$401,'Player Rounds'!$A$2:$A$401,$A35,'Player Rounds'!$B$2:$B$401,$B35,'Player Rounds'!$C$2:$C$401,$D35)-_xlfn.MINIFS('Player Rounds'!$AE$2:$AE$401,'Player Rounds'!$A$2:$A$401,$A35,'Player Rounds'!$B$2:$B$401,$B35,'Player Rounds'!$C$2:$C$401,$C35))))</f>
      </c>
      <c r="R35" t="e">
        <f>IF($A35="","",IF(COUNTIFS('Player Rounds'!$A$2:$A$401,$A35,'Player Rounds'!$B$2:$B$401,$B35,'Player Rounds'!$L$2:$L$401,"&gt;0")=0,"",SIGN(_xlfn.MINIFS('Player Rounds'!$AF$2:$AF$401,'Player Rounds'!$A$2:$A$401,$A35,'Player Rounds'!$B$2:$B$401,$B35,'Player Rounds'!$C$2:$C$401,$D35)-_xlfn.MINIFS('Player Rounds'!$AF$2:$AF$401,'Player Rounds'!$A$2:$A$401,$A35,'Player Rounds'!$B$2:$B$401,$B35,'Player Rounds'!$C$2:$C$401,$C35))))</f>
      </c>
      <c r="S35" t="e">
        <f>IF($A35="","",IF(COUNTIFS('Player Rounds'!$A$2:$A$401,$A35,'Player Rounds'!$B$2:$B$401,$B35,'Player Rounds'!$M$2:$M$401,"&gt;0")=0,"",SIGN(_xlfn.MINIFS('Player Rounds'!$AG$2:$AG$401,'Player Rounds'!$A$2:$A$401,$A35,'Player Rounds'!$B$2:$B$401,$B35,'Player Rounds'!$C$2:$C$401,$D35)-_xlfn.MINIFS('Player Rounds'!$AG$2:$AG$401,'Player Rounds'!$A$2:$A$401,$A35,'Player Rounds'!$B$2:$B$401,$B35,'Player Rounds'!$C$2:$C$401,$C35))))</f>
      </c>
      <c r="T35" t="e">
        <f>IF($A35="","",IF(COUNTIFS('Player Rounds'!$A$2:$A$401,$A35,'Player Rounds'!$B$2:$B$401,$B35,'Player Rounds'!$N$2:$N$401,"&gt;0")=0,"",SIGN(_xlfn.MINIFS('Player Rounds'!$AH$2:$AH$401,'Player Rounds'!$A$2:$A$401,$A35,'Player Rounds'!$B$2:$B$401,$B35,'Player Rounds'!$C$2:$C$401,$D35)-_xlfn.MINIFS('Player Rounds'!$AH$2:$AH$401,'Player Rounds'!$A$2:$A$401,$A35,'Player Rounds'!$B$2:$B$401,$B35,'Player Rounds'!$C$2:$C$401,$C35))))</f>
      </c>
      <c r="U35" t="e">
        <f>IF($A35="","",IF(COUNTIFS('Player Rounds'!$A$2:$A$401,$A35,'Player Rounds'!$B$2:$B$401,$B35,'Player Rounds'!$O$2:$O$401,"&gt;0")=0,"",SIGN(_xlfn.MINIFS('Player Rounds'!$AI$2:$AI$401,'Player Rounds'!$A$2:$A$401,$A35,'Player Rounds'!$B$2:$B$401,$B35,'Player Rounds'!$C$2:$C$401,$D35)-_xlfn.MINIFS('Player Rounds'!$AI$2:$AI$401,'Player Rounds'!$A$2:$A$401,$A35,'Player Rounds'!$B$2:$B$401,$B35,'Player Rounds'!$C$2:$C$401,$C35))))</f>
      </c>
      <c r="V35" t="e">
        <f>IF($A35="","",IF(COUNTIFS('Player Rounds'!$A$2:$A$401,$A35,'Player Rounds'!$B$2:$B$401,$B35,'Player Rounds'!$P$2:$P$401,"&gt;0")=0,"",SIGN(_xlfn.MINIFS('Player Rounds'!$AJ$2:$AJ$401,'Player Rounds'!$A$2:$A$401,$A35,'Player Rounds'!$B$2:$B$401,$B35,'Player Rounds'!$C$2:$C$401,$D35)-_xlfn.MINIFS('Player Rounds'!$AJ$2:$AJ$401,'Player Rounds'!$A$2:$A$401,$A35,'Player Rounds'!$B$2:$B$401,$B35,'Player Rounds'!$C$2:$C$401,$C35))))</f>
      </c>
      <c r="W35" t="e">
        <f>IF($A35="","",IF(COUNTIFS('Player Rounds'!$A$2:$A$401,$A35,'Player Rounds'!$B$2:$B$401,$B35,'Player Rounds'!$Q$2:$Q$401,"&gt;0")=0,"",SIGN(_xlfn.MINIFS('Player Rounds'!$AK$2:$AK$401,'Player Rounds'!$A$2:$A$401,$A35,'Player Rounds'!$B$2:$B$401,$B35,'Player Rounds'!$C$2:$C$401,$D35)-_xlfn.MINIFS('Player Rounds'!$AK$2:$AK$401,'Player Rounds'!$A$2:$A$401,$A35,'Player Rounds'!$B$2:$B$401,$B35,'Player Rounds'!$C$2:$C$401,$C35))))</f>
      </c>
      <c r="X35" t="e">
        <f>IF($A35="","",IF(COUNTIFS('Player Rounds'!$A$2:$A$401,$A35,'Player Rounds'!$B$2:$B$401,$B35,'Player Rounds'!$R$2:$R$401,"&gt;0")=0,"",SIGN(_xlfn.MINIFS('Player Rounds'!$AL$2:$AL$401,'Player Rounds'!$A$2:$A$401,$A35,'Player Rounds'!$B$2:$B$401,$B35,'Player Rounds'!$C$2:$C$401,$D35)-_xlfn.MINIFS('Player Rounds'!$AL$2:$AL$401,'Player Rounds'!$A$2:$A$401,$A35,'Player Rounds'!$B$2:$B$401,$B35,'Player Rounds'!$C$2:$C$401,$C35))))</f>
      </c>
      <c r="Y35" t="e">
        <f>IF($A35="","",IF(COUNTIFS('Player Rounds'!$A$2:$A$401,$A35,'Player Rounds'!$B$2:$B$401,$B35,'Player Rounds'!$S$2:$S$401,"&gt;0")=0,"",SIGN(_xlfn.MINIFS('Player Rounds'!$AM$2:$AM$401,'Player Rounds'!$A$2:$A$401,$A35,'Player Rounds'!$B$2:$B$401,$B35,'Player Rounds'!$C$2:$C$401,$D35)-_xlfn.MINIFS('Player Rounds'!$AM$2:$AM$401,'Player Rounds'!$A$2:$A$401,$A35,'Player Rounds'!$B$2:$B$401,$B35,'Player Rounds'!$C$2:$C$401,$C35))))</f>
      </c>
      <c r="Z35" t="e">
        <f>IF($A35="","",IF(COUNTIFS('Player Rounds'!$A$2:$A$401,$A35,'Player Rounds'!$B$2:$B$401,$B35,'Player Rounds'!$T$2:$T$401,"&gt;0")=0,"",SIGN(_xlfn.MINIFS('Player Rounds'!$AN$2:$AN$401,'Player Rounds'!$A$2:$A$401,$A35,'Player Rounds'!$B$2:$B$401,$B35,'Player Rounds'!$C$2:$C$401,$D35)-_xlfn.MINIFS('Player Rounds'!$AN$2:$AN$401,'Player Rounds'!$A$2:$A$401,$A35,'Player Rounds'!$B$2:$B$401,$B35,'Player Rounds'!$C$2:$C$401,$C35))))</f>
      </c>
      <c r="AA35" t="e">
        <f>IF($A35="","",IF(COUNTIFS('Player Rounds'!$A$2:$A$401,$A35,'Player Rounds'!$B$2:$B$401,$B35,'Player Rounds'!$U$2:$U$401,"&gt;0")=0,"",SIGN(_xlfn.MINIFS('Player Rounds'!$AO$2:$AO$401,'Player Rounds'!$A$2:$A$401,$A35,'Player Rounds'!$B$2:$B$401,$B35,'Player Rounds'!$C$2:$C$401,$D35)-_xlfn.MINIFS('Player Rounds'!$AO$2:$AO$401,'Player Rounds'!$A$2:$A$401,$A35,'Player Rounds'!$B$2:$B$401,$B35,'Player Rounds'!$C$2:$C$401,$C35))))</f>
      </c>
      <c r="AB35" t="e">
        <f>IF($A35="","",IF(COUNTIFS('Player Rounds'!$A$2:$A$401,$A35,'Player Rounds'!$B$2:$B$401,$B35,'Player Rounds'!$V$2:$V$401,"&gt;0")=0,"",SIGN(_xlfn.MINIFS('Player Rounds'!$AP$2:$AP$401,'Player Rounds'!$A$2:$A$401,$A35,'Player Rounds'!$B$2:$B$401,$B35,'Player Rounds'!$C$2:$C$401,$D35)-_xlfn.MINIFS('Player Rounds'!$AP$2:$AP$401,'Player Rounds'!$A$2:$A$401,$A35,'Player Rounds'!$B$2:$B$401,$B35,'Player Rounds'!$C$2:$C$401,$C35))))</f>
      </c>
      <c r="AC35" t="e">
        <f>IF($A35="","",IF(COUNTIFS('Player Rounds'!$A$2:$A$401,$A35,'Player Rounds'!$B$2:$B$401,$B35,'Player Rounds'!$W$2:$W$401,"&gt;0")=0,"",SIGN(_xlfn.MINIFS('Player Rounds'!$AQ$2:$AQ$401,'Player Rounds'!$A$2:$A$401,$A35,'Player Rounds'!$B$2:$B$401,$B35,'Player Rounds'!$C$2:$C$401,$D35)-_xlfn.MINIFS('Player Rounds'!$AQ$2:$AQ$401,'Player Rounds'!$A$2:$A$401,$A35,'Player Rounds'!$B$2:$B$401,$B35,'Player Rounds'!$C$2:$C$401,$C35))))</f>
      </c>
      <c r="AD35" t="e">
        <f>IF($A35="","",SUM($L35:L35))</f>
      </c>
      <c r="AE35" t="e">
        <f>IF($A35="","",SUM($L35:M35))</f>
      </c>
      <c r="AF35" t="e">
        <f>IF($A35="","",SUM($L35:N35))</f>
      </c>
      <c r="AG35" t="e">
        <f>IF($A35="","",SUM($L35:O35))</f>
      </c>
      <c r="AH35" t="e">
        <f>IF($A35="","",SUM($L35:P35))</f>
      </c>
      <c r="AI35" t="e">
        <f>IF($A35="","",SUM($L35:Q35))</f>
      </c>
      <c r="AJ35" t="e">
        <f>IF($A35="","",SUM($L35:R35))</f>
      </c>
      <c r="AK35" t="e">
        <f>IF($A35="","",SUM($L35:S35))</f>
      </c>
      <c r="AL35" t="e">
        <f>IF($A35="","",SUM($L35:T35))</f>
      </c>
      <c r="AM35" t="e">
        <f>IF($A35="","",SUM($L35:U35))</f>
      </c>
      <c r="AN35" t="e">
        <f>IF($A35="","",SUM($L35:V35))</f>
      </c>
      <c r="AO35" t="e">
        <f>IF($A35="","",SUM($L35:W35))</f>
      </c>
      <c r="AP35" t="e">
        <f>IF($A35="","",SUM($L35:X35))</f>
      </c>
      <c r="AQ35" t="e">
        <f>IF($A35="","",SUM($L35:Y35))</f>
      </c>
      <c r="AR35" t="e">
        <f>IF($A35="","",SUM($L35:Z35))</f>
      </c>
      <c r="AS35" t="e">
        <f>IF($A35="","",SUM($L35:AA35))</f>
      </c>
      <c r="AT35" t="e">
        <f>IF($A35="","",SUM($L35:AB35))</f>
      </c>
      <c r="AU35" t="e">
        <f>IF($A35="","",SUM($L35:AC35))</f>
      </c>
      <c r="AV35" t="e">
        <f>IF(OR($A35="",L35=""),"",IF(ABS(AD35)&gt;17,1,""))</f>
      </c>
      <c r="AW35" t="e">
        <f>IF(OR($A35="",M35=""),"",IF(ABS(AE35)&gt;16,2,""))</f>
      </c>
      <c r="AX35" t="e">
        <f>IF(OR($A35="",N35=""),"",IF(ABS(AF35)&gt;15,3,""))</f>
      </c>
      <c r="AY35" t="e">
        <f>IF(OR($A35="",O35=""),"",IF(ABS(AG35)&gt;14,4,""))</f>
      </c>
      <c r="AZ35" t="e">
        <f>IF(OR($A35="",P35=""),"",IF(ABS(AH35)&gt;13,5,""))</f>
      </c>
      <c r="BA35" t="e">
        <f>IF(OR($A35="",Q35=""),"",IF(ABS(AI35)&gt;12,6,""))</f>
      </c>
      <c r="BB35" t="e">
        <f>IF(OR($A35="",R35=""),"",IF(ABS(AJ35)&gt;11,7,""))</f>
      </c>
      <c r="BC35" t="e">
        <f>IF(OR($A35="",S35=""),"",IF(ABS(AK35)&gt;10,8,""))</f>
      </c>
      <c r="BD35" t="e">
        <f>IF(OR($A35="",T35=""),"",IF(ABS(AL35)&gt;9,9,""))</f>
      </c>
      <c r="BE35" t="e">
        <f>IF(OR($A35="",U35=""),"",IF(ABS(AM35)&gt;8,10,""))</f>
      </c>
      <c r="BF35" t="e">
        <f>IF(OR($A35="",V35=""),"",IF(ABS(AN35)&gt;7,11,""))</f>
      </c>
      <c r="BG35" t="e">
        <f>IF(OR($A35="",W35=""),"",IF(ABS(AO35)&gt;6,12,""))</f>
      </c>
      <c r="BH35" t="e">
        <f>IF(OR($A35="",X35=""),"",IF(ABS(AP35)&gt;5,13,""))</f>
      </c>
      <c r="BI35" t="e">
        <f>IF(OR($A35="",Y35=""),"",IF(ABS(AQ35)&gt;4,14,""))</f>
      </c>
      <c r="BJ35" t="e">
        <f>IF(OR($A35="",Z35=""),"",IF(ABS(AR35)&gt;3,15,""))</f>
      </c>
      <c r="BK35" t="e">
        <f>IF(OR($A35="",AA35=""),"",IF(ABS(AS35)&gt;2,16,""))</f>
      </c>
      <c r="BL35" t="e">
        <f>IF(OR($A35="",AB35=""),"",IF(ABS(AT35)&gt;1,17,""))</f>
      </c>
      <c r="BM35" t="e">
        <f>IF(OR($A35="",AC35=""),"",IF(ABS(AU35)&gt;0,18,""))</f>
      </c>
    </row>
    <row r="36">
      <c r="C36" t="str">
        <f>IF($A36="","",INDEX('Tournament Setup'!$J:$J,MATCH($A36,'Tournament Setup'!$A:$A,0)))</f>
        <v/>
      </c>
      <c r="D36" t="str">
        <f>IF($A36="","",INDEX('Tournament Setup'!$K:$K,MATCH($A36,'Tournament Setup'!$A:$A,0)))</f>
        <v/>
      </c>
      <c r="E36" t="str">
        <f>IF($A36="","",IF(COUNT(L36:AC36)=0,"Not played",IF(AND($K36&gt;0,$K36&lt;18),IF(INDEX(AD36:AU36,1,$K36)&gt;0,$C36,$D36)&amp;" "&amp;ABS(INDEX(AD36:AU36,1,$K36))&amp;"&amp;"&amp;(18-$K36),IF($J36=0,"Halved (AS)",IF($J36&gt;0,$C36,$D36)&amp;" "&amp;ABS($J36)&amp;" UP"))))</f>
        <v/>
      </c>
      <c r="F36" t="e">
        <f>IF(OR($A36="",COUNT(L36:AC36)=0),"",INDEX('Tournament Setup'!$I:$I,MATCH($A36,'Tournament Setup'!$A:$A,0))*IF(INDEX('Tournament Setup'!$H:$H,MATCH($A36,'Tournament Setup'!$A:$A,0))="Yes",IF($H36&gt;0,1,IF($H36=0,0.5,0))+IF($I36&gt;0,1,IF($I36=0,0.5,0))+IF($J36&gt;0,1,IF($J36=0,0.5,0)),IF(IF(AND($K36&gt;0,$K36&lt;18),INDEX(AD36:AU36,1,$K36),$J36)&gt;0,1,IF(IF(AND($K36&gt;0,$K36&lt;18),INDEX(AD36:AU36,1,$K36),$J36)=0,0.5,0))))</f>
      </c>
      <c r="G36" t="e">
        <f>IF(OR($A36="",COUNT(L36:AC36)=0),"",INDEX('Tournament Setup'!$I:$I,MATCH($A36,'Tournament Setup'!$A:$A,0))*IF(INDEX('Tournament Setup'!$H:$H,MATCH($A36,'Tournament Setup'!$A:$A,0))="Yes",IF($H36&lt;0,1,IF($H36=0,0.5,0))+IF($I36&lt;0,1,IF($I36=0,0.5,0))+IF($J36&lt;0,1,IF($J36=0,0.5,0)),IF(IF(AND($K36&gt;0,$K36&lt;18),INDEX(AD36:AU36,1,$K36),$J36)&lt;0,1,IF(IF(AND($K36&gt;0,$K36&lt;18),INDEX(AD36:AU36,1,$K36),$J36)=0,0.5,0))))</f>
      </c>
      <c r="H36" t="e">
        <f>IF($A36="","",SUM(L36:T36))</f>
      </c>
      <c r="I36" t="e">
        <f>IF($A36="","",SUM(U36:AC36))</f>
      </c>
      <c r="J36" t="e">
        <f>IF($A36="","",SUM(L36:AC36))</f>
      </c>
      <c r="K36" t="e">
        <f>IF($A36="","",MIN(AV36:BM36))</f>
      </c>
      <c r="L36" t="e">
        <f>IF($A36="","",IF(COUNTIFS('Player Rounds'!$A$2:$A$401,$A36,'Player Rounds'!$B$2:$B$401,$B36,'Player Rounds'!$F$2:$F$401,"&gt;0")=0,"",SIGN(_xlfn.MINIFS('Player Rounds'!$Z$2:$Z$401,'Player Rounds'!$A$2:$A$401,$A36,'Player Rounds'!$B$2:$B$401,$B36,'Player Rounds'!$C$2:$C$401,$D36)-_xlfn.MINIFS('Player Rounds'!$Z$2:$Z$401,'Player Rounds'!$A$2:$A$401,$A36,'Player Rounds'!$B$2:$B$401,$B36,'Player Rounds'!$C$2:$C$401,$C36))))</f>
      </c>
      <c r="M36" t="e">
        <f>IF($A36="","",IF(COUNTIFS('Player Rounds'!$A$2:$A$401,$A36,'Player Rounds'!$B$2:$B$401,$B36,'Player Rounds'!$G$2:$G$401,"&gt;0")=0,"",SIGN(_xlfn.MINIFS('Player Rounds'!$AA$2:$AA$401,'Player Rounds'!$A$2:$A$401,$A36,'Player Rounds'!$B$2:$B$401,$B36,'Player Rounds'!$C$2:$C$401,$D36)-_xlfn.MINIFS('Player Rounds'!$AA$2:$AA$401,'Player Rounds'!$A$2:$A$401,$A36,'Player Rounds'!$B$2:$B$401,$B36,'Player Rounds'!$C$2:$C$401,$C36))))</f>
      </c>
      <c r="N36" t="e">
        <f>IF($A36="","",IF(COUNTIFS('Player Rounds'!$A$2:$A$401,$A36,'Player Rounds'!$B$2:$B$401,$B36,'Player Rounds'!$H$2:$H$401,"&gt;0")=0,"",SIGN(_xlfn.MINIFS('Player Rounds'!$AB$2:$AB$401,'Player Rounds'!$A$2:$A$401,$A36,'Player Rounds'!$B$2:$B$401,$B36,'Player Rounds'!$C$2:$C$401,$D36)-_xlfn.MINIFS('Player Rounds'!$AB$2:$AB$401,'Player Rounds'!$A$2:$A$401,$A36,'Player Rounds'!$B$2:$B$401,$B36,'Player Rounds'!$C$2:$C$401,$C36))))</f>
      </c>
      <c r="O36" t="e">
        <f>IF($A36="","",IF(COUNTIFS('Player Rounds'!$A$2:$A$401,$A36,'Player Rounds'!$B$2:$B$401,$B36,'Player Rounds'!$I$2:$I$401,"&gt;0")=0,"",SIGN(_xlfn.MINIFS('Player Rounds'!$AC$2:$AC$401,'Player Rounds'!$A$2:$A$401,$A36,'Player Rounds'!$B$2:$B$401,$B36,'Player Rounds'!$C$2:$C$401,$D36)-_xlfn.MINIFS('Player Rounds'!$AC$2:$AC$401,'Player Rounds'!$A$2:$A$401,$A36,'Player Rounds'!$B$2:$B$401,$B36,'Player Rounds'!$C$2:$C$401,$C36))))</f>
      </c>
      <c r="P36" t="e">
        <f>IF($A36="","",IF(COUNTIFS('Player Rounds'!$A$2:$A$401,$A36,'Player Rounds'!$B$2:$B$401,$B36,'Player Rounds'!$J$2:$J$401,"&gt;0")=0,"",SIGN(_xlfn.MINIFS('Player Rounds'!$AD$2:$AD$401,'Player Rounds'!$A$2:$A$401,$A36,'Player Rounds'!$B$2:$B$401,$B36,'Player Rounds'!$C$2:$C$401,$D36)-_xlfn.MINIFS('Player Rounds'!$AD$2:$AD$401,'Player Rounds'!$A$2:$A$401,$A36,'Player Rounds'!$B$2:$B$401,$B36,'Player Rounds'!$C$2:$C$401,$C36))))</f>
      </c>
      <c r="Q36" t="e">
        <f>IF($A36="","",IF(COUNTIFS('Player Rounds'!$A$2:$A$401,$A36,'Player Rounds'!$B$2:$B$401,$B36,'Player Rounds'!$K$2:$K$401,"&gt;0")=0,"",SIGN(_xlfn.MINIFS('Player Rounds'!$AE$2:$AE$401,'Player Rounds'!$A$2:$A$401,$A36,'Player Rounds'!$B$2:$B$401,$B36,'Player Rounds'!$C$2:$C$401,$D36)-_xlfn.MINIFS('Player Rounds'!$AE$2:$AE$401,'Player Rounds'!$A$2:$A$401,$A36,'Player Rounds'!$B$2:$B$401,$B36,'Player Rounds'!$C$2:$C$401,$C36))))</f>
      </c>
      <c r="R36" t="e">
        <f>IF($A36="","",IF(COUNTIFS('Player Rounds'!$A$2:$A$401,$A36,'Player Rounds'!$B$2:$B$401,$B36,'Player Rounds'!$L$2:$L$401,"&gt;0")=0,"",SIGN(_xlfn.MINIFS('Player Rounds'!$AF$2:$AF$401,'Player Rounds'!$A$2:$A$401,$A36,'Player Rounds'!$B$2:$B$401,$B36,'Player Rounds'!$C$2:$C$401,$D36)-_xlfn.MINIFS('Player Rounds'!$AF$2:$AF$401,'Player Rounds'!$A$2:$A$401,$A36,'Player Rounds'!$B$2:$B$401,$B36,'Player Rounds'!$C$2:$C$401,$C36))))</f>
      </c>
      <c r="S36" t="e">
        <f>IF($A36="","",IF(COUNTIFS('Player Rounds'!$A$2:$A$401,$A36,'Player Rounds'!$B$2:$B$401,$B36,'Player Rounds'!$M$2:$M$401,"&gt;0")=0,"",SIGN(_xlfn.MINIFS('Player Rounds'!$AG$2:$AG$401,'Player Rounds'!$A$2:$A$401,$A36,'Player Rounds'!$B$2:$B$401,$B36,'Player Rounds'!$C$2:$C$401,$D36)-_xlfn.MINIFS('Player Rounds'!$AG$2:$AG$401,'Player Rounds'!$A$2:$A$401,$A36,'Player Rounds'!$B$2:$B$401,$B36,'Player Rounds'!$C$2:$C$401,$C36))))</f>
      </c>
      <c r="T36" t="e">
        <f>IF($A36="","",IF(COUNTIFS('Player Rounds'!$A$2:$A$401,$A36,'Player Rounds'!$B$2:$B$401,$B36,'Player Rounds'!$N$2:$N$401,"&gt;0")=0,"",SIGN(_xlfn.MINIFS('Player Rounds'!$AH$2:$AH$401,'Player Rounds'!$A$2:$A$401,$A36,'Player Rounds'!$B$2:$B$401,$B36,'Player Rounds'!$C$2:$C$401,$D36)-_xlfn.MINIFS('Player Rounds'!$AH$2:$AH$401,'Player Rounds'!$A$2:$A$401,$A36,'Player Rounds'!$B$2:$B$401,$B36,'Player Rounds'!$C$2:$C$401,$C36))))</f>
      </c>
      <c r="U36" t="e">
        <f>IF($A36="","",IF(COUNTIFS('Player Rounds'!$A$2:$A$401,$A36,'Player Rounds'!$B$2:$B$401,$B36,'Player Rounds'!$O$2:$O$401,"&gt;0")=0,"",SIGN(_xlfn.MINIFS('Player Rounds'!$AI$2:$AI$401,'Player Rounds'!$A$2:$A$401,$A36,'Player Rounds'!$B$2:$B$401,$B36,'Player Rounds'!$C$2:$C$401,$D36)-_xlfn.MINIFS('Player Rounds'!$AI$2:$AI$401,'Player Rounds'!$A$2:$A$401,$A36,'Player Rounds'!$B$2:$B$401,$B36,'Player Rounds'!$C$2:$C$401,$C36))))</f>
      </c>
      <c r="V36" t="e">
        <f>IF($A36="","",IF(COUNTIFS('Player Rounds'!$A$2:$A$401,$A36,'Player Rounds'!$B$2:$B$401,$B36,'Player Rounds'!$P$2:$P$401,"&gt;0")=0,"",SIGN(_xlfn.MINIFS('Player Rounds'!$AJ$2:$AJ$401,'Player Rounds'!$A$2:$A$401,$A36,'Player Rounds'!$B$2:$B$401,$B36,'Player Rounds'!$C$2:$C$401,$D36)-_xlfn.MINIFS('Player Rounds'!$AJ$2:$AJ$401,'Player Rounds'!$A$2:$A$401,$A36,'Player Rounds'!$B$2:$B$401,$B36,'Player Rounds'!$C$2:$C$401,$C36))))</f>
      </c>
      <c r="W36" t="e">
        <f>IF($A36="","",IF(COUNTIFS('Player Rounds'!$A$2:$A$401,$A36,'Player Rounds'!$B$2:$B$401,$B36,'Player Rounds'!$Q$2:$Q$401,"&gt;0")=0,"",SIGN(_xlfn.MINIFS('Player Rounds'!$AK$2:$AK$401,'Player Rounds'!$A$2:$A$401,$A36,'Player Rounds'!$B$2:$B$401,$B36,'Player Rounds'!$C$2:$C$401,$D36)-_xlfn.MINIFS('Player Rounds'!$AK$2:$AK$401,'Player Rounds'!$A$2:$A$401,$A36,'Player Rounds'!$B$2:$B$401,$B36,'Player Rounds'!$C$2:$C$401,$C36))))</f>
      </c>
      <c r="X36" t="e">
        <f>IF($A36="","",IF(COUNTIFS('Player Rounds'!$A$2:$A$401,$A36,'Player Rounds'!$B$2:$B$401,$B36,'Player Rounds'!$R$2:$R$401,"&gt;0")=0,"",SIGN(_xlfn.MINIFS('Player Rounds'!$AL$2:$AL$401,'Player Rounds'!$A$2:$A$401,$A36,'Player Rounds'!$B$2:$B$401,$B36,'Player Rounds'!$C$2:$C$401,$D36)-_xlfn.MINIFS('Player Rounds'!$AL$2:$AL$401,'Player Rounds'!$A$2:$A$401,$A36,'Player Rounds'!$B$2:$B$401,$B36,'Player Rounds'!$C$2:$C$401,$C36))))</f>
      </c>
      <c r="Y36" t="e">
        <f>IF($A36="","",IF(COUNTIFS('Player Rounds'!$A$2:$A$401,$A36,'Player Rounds'!$B$2:$B$401,$B36,'Player Rounds'!$S$2:$S$401,"&gt;0")=0,"",SIGN(_xlfn.MINIFS('Player Rounds'!$AM$2:$AM$401,'Player Rounds'!$A$2:$A$401,$A36,'Player Rounds'!$B$2:$B$401,$B36,'Player Rounds'!$C$2:$C$401,$D36)-_xlfn.MINIFS('Player Rounds'!$AM$2:$AM$401,'Player Rounds'!$A$2:$A$401,$A36,'Player Rounds'!$B$2:$B$401,$B36,'Player Rounds'!$C$2:$C$401,$C36))))</f>
      </c>
      <c r="Z36" t="e">
        <f>IF($A36="","",IF(COUNTIFS('Player Rounds'!$A$2:$A$401,$A36,'Player Rounds'!$B$2:$B$401,$B36,'Player Rounds'!$T$2:$T$401,"&gt;0")=0,"",SIGN(_xlfn.MINIFS('Player Rounds'!$AN$2:$AN$401,'Player Rounds'!$A$2:$A$401,$A36,'Player Rounds'!$B$2:$B$401,$B36,'Player Rounds'!$C$2:$C$401,$D36)-_xlfn.MINIFS('Player Rounds'!$AN$2:$AN$401,'Player Rounds'!$A$2:$A$401,$A36,'Player Rounds'!$B$2:$B$401,$B36,'Player Rounds'!$C$2:$C$401,$C36))))</f>
      </c>
      <c r="AA36" t="e">
        <f>IF($A36="","",IF(COUNTIFS('Player Rounds'!$A$2:$A$401,$A36,'Player Rounds'!$B$2:$B$401,$B36,'Player Rounds'!$U$2:$U$401,"&gt;0")=0,"",SIGN(_xlfn.MINIFS('Player Rounds'!$AO$2:$AO$401,'Player Rounds'!$A$2:$A$401,$A36,'Player Rounds'!$B$2:$B$401,$B36,'Player Rounds'!$C$2:$C$401,$D36)-_xlfn.MINIFS('Player Rounds'!$AO$2:$AO$401,'Player Rounds'!$A$2:$A$401,$A36,'Player Rounds'!$B$2:$B$401,$B36,'Player Rounds'!$C$2:$C$401,$C36))))</f>
      </c>
      <c r="AB36" t="e">
        <f>IF($A36="","",IF(COUNTIFS('Player Rounds'!$A$2:$A$401,$A36,'Player Rounds'!$B$2:$B$401,$B36,'Player Rounds'!$V$2:$V$401,"&gt;0")=0,"",SIGN(_xlfn.MINIFS('Player Rounds'!$AP$2:$AP$401,'Player Rounds'!$A$2:$A$401,$A36,'Player Rounds'!$B$2:$B$401,$B36,'Player Rounds'!$C$2:$C$401,$D36)-_xlfn.MINIFS('Player Rounds'!$AP$2:$AP$401,'Player Rounds'!$A$2:$A$401,$A36,'Player Rounds'!$B$2:$B$401,$B36,'Player Rounds'!$C$2:$C$401,$C36))))</f>
      </c>
      <c r="AC36" t="e">
        <f>IF($A36="","",IF(COUNTIFS('Player Rounds'!$A$2:$A$401,$A36,'Player Rounds'!$B$2:$B$401,$B36,'Player Rounds'!$W$2:$W$401,"&gt;0")=0,"",SIGN(_xlfn.MINIFS('Player Rounds'!$AQ$2:$AQ$401,'Player Rounds'!$A$2:$A$401,$A36,'Player Rounds'!$B$2:$B$401,$B36,'Player Rounds'!$C$2:$C$401,$D36)-_xlfn.MINIFS('Player Rounds'!$AQ$2:$AQ$401,'Player Rounds'!$A$2:$A$401,$A36,'Player Rounds'!$B$2:$B$401,$B36,'Player Rounds'!$C$2:$C$401,$C36))))</f>
      </c>
      <c r="AD36" t="e">
        <f>IF($A36="","",SUM($L36:L36))</f>
      </c>
      <c r="AE36" t="e">
        <f>IF($A36="","",SUM($L36:M36))</f>
      </c>
      <c r="AF36" t="e">
        <f>IF($A36="","",SUM($L36:N36))</f>
      </c>
      <c r="AG36" t="e">
        <f>IF($A36="","",SUM($L36:O36))</f>
      </c>
      <c r="AH36" t="e">
        <f>IF($A36="","",SUM($L36:P36))</f>
      </c>
      <c r="AI36" t="e">
        <f>IF($A36="","",SUM($L36:Q36))</f>
      </c>
      <c r="AJ36" t="e">
        <f>IF($A36="","",SUM($L36:R36))</f>
      </c>
      <c r="AK36" t="e">
        <f>IF($A36="","",SUM($L36:S36))</f>
      </c>
      <c r="AL36" t="e">
        <f>IF($A36="","",SUM($L36:T36))</f>
      </c>
      <c r="AM36" t="e">
        <f>IF($A36="","",SUM($L36:U36))</f>
      </c>
      <c r="AN36" t="e">
        <f>IF($A36="","",SUM($L36:V36))</f>
      </c>
      <c r="AO36" t="e">
        <f>IF($A36="","",SUM($L36:W36))</f>
      </c>
      <c r="AP36" t="e">
        <f>IF($A36="","",SUM($L36:X36))</f>
      </c>
      <c r="AQ36" t="e">
        <f>IF($A36="","",SUM($L36:Y36))</f>
      </c>
      <c r="AR36" t="e">
        <f>IF($A36="","",SUM($L36:Z36))</f>
      </c>
      <c r="AS36" t="e">
        <f>IF($A36="","",SUM($L36:AA36))</f>
      </c>
      <c r="AT36" t="e">
        <f>IF($A36="","",SUM($L36:AB36))</f>
      </c>
      <c r="AU36" t="e">
        <f>IF($A36="","",SUM($L36:AC36))</f>
      </c>
      <c r="AV36" t="e">
        <f>IF(OR($A36="",L36=""),"",IF(ABS(AD36)&gt;17,1,""))</f>
      </c>
      <c r="AW36" t="e">
        <f>IF(OR($A36="",M36=""),"",IF(ABS(AE36)&gt;16,2,""))</f>
      </c>
      <c r="AX36" t="e">
        <f>IF(OR($A36="",N36=""),"",IF(ABS(AF36)&gt;15,3,""))</f>
      </c>
      <c r="AY36" t="e">
        <f>IF(OR($A36="",O36=""),"",IF(ABS(AG36)&gt;14,4,""))</f>
      </c>
      <c r="AZ36" t="e">
        <f>IF(OR($A36="",P36=""),"",IF(ABS(AH36)&gt;13,5,""))</f>
      </c>
      <c r="BA36" t="e">
        <f>IF(OR($A36="",Q36=""),"",IF(ABS(AI36)&gt;12,6,""))</f>
      </c>
      <c r="BB36" t="e">
        <f>IF(OR($A36="",R36=""),"",IF(ABS(AJ36)&gt;11,7,""))</f>
      </c>
      <c r="BC36" t="e">
        <f>IF(OR($A36="",S36=""),"",IF(ABS(AK36)&gt;10,8,""))</f>
      </c>
      <c r="BD36" t="e">
        <f>IF(OR($A36="",T36=""),"",IF(ABS(AL36)&gt;9,9,""))</f>
      </c>
      <c r="BE36" t="e">
        <f>IF(OR($A36="",U36=""),"",IF(ABS(AM36)&gt;8,10,""))</f>
      </c>
      <c r="BF36" t="e">
        <f>IF(OR($A36="",V36=""),"",IF(ABS(AN36)&gt;7,11,""))</f>
      </c>
      <c r="BG36" t="e">
        <f>IF(OR($A36="",W36=""),"",IF(ABS(AO36)&gt;6,12,""))</f>
      </c>
      <c r="BH36" t="e">
        <f>IF(OR($A36="",X36=""),"",IF(ABS(AP36)&gt;5,13,""))</f>
      </c>
      <c r="BI36" t="e">
        <f>IF(OR($A36="",Y36=""),"",IF(ABS(AQ36)&gt;4,14,""))</f>
      </c>
      <c r="BJ36" t="e">
        <f>IF(OR($A36="",Z36=""),"",IF(ABS(AR36)&gt;3,15,""))</f>
      </c>
      <c r="BK36" t="e">
        <f>IF(OR($A36="",AA36=""),"",IF(ABS(AS36)&gt;2,16,""))</f>
      </c>
      <c r="BL36" t="e">
        <f>IF(OR($A36="",AB36=""),"",IF(ABS(AT36)&gt;1,17,""))</f>
      </c>
      <c r="BM36" t="e">
        <f>IF(OR($A36="",AC36=""),"",IF(ABS(AU36)&gt;0,18,""))</f>
      </c>
    </row>
    <row r="37">
      <c r="C37" t="str">
        <f>IF($A37="","",INDEX('Tournament Setup'!$J:$J,MATCH($A37,'Tournament Setup'!$A:$A,0)))</f>
        <v/>
      </c>
      <c r="D37" t="str">
        <f>IF($A37="","",INDEX('Tournament Setup'!$K:$K,MATCH($A37,'Tournament Setup'!$A:$A,0)))</f>
        <v/>
      </c>
      <c r="E37" t="str">
        <f>IF($A37="","",IF(COUNT(L37:AC37)=0,"Not played",IF(AND($K37&gt;0,$K37&lt;18),IF(INDEX(AD37:AU37,1,$K37)&gt;0,$C37,$D37)&amp;" "&amp;ABS(INDEX(AD37:AU37,1,$K37))&amp;"&amp;"&amp;(18-$K37),IF($J37=0,"Halved (AS)",IF($J37&gt;0,$C37,$D37)&amp;" "&amp;ABS($J37)&amp;" UP"))))</f>
        <v/>
      </c>
      <c r="F37" t="e">
        <f>IF(OR($A37="",COUNT(L37:AC37)=0),"",INDEX('Tournament Setup'!$I:$I,MATCH($A37,'Tournament Setup'!$A:$A,0))*IF(INDEX('Tournament Setup'!$H:$H,MATCH($A37,'Tournament Setup'!$A:$A,0))="Yes",IF($H37&gt;0,1,IF($H37=0,0.5,0))+IF($I37&gt;0,1,IF($I37=0,0.5,0))+IF($J37&gt;0,1,IF($J37=0,0.5,0)),IF(IF(AND($K37&gt;0,$K37&lt;18),INDEX(AD37:AU37,1,$K37),$J37)&gt;0,1,IF(IF(AND($K37&gt;0,$K37&lt;18),INDEX(AD37:AU37,1,$K37),$J37)=0,0.5,0))))</f>
      </c>
      <c r="G37" t="e">
        <f>IF(OR($A37="",COUNT(L37:AC37)=0),"",INDEX('Tournament Setup'!$I:$I,MATCH($A37,'Tournament Setup'!$A:$A,0))*IF(INDEX('Tournament Setup'!$H:$H,MATCH($A37,'Tournament Setup'!$A:$A,0))="Yes",IF($H37&lt;0,1,IF($H37=0,0.5,0))+IF($I37&lt;0,1,IF($I37=0,0.5,0))+IF($J37&lt;0,1,IF($J37=0,0.5,0)),IF(IF(AND($K37&gt;0,$K37&lt;18),INDEX(AD37:AU37,1,$K37),$J37)&lt;0,1,IF(IF(AND($K37&gt;0,$K37&lt;18),INDEX(AD37:AU37,1,$K37),$J37)=0,0.5,0))))</f>
      </c>
      <c r="H37" t="e">
        <f>IF($A37="","",SUM(L37:T37))</f>
      </c>
      <c r="I37" t="e">
        <f>IF($A37="","",SUM(U37:AC37))</f>
      </c>
      <c r="J37" t="e">
        <f>IF($A37="","",SUM(L37:AC37))</f>
      </c>
      <c r="K37" t="e">
        <f>IF($A37="","",MIN(AV37:BM37))</f>
      </c>
      <c r="L37" t="e">
        <f>IF($A37="","",IF(COUNTIFS('Player Rounds'!$A$2:$A$401,$A37,'Player Rounds'!$B$2:$B$401,$B37,'Player Rounds'!$F$2:$F$401,"&gt;0")=0,"",SIGN(_xlfn.MINIFS('Player Rounds'!$Z$2:$Z$401,'Player Rounds'!$A$2:$A$401,$A37,'Player Rounds'!$B$2:$B$401,$B37,'Player Rounds'!$C$2:$C$401,$D37)-_xlfn.MINIFS('Player Rounds'!$Z$2:$Z$401,'Player Rounds'!$A$2:$A$401,$A37,'Player Rounds'!$B$2:$B$401,$B37,'Player Rounds'!$C$2:$C$401,$C37))))</f>
      </c>
      <c r="M37" t="e">
        <f>IF($A37="","",IF(COUNTIFS('Player Rounds'!$A$2:$A$401,$A37,'Player Rounds'!$B$2:$B$401,$B37,'Player Rounds'!$G$2:$G$401,"&gt;0")=0,"",SIGN(_xlfn.MINIFS('Player Rounds'!$AA$2:$AA$401,'Player Rounds'!$A$2:$A$401,$A37,'Player Rounds'!$B$2:$B$401,$B37,'Player Rounds'!$C$2:$C$401,$D37)-_xlfn.MINIFS('Player Rounds'!$AA$2:$AA$401,'Player Rounds'!$A$2:$A$401,$A37,'Player Rounds'!$B$2:$B$401,$B37,'Player Rounds'!$C$2:$C$401,$C37))))</f>
      </c>
      <c r="N37" t="e">
        <f>IF($A37="","",IF(COUNTIFS('Player Rounds'!$A$2:$A$401,$A37,'Player Rounds'!$B$2:$B$401,$B37,'Player Rounds'!$H$2:$H$401,"&gt;0")=0,"",SIGN(_xlfn.MINIFS('Player Rounds'!$AB$2:$AB$401,'Player Rounds'!$A$2:$A$401,$A37,'Player Rounds'!$B$2:$B$401,$B37,'Player Rounds'!$C$2:$C$401,$D37)-_xlfn.MINIFS('Player Rounds'!$AB$2:$AB$401,'Player Rounds'!$A$2:$A$401,$A37,'Player Rounds'!$B$2:$B$401,$B37,'Player Rounds'!$C$2:$C$401,$C37))))</f>
      </c>
      <c r="O37" t="e">
        <f>IF($A37="","",IF(COUNTIFS('Player Rounds'!$A$2:$A$401,$A37,'Player Rounds'!$B$2:$B$401,$B37,'Player Rounds'!$I$2:$I$401,"&gt;0")=0,"",SIGN(_xlfn.MINIFS('Player Rounds'!$AC$2:$AC$401,'Player Rounds'!$A$2:$A$401,$A37,'Player Rounds'!$B$2:$B$401,$B37,'Player Rounds'!$C$2:$C$401,$D37)-_xlfn.MINIFS('Player Rounds'!$AC$2:$AC$401,'Player Rounds'!$A$2:$A$401,$A37,'Player Rounds'!$B$2:$B$401,$B37,'Player Rounds'!$C$2:$C$401,$C37))))</f>
      </c>
      <c r="P37" t="e">
        <f>IF($A37="","",IF(COUNTIFS('Player Rounds'!$A$2:$A$401,$A37,'Player Rounds'!$B$2:$B$401,$B37,'Player Rounds'!$J$2:$J$401,"&gt;0")=0,"",SIGN(_xlfn.MINIFS('Player Rounds'!$AD$2:$AD$401,'Player Rounds'!$A$2:$A$401,$A37,'Player Rounds'!$B$2:$B$401,$B37,'Player Rounds'!$C$2:$C$401,$D37)-_xlfn.MINIFS('Player Rounds'!$AD$2:$AD$401,'Player Rounds'!$A$2:$A$401,$A37,'Player Rounds'!$B$2:$B$401,$B37,'Player Rounds'!$C$2:$C$401,$C37))))</f>
      </c>
      <c r="Q37" t="e">
        <f>IF($A37="","",IF(COUNTIFS('Player Rounds'!$A$2:$A$401,$A37,'Player Rounds'!$B$2:$B$401,$B37,'Player Rounds'!$K$2:$K$401,"&gt;0")=0,"",SIGN(_xlfn.MINIFS('Player Rounds'!$AE$2:$AE$401,'Player Rounds'!$A$2:$A$401,$A37,'Player Rounds'!$B$2:$B$401,$B37,'Player Rounds'!$C$2:$C$401,$D37)-_xlfn.MINIFS('Player Rounds'!$AE$2:$AE$401,'Player Rounds'!$A$2:$A$401,$A37,'Player Rounds'!$B$2:$B$401,$B37,'Player Rounds'!$C$2:$C$401,$C37))))</f>
      </c>
      <c r="R37" t="e">
        <f>IF($A37="","",IF(COUNTIFS('Player Rounds'!$A$2:$A$401,$A37,'Player Rounds'!$B$2:$B$401,$B37,'Player Rounds'!$L$2:$L$401,"&gt;0")=0,"",SIGN(_xlfn.MINIFS('Player Rounds'!$AF$2:$AF$401,'Player Rounds'!$A$2:$A$401,$A37,'Player Rounds'!$B$2:$B$401,$B37,'Player Rounds'!$C$2:$C$401,$D37)-_xlfn.MINIFS('Player Rounds'!$AF$2:$AF$401,'Player Rounds'!$A$2:$A$401,$A37,'Player Rounds'!$B$2:$B$401,$B37,'Player Rounds'!$C$2:$C$401,$C37))))</f>
      </c>
      <c r="S37" t="e">
        <f>IF($A37="","",IF(COUNTIFS('Player Rounds'!$A$2:$A$401,$A37,'Player Rounds'!$B$2:$B$401,$B37,'Player Rounds'!$M$2:$M$401,"&gt;0")=0,"",SIGN(_xlfn.MINIFS('Player Rounds'!$AG$2:$AG$401,'Player Rounds'!$A$2:$A$401,$A37,'Player Rounds'!$B$2:$B$401,$B37,'Player Rounds'!$C$2:$C$401,$D37)-_xlfn.MINIFS('Player Rounds'!$AG$2:$AG$401,'Player Rounds'!$A$2:$A$401,$A37,'Player Rounds'!$B$2:$B$401,$B37,'Player Rounds'!$C$2:$C$401,$C37))))</f>
      </c>
      <c r="T37" t="e">
        <f>IF($A37="","",IF(COUNTIFS('Player Rounds'!$A$2:$A$401,$A37,'Player Rounds'!$B$2:$B$401,$B37,'Player Rounds'!$N$2:$N$401,"&gt;0")=0,"",SIGN(_xlfn.MINIFS('Player Rounds'!$AH$2:$AH$401,'Player Rounds'!$A$2:$A$401,$A37,'Player Rounds'!$B$2:$B$401,$B37,'Player Rounds'!$C$2:$C$401,$D37)-_xlfn.MINIFS('Player Rounds'!$AH$2:$AH$401,'Player Rounds'!$A$2:$A$401,$A37,'Player Rounds'!$B$2:$B$401,$B37,'Player Rounds'!$C$2:$C$401,$C37))))</f>
      </c>
      <c r="U37" t="e">
        <f>IF($A37="","",IF(COUNTIFS('Player Rounds'!$A$2:$A$401,$A37,'Player Rounds'!$B$2:$B$401,$B37,'Player Rounds'!$O$2:$O$401,"&gt;0")=0,"",SIGN(_xlfn.MINIFS('Player Rounds'!$AI$2:$AI$401,'Player Rounds'!$A$2:$A$401,$A37,'Player Rounds'!$B$2:$B$401,$B37,'Player Rounds'!$C$2:$C$401,$D37)-_xlfn.MINIFS('Player Rounds'!$AI$2:$AI$401,'Player Rounds'!$A$2:$A$401,$A37,'Player Rounds'!$B$2:$B$401,$B37,'Player Rounds'!$C$2:$C$401,$C37))))</f>
      </c>
      <c r="V37" t="e">
        <f>IF($A37="","",IF(COUNTIFS('Player Rounds'!$A$2:$A$401,$A37,'Player Rounds'!$B$2:$B$401,$B37,'Player Rounds'!$P$2:$P$401,"&gt;0")=0,"",SIGN(_xlfn.MINIFS('Player Rounds'!$AJ$2:$AJ$401,'Player Rounds'!$A$2:$A$401,$A37,'Player Rounds'!$B$2:$B$401,$B37,'Player Rounds'!$C$2:$C$401,$D37)-_xlfn.MINIFS('Player Rounds'!$AJ$2:$AJ$401,'Player Rounds'!$A$2:$A$401,$A37,'Player Rounds'!$B$2:$B$401,$B37,'Player Rounds'!$C$2:$C$401,$C37))))</f>
      </c>
      <c r="W37" t="e">
        <f>IF($A37="","",IF(COUNTIFS('Player Rounds'!$A$2:$A$401,$A37,'Player Rounds'!$B$2:$B$401,$B37,'Player Rounds'!$Q$2:$Q$401,"&gt;0")=0,"",SIGN(_xlfn.MINIFS('Player Rounds'!$AK$2:$AK$401,'Player Rounds'!$A$2:$A$401,$A37,'Player Rounds'!$B$2:$B$401,$B37,'Player Rounds'!$C$2:$C$401,$D37)-_xlfn.MINIFS('Player Rounds'!$AK$2:$AK$401,'Player Rounds'!$A$2:$A$401,$A37,'Player Rounds'!$B$2:$B$401,$B37,'Player Rounds'!$C$2:$C$401,$C37))))</f>
      </c>
      <c r="X37" t="e">
        <f>IF($A37="","",IF(COUNTIFS('Player Rounds'!$A$2:$A$401,$A37,'Player Rounds'!$B$2:$B$401,$B37,'Player Rounds'!$R$2:$R$401,"&gt;0")=0,"",SIGN(_xlfn.MINIFS('Player Rounds'!$AL$2:$AL$401,'Player Rounds'!$A$2:$A$401,$A37,'Player Rounds'!$B$2:$B$401,$B37,'Player Rounds'!$C$2:$C$401,$D37)-_xlfn.MINIFS('Player Rounds'!$AL$2:$AL$401,'Player Rounds'!$A$2:$A$401,$A37,'Player Rounds'!$B$2:$B$401,$B37,'Player Rounds'!$C$2:$C$401,$C37))))</f>
      </c>
      <c r="Y37" t="e">
        <f>IF($A37="","",IF(COUNTIFS('Player Rounds'!$A$2:$A$401,$A37,'Player Rounds'!$B$2:$B$401,$B37,'Player Rounds'!$S$2:$S$401,"&gt;0")=0,"",SIGN(_xlfn.MINIFS('Player Rounds'!$AM$2:$AM$401,'Player Rounds'!$A$2:$A$401,$A37,'Player Rounds'!$B$2:$B$401,$B37,'Player Rounds'!$C$2:$C$401,$D37)-_xlfn.MINIFS('Player Rounds'!$AM$2:$AM$401,'Player Rounds'!$A$2:$A$401,$A37,'Player Rounds'!$B$2:$B$401,$B37,'Player Rounds'!$C$2:$C$401,$C37))))</f>
      </c>
      <c r="Z37" t="e">
        <f>IF($A37="","",IF(COUNTIFS('Player Rounds'!$A$2:$A$401,$A37,'Player Rounds'!$B$2:$B$401,$B37,'Player Rounds'!$T$2:$T$401,"&gt;0")=0,"",SIGN(_xlfn.MINIFS('Player Rounds'!$AN$2:$AN$401,'Player Rounds'!$A$2:$A$401,$A37,'Player Rounds'!$B$2:$B$401,$B37,'Player Rounds'!$C$2:$C$401,$D37)-_xlfn.MINIFS('Player Rounds'!$AN$2:$AN$401,'Player Rounds'!$A$2:$A$401,$A37,'Player Rounds'!$B$2:$B$401,$B37,'Player Rounds'!$C$2:$C$401,$C37))))</f>
      </c>
      <c r="AA37" t="e">
        <f>IF($A37="","",IF(COUNTIFS('Player Rounds'!$A$2:$A$401,$A37,'Player Rounds'!$B$2:$B$401,$B37,'Player Rounds'!$U$2:$U$401,"&gt;0")=0,"",SIGN(_xlfn.MINIFS('Player Rounds'!$AO$2:$AO$401,'Player Rounds'!$A$2:$A$401,$A37,'Player Rounds'!$B$2:$B$401,$B37,'Player Rounds'!$C$2:$C$401,$D37)-_xlfn.MINIFS('Player Rounds'!$AO$2:$AO$401,'Player Rounds'!$A$2:$A$401,$A37,'Player Rounds'!$B$2:$B$401,$B37,'Player Rounds'!$C$2:$C$401,$C37))))</f>
      </c>
      <c r="AB37" t="e">
        <f>IF($A37="","",IF(COUNTIFS('Player Rounds'!$A$2:$A$401,$A37,'Player Rounds'!$B$2:$B$401,$B37,'Player Rounds'!$V$2:$V$401,"&gt;0")=0,"",SIGN(_xlfn.MINIFS('Player Rounds'!$AP$2:$AP$401,'Player Rounds'!$A$2:$A$401,$A37,'Player Rounds'!$B$2:$B$401,$B37,'Player Rounds'!$C$2:$C$401,$D37)-_xlfn.MINIFS('Player Rounds'!$AP$2:$AP$401,'Player Rounds'!$A$2:$A$401,$A37,'Player Rounds'!$B$2:$B$401,$B37,'Player Rounds'!$C$2:$C$401,$C37))))</f>
      </c>
      <c r="AC37" t="e">
        <f>IF($A37="","",IF(COUNTIFS('Player Rounds'!$A$2:$A$401,$A37,'Player Rounds'!$B$2:$B$401,$B37,'Player Rounds'!$W$2:$W$401,"&gt;0")=0,"",SIGN(_xlfn.MINIFS('Player Rounds'!$AQ$2:$AQ$401,'Player Rounds'!$A$2:$A$401,$A37,'Player Rounds'!$B$2:$B$401,$B37,'Player Rounds'!$C$2:$C$401,$D37)-_xlfn.MINIFS('Player Rounds'!$AQ$2:$AQ$401,'Player Rounds'!$A$2:$A$401,$A37,'Player Rounds'!$B$2:$B$401,$B37,'Player Rounds'!$C$2:$C$401,$C37))))</f>
      </c>
      <c r="AD37" t="e">
        <f>IF($A37="","",SUM($L37:L37))</f>
      </c>
      <c r="AE37" t="e">
        <f>IF($A37="","",SUM($L37:M37))</f>
      </c>
      <c r="AF37" t="e">
        <f>IF($A37="","",SUM($L37:N37))</f>
      </c>
      <c r="AG37" t="e">
        <f>IF($A37="","",SUM($L37:O37))</f>
      </c>
      <c r="AH37" t="e">
        <f>IF($A37="","",SUM($L37:P37))</f>
      </c>
      <c r="AI37" t="e">
        <f>IF($A37="","",SUM($L37:Q37))</f>
      </c>
      <c r="AJ37" t="e">
        <f>IF($A37="","",SUM($L37:R37))</f>
      </c>
      <c r="AK37" t="e">
        <f>IF($A37="","",SUM($L37:S37))</f>
      </c>
      <c r="AL37" t="e">
        <f>IF($A37="","",SUM($L37:T37))</f>
      </c>
      <c r="AM37" t="e">
        <f>IF($A37="","",SUM($L37:U37))</f>
      </c>
      <c r="AN37" t="e">
        <f>IF($A37="","",SUM($L37:V37))</f>
      </c>
      <c r="AO37" t="e">
        <f>IF($A37="","",SUM($L37:W37))</f>
      </c>
      <c r="AP37" t="e">
        <f>IF($A37="","",SUM($L37:X37))</f>
      </c>
      <c r="AQ37" t="e">
        <f>IF($A37="","",SUM($L37:Y37))</f>
      </c>
      <c r="AR37" t="e">
        <f>IF($A37="","",SUM($L37:Z37))</f>
      </c>
      <c r="AS37" t="e">
        <f>IF($A37="","",SUM($L37:AA37))</f>
      </c>
      <c r="AT37" t="e">
        <f>IF($A37="","",SUM($L37:AB37))</f>
      </c>
      <c r="AU37" t="e">
        <f>IF($A37="","",SUM($L37:AC37))</f>
      </c>
      <c r="AV37" t="e">
        <f>IF(OR($A37="",L37=""),"",IF(ABS(AD37)&gt;17,1,""))</f>
      </c>
      <c r="AW37" t="e">
        <f>IF(OR($A37="",M37=""),"",IF(ABS(AE37)&gt;16,2,""))</f>
      </c>
      <c r="AX37" t="e">
        <f>IF(OR($A37="",N37=""),"",IF(ABS(AF37)&gt;15,3,""))</f>
      </c>
      <c r="AY37" t="e">
        <f>IF(OR($A37="",O37=""),"",IF(ABS(AG37)&gt;14,4,""))</f>
      </c>
      <c r="AZ37" t="e">
        <f>IF(OR($A37="",P37=""),"",IF(ABS(AH37)&gt;13,5,""))</f>
      </c>
      <c r="BA37" t="e">
        <f>IF(OR($A37="",Q37=""),"",IF(ABS(AI37)&gt;12,6,""))</f>
      </c>
      <c r="BB37" t="e">
        <f>IF(OR($A37="",R37=""),"",IF(ABS(AJ37)&gt;11,7,""))</f>
      </c>
      <c r="BC37" t="e">
        <f>IF(OR($A37="",S37=""),"",IF(ABS(AK37)&gt;10,8,""))</f>
      </c>
      <c r="BD37" t="e">
        <f>IF(OR($A37="",T37=""),"",IF(ABS(AL37)&gt;9,9,""))</f>
      </c>
      <c r="BE37" t="e">
        <f>IF(OR($A37="",U37=""),"",IF(ABS(AM37)&gt;8,10,""))</f>
      </c>
      <c r="BF37" t="e">
        <f>IF(OR($A37="",V37=""),"",IF(ABS(AN37)&gt;7,11,""))</f>
      </c>
      <c r="BG37" t="e">
        <f>IF(OR($A37="",W37=""),"",IF(ABS(AO37)&gt;6,12,""))</f>
      </c>
      <c r="BH37" t="e">
        <f>IF(OR($A37="",X37=""),"",IF(ABS(AP37)&gt;5,13,""))</f>
      </c>
      <c r="BI37" t="e">
        <f>IF(OR($A37="",Y37=""),"",IF(ABS(AQ37)&gt;4,14,""))</f>
      </c>
      <c r="BJ37" t="e">
        <f>IF(OR($A37="",Z37=""),"",IF(ABS(AR37)&gt;3,15,""))</f>
      </c>
      <c r="BK37" t="e">
        <f>IF(OR($A37="",AA37=""),"",IF(ABS(AS37)&gt;2,16,""))</f>
      </c>
      <c r="BL37" t="e">
        <f>IF(OR($A37="",AB37=""),"",IF(ABS(AT37)&gt;1,17,""))</f>
      </c>
      <c r="BM37" t="e">
        <f>IF(OR($A37="",AC37=""),"",IF(ABS(AU37)&gt;0,18,""))</f>
      </c>
    </row>
    <row r="38">
      <c r="C38" t="str">
        <f>IF($A38="","",INDEX('Tournament Setup'!$J:$J,MATCH($A38,'Tournament Setup'!$A:$A,0)))</f>
        <v/>
      </c>
      <c r="D38" t="str">
        <f>IF($A38="","",INDEX('Tournament Setup'!$K:$K,MATCH($A38,'Tournament Setup'!$A:$A,0)))</f>
        <v/>
      </c>
      <c r="E38" t="str">
        <f>IF($A38="","",IF(COUNT(L38:AC38)=0,"Not played",IF(AND($K38&gt;0,$K38&lt;18),IF(INDEX(AD38:AU38,1,$K38)&gt;0,$C38,$D38)&amp;" "&amp;ABS(INDEX(AD38:AU38,1,$K38))&amp;"&amp;"&amp;(18-$K38),IF($J38=0,"Halved (AS)",IF($J38&gt;0,$C38,$D38)&amp;" "&amp;ABS($J38)&amp;" UP"))))</f>
        <v/>
      </c>
      <c r="F38" t="e">
        <f>IF(OR($A38="",COUNT(L38:AC38)=0),"",INDEX('Tournament Setup'!$I:$I,MATCH($A38,'Tournament Setup'!$A:$A,0))*IF(INDEX('Tournament Setup'!$H:$H,MATCH($A38,'Tournament Setup'!$A:$A,0))="Yes",IF($H38&gt;0,1,IF($H38=0,0.5,0))+IF($I38&gt;0,1,IF($I38=0,0.5,0))+IF($J38&gt;0,1,IF($J38=0,0.5,0)),IF(IF(AND($K38&gt;0,$K38&lt;18),INDEX(AD38:AU38,1,$K38),$J38)&gt;0,1,IF(IF(AND($K38&gt;0,$K38&lt;18),INDEX(AD38:AU38,1,$K38),$J38)=0,0.5,0))))</f>
      </c>
      <c r="G38" t="e">
        <f>IF(OR($A38="",COUNT(L38:AC38)=0),"",INDEX('Tournament Setup'!$I:$I,MATCH($A38,'Tournament Setup'!$A:$A,0))*IF(INDEX('Tournament Setup'!$H:$H,MATCH($A38,'Tournament Setup'!$A:$A,0))="Yes",IF($H38&lt;0,1,IF($H38=0,0.5,0))+IF($I38&lt;0,1,IF($I38=0,0.5,0))+IF($J38&lt;0,1,IF($J38=0,0.5,0)),IF(IF(AND($K38&gt;0,$K38&lt;18),INDEX(AD38:AU38,1,$K38),$J38)&lt;0,1,IF(IF(AND($K38&gt;0,$K38&lt;18),INDEX(AD38:AU38,1,$K38),$J38)=0,0.5,0))))</f>
      </c>
      <c r="H38" t="e">
        <f>IF($A38="","",SUM(L38:T38))</f>
      </c>
      <c r="I38" t="e">
        <f>IF($A38="","",SUM(U38:AC38))</f>
      </c>
      <c r="J38" t="e">
        <f>IF($A38="","",SUM(L38:AC38))</f>
      </c>
      <c r="K38" t="e">
        <f>IF($A38="","",MIN(AV38:BM38))</f>
      </c>
      <c r="L38" t="e">
        <f>IF($A38="","",IF(COUNTIFS('Player Rounds'!$A$2:$A$401,$A38,'Player Rounds'!$B$2:$B$401,$B38,'Player Rounds'!$F$2:$F$401,"&gt;0")=0,"",SIGN(_xlfn.MINIFS('Player Rounds'!$Z$2:$Z$401,'Player Rounds'!$A$2:$A$401,$A38,'Player Rounds'!$B$2:$B$401,$B38,'Player Rounds'!$C$2:$C$401,$D38)-_xlfn.MINIFS('Player Rounds'!$Z$2:$Z$401,'Player Rounds'!$A$2:$A$401,$A38,'Player Rounds'!$B$2:$B$401,$B38,'Player Rounds'!$C$2:$C$401,$C38))))</f>
      </c>
      <c r="M38" t="e">
        <f>IF($A38="","",IF(COUNTIFS('Player Rounds'!$A$2:$A$401,$A38,'Player Rounds'!$B$2:$B$401,$B38,'Player Rounds'!$G$2:$G$401,"&gt;0")=0,"",SIGN(_xlfn.MINIFS('Player Rounds'!$AA$2:$AA$401,'Player Rounds'!$A$2:$A$401,$A38,'Player Rounds'!$B$2:$B$401,$B38,'Player Rounds'!$C$2:$C$401,$D38)-_xlfn.MINIFS('Player Rounds'!$AA$2:$AA$401,'Player Rounds'!$A$2:$A$401,$A38,'Player Rounds'!$B$2:$B$401,$B38,'Player Rounds'!$C$2:$C$401,$C38))))</f>
      </c>
      <c r="N38" t="e">
        <f>IF($A38="","",IF(COUNTIFS('Player Rounds'!$A$2:$A$401,$A38,'Player Rounds'!$B$2:$B$401,$B38,'Player Rounds'!$H$2:$H$401,"&gt;0")=0,"",SIGN(_xlfn.MINIFS('Player Rounds'!$AB$2:$AB$401,'Player Rounds'!$A$2:$A$401,$A38,'Player Rounds'!$B$2:$B$401,$B38,'Player Rounds'!$C$2:$C$401,$D38)-_xlfn.MINIFS('Player Rounds'!$AB$2:$AB$401,'Player Rounds'!$A$2:$A$401,$A38,'Player Rounds'!$B$2:$B$401,$B38,'Player Rounds'!$C$2:$C$401,$C38))))</f>
      </c>
      <c r="O38" t="e">
        <f>IF($A38="","",IF(COUNTIFS('Player Rounds'!$A$2:$A$401,$A38,'Player Rounds'!$B$2:$B$401,$B38,'Player Rounds'!$I$2:$I$401,"&gt;0")=0,"",SIGN(_xlfn.MINIFS('Player Rounds'!$AC$2:$AC$401,'Player Rounds'!$A$2:$A$401,$A38,'Player Rounds'!$B$2:$B$401,$B38,'Player Rounds'!$C$2:$C$401,$D38)-_xlfn.MINIFS('Player Rounds'!$AC$2:$AC$401,'Player Rounds'!$A$2:$A$401,$A38,'Player Rounds'!$B$2:$B$401,$B38,'Player Rounds'!$C$2:$C$401,$C38))))</f>
      </c>
      <c r="P38" t="e">
        <f>IF($A38="","",IF(COUNTIFS('Player Rounds'!$A$2:$A$401,$A38,'Player Rounds'!$B$2:$B$401,$B38,'Player Rounds'!$J$2:$J$401,"&gt;0")=0,"",SIGN(_xlfn.MINIFS('Player Rounds'!$AD$2:$AD$401,'Player Rounds'!$A$2:$A$401,$A38,'Player Rounds'!$B$2:$B$401,$B38,'Player Rounds'!$C$2:$C$401,$D38)-_xlfn.MINIFS('Player Rounds'!$AD$2:$AD$401,'Player Rounds'!$A$2:$A$401,$A38,'Player Rounds'!$B$2:$B$401,$B38,'Player Rounds'!$C$2:$C$401,$C38))))</f>
      </c>
      <c r="Q38" t="e">
        <f>IF($A38="","",IF(COUNTIFS('Player Rounds'!$A$2:$A$401,$A38,'Player Rounds'!$B$2:$B$401,$B38,'Player Rounds'!$K$2:$K$401,"&gt;0")=0,"",SIGN(_xlfn.MINIFS('Player Rounds'!$AE$2:$AE$401,'Player Rounds'!$A$2:$A$401,$A38,'Player Rounds'!$B$2:$B$401,$B38,'Player Rounds'!$C$2:$C$401,$D38)-_xlfn.MINIFS('Player Rounds'!$AE$2:$AE$401,'Player Rounds'!$A$2:$A$401,$A38,'Player Rounds'!$B$2:$B$401,$B38,'Player Rounds'!$C$2:$C$401,$C38))))</f>
      </c>
      <c r="R38" t="e">
        <f>IF($A38="","",IF(COUNTIFS('Player Rounds'!$A$2:$A$401,$A38,'Player Rounds'!$B$2:$B$401,$B38,'Player Rounds'!$L$2:$L$401,"&gt;0")=0,"",SIGN(_xlfn.MINIFS('Player Rounds'!$AF$2:$AF$401,'Player Rounds'!$A$2:$A$401,$A38,'Player Rounds'!$B$2:$B$401,$B38,'Player Rounds'!$C$2:$C$401,$D38)-_xlfn.MINIFS('Player Rounds'!$AF$2:$AF$401,'Player Rounds'!$A$2:$A$401,$A38,'Player Rounds'!$B$2:$B$401,$B38,'Player Rounds'!$C$2:$C$401,$C38))))</f>
      </c>
      <c r="S38" t="e">
        <f>IF($A38="","",IF(COUNTIFS('Player Rounds'!$A$2:$A$401,$A38,'Player Rounds'!$B$2:$B$401,$B38,'Player Rounds'!$M$2:$M$401,"&gt;0")=0,"",SIGN(_xlfn.MINIFS('Player Rounds'!$AG$2:$AG$401,'Player Rounds'!$A$2:$A$401,$A38,'Player Rounds'!$B$2:$B$401,$B38,'Player Rounds'!$C$2:$C$401,$D38)-_xlfn.MINIFS('Player Rounds'!$AG$2:$AG$401,'Player Rounds'!$A$2:$A$401,$A38,'Player Rounds'!$B$2:$B$401,$B38,'Player Rounds'!$C$2:$C$401,$C38))))</f>
      </c>
      <c r="T38" t="e">
        <f>IF($A38="","",IF(COUNTIFS('Player Rounds'!$A$2:$A$401,$A38,'Player Rounds'!$B$2:$B$401,$B38,'Player Rounds'!$N$2:$N$401,"&gt;0")=0,"",SIGN(_xlfn.MINIFS('Player Rounds'!$AH$2:$AH$401,'Player Rounds'!$A$2:$A$401,$A38,'Player Rounds'!$B$2:$B$401,$B38,'Player Rounds'!$C$2:$C$401,$D38)-_xlfn.MINIFS('Player Rounds'!$AH$2:$AH$401,'Player Rounds'!$A$2:$A$401,$A38,'Player Rounds'!$B$2:$B$401,$B38,'Player Rounds'!$C$2:$C$401,$C38))))</f>
      </c>
      <c r="U38" t="e">
        <f>IF($A38="","",IF(COUNTIFS('Player Rounds'!$A$2:$A$401,$A38,'Player Rounds'!$B$2:$B$401,$B38,'Player Rounds'!$O$2:$O$401,"&gt;0")=0,"",SIGN(_xlfn.MINIFS('Player Rounds'!$AI$2:$AI$401,'Player Rounds'!$A$2:$A$401,$A38,'Player Rounds'!$B$2:$B$401,$B38,'Player Rounds'!$C$2:$C$401,$D38)-_xlfn.MINIFS('Player Rounds'!$AI$2:$AI$401,'Player Rounds'!$A$2:$A$401,$A38,'Player Rounds'!$B$2:$B$401,$B38,'Player Rounds'!$C$2:$C$401,$C38))))</f>
      </c>
      <c r="V38" t="e">
        <f>IF($A38="","",IF(COUNTIFS('Player Rounds'!$A$2:$A$401,$A38,'Player Rounds'!$B$2:$B$401,$B38,'Player Rounds'!$P$2:$P$401,"&gt;0")=0,"",SIGN(_xlfn.MINIFS('Player Rounds'!$AJ$2:$AJ$401,'Player Rounds'!$A$2:$A$401,$A38,'Player Rounds'!$B$2:$B$401,$B38,'Player Rounds'!$C$2:$C$401,$D38)-_xlfn.MINIFS('Player Rounds'!$AJ$2:$AJ$401,'Player Rounds'!$A$2:$A$401,$A38,'Player Rounds'!$B$2:$B$401,$B38,'Player Rounds'!$C$2:$C$401,$C38))))</f>
      </c>
      <c r="W38" t="e">
        <f>IF($A38="","",IF(COUNTIFS('Player Rounds'!$A$2:$A$401,$A38,'Player Rounds'!$B$2:$B$401,$B38,'Player Rounds'!$Q$2:$Q$401,"&gt;0")=0,"",SIGN(_xlfn.MINIFS('Player Rounds'!$AK$2:$AK$401,'Player Rounds'!$A$2:$A$401,$A38,'Player Rounds'!$B$2:$B$401,$B38,'Player Rounds'!$C$2:$C$401,$D38)-_xlfn.MINIFS('Player Rounds'!$AK$2:$AK$401,'Player Rounds'!$A$2:$A$401,$A38,'Player Rounds'!$B$2:$B$401,$B38,'Player Rounds'!$C$2:$C$401,$C38))))</f>
      </c>
      <c r="X38" t="e">
        <f>IF($A38="","",IF(COUNTIFS('Player Rounds'!$A$2:$A$401,$A38,'Player Rounds'!$B$2:$B$401,$B38,'Player Rounds'!$R$2:$R$401,"&gt;0")=0,"",SIGN(_xlfn.MINIFS('Player Rounds'!$AL$2:$AL$401,'Player Rounds'!$A$2:$A$401,$A38,'Player Rounds'!$B$2:$B$401,$B38,'Player Rounds'!$C$2:$C$401,$D38)-_xlfn.MINIFS('Player Rounds'!$AL$2:$AL$401,'Player Rounds'!$A$2:$A$401,$A38,'Player Rounds'!$B$2:$B$401,$B38,'Player Rounds'!$C$2:$C$401,$C38))))</f>
      </c>
      <c r="Y38" t="e">
        <f>IF($A38="","",IF(COUNTIFS('Player Rounds'!$A$2:$A$401,$A38,'Player Rounds'!$B$2:$B$401,$B38,'Player Rounds'!$S$2:$S$401,"&gt;0")=0,"",SIGN(_xlfn.MINIFS('Player Rounds'!$AM$2:$AM$401,'Player Rounds'!$A$2:$A$401,$A38,'Player Rounds'!$B$2:$B$401,$B38,'Player Rounds'!$C$2:$C$401,$D38)-_xlfn.MINIFS('Player Rounds'!$AM$2:$AM$401,'Player Rounds'!$A$2:$A$401,$A38,'Player Rounds'!$B$2:$B$401,$B38,'Player Rounds'!$C$2:$C$401,$C38))))</f>
      </c>
      <c r="Z38" t="e">
        <f>IF($A38="","",IF(COUNTIFS('Player Rounds'!$A$2:$A$401,$A38,'Player Rounds'!$B$2:$B$401,$B38,'Player Rounds'!$T$2:$T$401,"&gt;0")=0,"",SIGN(_xlfn.MINIFS('Player Rounds'!$AN$2:$AN$401,'Player Rounds'!$A$2:$A$401,$A38,'Player Rounds'!$B$2:$B$401,$B38,'Player Rounds'!$C$2:$C$401,$D38)-_xlfn.MINIFS('Player Rounds'!$AN$2:$AN$401,'Player Rounds'!$A$2:$A$401,$A38,'Player Rounds'!$B$2:$B$401,$B38,'Player Rounds'!$C$2:$C$401,$C38))))</f>
      </c>
      <c r="AA38" t="e">
        <f>IF($A38="","",IF(COUNTIFS('Player Rounds'!$A$2:$A$401,$A38,'Player Rounds'!$B$2:$B$401,$B38,'Player Rounds'!$U$2:$U$401,"&gt;0")=0,"",SIGN(_xlfn.MINIFS('Player Rounds'!$AO$2:$AO$401,'Player Rounds'!$A$2:$A$401,$A38,'Player Rounds'!$B$2:$B$401,$B38,'Player Rounds'!$C$2:$C$401,$D38)-_xlfn.MINIFS('Player Rounds'!$AO$2:$AO$401,'Player Rounds'!$A$2:$A$401,$A38,'Player Rounds'!$B$2:$B$401,$B38,'Player Rounds'!$C$2:$C$401,$C38))))</f>
      </c>
      <c r="AB38" t="e">
        <f>IF($A38="","",IF(COUNTIFS('Player Rounds'!$A$2:$A$401,$A38,'Player Rounds'!$B$2:$B$401,$B38,'Player Rounds'!$V$2:$V$401,"&gt;0")=0,"",SIGN(_xlfn.MINIFS('Player Rounds'!$AP$2:$AP$401,'Player Rounds'!$A$2:$A$401,$A38,'Player Rounds'!$B$2:$B$401,$B38,'Player Rounds'!$C$2:$C$401,$D38)-_xlfn.MINIFS('Player Rounds'!$AP$2:$AP$401,'Player Rounds'!$A$2:$A$401,$A38,'Player Rounds'!$B$2:$B$401,$B38,'Player Rounds'!$C$2:$C$401,$C38))))</f>
      </c>
      <c r="AC38" t="e">
        <f>IF($A38="","",IF(COUNTIFS('Player Rounds'!$A$2:$A$401,$A38,'Player Rounds'!$B$2:$B$401,$B38,'Player Rounds'!$W$2:$W$401,"&gt;0")=0,"",SIGN(_xlfn.MINIFS('Player Rounds'!$AQ$2:$AQ$401,'Player Rounds'!$A$2:$A$401,$A38,'Player Rounds'!$B$2:$B$401,$B38,'Player Rounds'!$C$2:$C$401,$D38)-_xlfn.MINIFS('Player Rounds'!$AQ$2:$AQ$401,'Player Rounds'!$A$2:$A$401,$A38,'Player Rounds'!$B$2:$B$401,$B38,'Player Rounds'!$C$2:$C$401,$C38))))</f>
      </c>
      <c r="AD38" t="e">
        <f>IF($A38="","",SUM($L38:L38))</f>
      </c>
      <c r="AE38" t="e">
        <f>IF($A38="","",SUM($L38:M38))</f>
      </c>
      <c r="AF38" t="e">
        <f>IF($A38="","",SUM($L38:N38))</f>
      </c>
      <c r="AG38" t="e">
        <f>IF($A38="","",SUM($L38:O38))</f>
      </c>
      <c r="AH38" t="e">
        <f>IF($A38="","",SUM($L38:P38))</f>
      </c>
      <c r="AI38" t="e">
        <f>IF($A38="","",SUM($L38:Q38))</f>
      </c>
      <c r="AJ38" t="e">
        <f>IF($A38="","",SUM($L38:R38))</f>
      </c>
      <c r="AK38" t="e">
        <f>IF($A38="","",SUM($L38:S38))</f>
      </c>
      <c r="AL38" t="e">
        <f>IF($A38="","",SUM($L38:T38))</f>
      </c>
      <c r="AM38" t="e">
        <f>IF($A38="","",SUM($L38:U38))</f>
      </c>
      <c r="AN38" t="e">
        <f>IF($A38="","",SUM($L38:V38))</f>
      </c>
      <c r="AO38" t="e">
        <f>IF($A38="","",SUM($L38:W38))</f>
      </c>
      <c r="AP38" t="e">
        <f>IF($A38="","",SUM($L38:X38))</f>
      </c>
      <c r="AQ38" t="e">
        <f>IF($A38="","",SUM($L38:Y38))</f>
      </c>
      <c r="AR38" t="e">
        <f>IF($A38="","",SUM($L38:Z38))</f>
      </c>
      <c r="AS38" t="e">
        <f>IF($A38="","",SUM($L38:AA38))</f>
      </c>
      <c r="AT38" t="e">
        <f>IF($A38="","",SUM($L38:AB38))</f>
      </c>
      <c r="AU38" t="e">
        <f>IF($A38="","",SUM($L38:AC38))</f>
      </c>
      <c r="AV38" t="e">
        <f>IF(OR($A38="",L38=""),"",IF(ABS(AD38)&gt;17,1,""))</f>
      </c>
      <c r="AW38" t="e">
        <f>IF(OR($A38="",M38=""),"",IF(ABS(AE38)&gt;16,2,""))</f>
      </c>
      <c r="AX38" t="e">
        <f>IF(OR($A38="",N38=""),"",IF(ABS(AF38)&gt;15,3,""))</f>
      </c>
      <c r="AY38" t="e">
        <f>IF(OR($A38="",O38=""),"",IF(ABS(AG38)&gt;14,4,""))</f>
      </c>
      <c r="AZ38" t="e">
        <f>IF(OR($A38="",P38=""),"",IF(ABS(AH38)&gt;13,5,""))</f>
      </c>
      <c r="BA38" t="e">
        <f>IF(OR($A38="",Q38=""),"",IF(ABS(AI38)&gt;12,6,""))</f>
      </c>
      <c r="BB38" t="e">
        <f>IF(OR($A38="",R38=""),"",IF(ABS(AJ38)&gt;11,7,""))</f>
      </c>
      <c r="BC38" t="e">
        <f>IF(OR($A38="",S38=""),"",IF(ABS(AK38)&gt;10,8,""))</f>
      </c>
      <c r="BD38" t="e">
        <f>IF(OR($A38="",T38=""),"",IF(ABS(AL38)&gt;9,9,""))</f>
      </c>
      <c r="BE38" t="e">
        <f>IF(OR($A38="",U38=""),"",IF(ABS(AM38)&gt;8,10,""))</f>
      </c>
      <c r="BF38" t="e">
        <f>IF(OR($A38="",V38=""),"",IF(ABS(AN38)&gt;7,11,""))</f>
      </c>
      <c r="BG38" t="e">
        <f>IF(OR($A38="",W38=""),"",IF(ABS(AO38)&gt;6,12,""))</f>
      </c>
      <c r="BH38" t="e">
        <f>IF(OR($A38="",X38=""),"",IF(ABS(AP38)&gt;5,13,""))</f>
      </c>
      <c r="BI38" t="e">
        <f>IF(OR($A38="",Y38=""),"",IF(ABS(AQ38)&gt;4,14,""))</f>
      </c>
      <c r="BJ38" t="e">
        <f>IF(OR($A38="",Z38=""),"",IF(ABS(AR38)&gt;3,15,""))</f>
      </c>
      <c r="BK38" t="e">
        <f>IF(OR($A38="",AA38=""),"",IF(ABS(AS38)&gt;2,16,""))</f>
      </c>
      <c r="BL38" t="e">
        <f>IF(OR($A38="",AB38=""),"",IF(ABS(AT38)&gt;1,17,""))</f>
      </c>
      <c r="BM38" t="e">
        <f>IF(OR($A38="",AC38=""),"",IF(ABS(AU38)&gt;0,18,""))</f>
      </c>
    </row>
    <row r="39">
      <c r="C39" t="str">
        <f>IF($A39="","",INDEX('Tournament Setup'!$J:$J,MATCH($A39,'Tournament Setup'!$A:$A,0)))</f>
        <v/>
      </c>
      <c r="D39" t="str">
        <f>IF($A39="","",INDEX('Tournament Setup'!$K:$K,MATCH($A39,'Tournament Setup'!$A:$A,0)))</f>
        <v/>
      </c>
      <c r="E39" t="str">
        <f>IF($A39="","",IF(COUNT(L39:AC39)=0,"Not played",IF(AND($K39&gt;0,$K39&lt;18),IF(INDEX(AD39:AU39,1,$K39)&gt;0,$C39,$D39)&amp;" "&amp;ABS(INDEX(AD39:AU39,1,$K39))&amp;"&amp;"&amp;(18-$K39),IF($J39=0,"Halved (AS)",IF($J39&gt;0,$C39,$D39)&amp;" "&amp;ABS($J39)&amp;" UP"))))</f>
        <v/>
      </c>
      <c r="F39" t="e">
        <f>IF(OR($A39="",COUNT(L39:AC39)=0),"",INDEX('Tournament Setup'!$I:$I,MATCH($A39,'Tournament Setup'!$A:$A,0))*IF(INDEX('Tournament Setup'!$H:$H,MATCH($A39,'Tournament Setup'!$A:$A,0))="Yes",IF($H39&gt;0,1,IF($H39=0,0.5,0))+IF($I39&gt;0,1,IF($I39=0,0.5,0))+IF($J39&gt;0,1,IF($J39=0,0.5,0)),IF(IF(AND($K39&gt;0,$K39&lt;18),INDEX(AD39:AU39,1,$K39),$J39)&gt;0,1,IF(IF(AND($K39&gt;0,$K39&lt;18),INDEX(AD39:AU39,1,$K39),$J39)=0,0.5,0))))</f>
      </c>
      <c r="G39" t="e">
        <f>IF(OR($A39="",COUNT(L39:AC39)=0),"",INDEX('Tournament Setup'!$I:$I,MATCH($A39,'Tournament Setup'!$A:$A,0))*IF(INDEX('Tournament Setup'!$H:$H,MATCH($A39,'Tournament Setup'!$A:$A,0))="Yes",IF($H39&lt;0,1,IF($H39=0,0.5,0))+IF($I39&lt;0,1,IF($I39=0,0.5,0))+IF($J39&lt;0,1,IF($J39=0,0.5,0)),IF(IF(AND($K39&gt;0,$K39&lt;18),INDEX(AD39:AU39,1,$K39),$J39)&lt;0,1,IF(IF(AND($K39&gt;0,$K39&lt;18),INDEX(AD39:AU39,1,$K39),$J39)=0,0.5,0))))</f>
      </c>
      <c r="H39" t="e">
        <f>IF($A39="","",SUM(L39:T39))</f>
      </c>
      <c r="I39" t="e">
        <f>IF($A39="","",SUM(U39:AC39))</f>
      </c>
      <c r="J39" t="e">
        <f>IF($A39="","",SUM(L39:AC39))</f>
      </c>
      <c r="K39" t="e">
        <f>IF($A39="","",MIN(AV39:BM39))</f>
      </c>
      <c r="L39" t="e">
        <f>IF($A39="","",IF(COUNTIFS('Player Rounds'!$A$2:$A$401,$A39,'Player Rounds'!$B$2:$B$401,$B39,'Player Rounds'!$F$2:$F$401,"&gt;0")=0,"",SIGN(_xlfn.MINIFS('Player Rounds'!$Z$2:$Z$401,'Player Rounds'!$A$2:$A$401,$A39,'Player Rounds'!$B$2:$B$401,$B39,'Player Rounds'!$C$2:$C$401,$D39)-_xlfn.MINIFS('Player Rounds'!$Z$2:$Z$401,'Player Rounds'!$A$2:$A$401,$A39,'Player Rounds'!$B$2:$B$401,$B39,'Player Rounds'!$C$2:$C$401,$C39))))</f>
      </c>
      <c r="M39" t="e">
        <f>IF($A39="","",IF(COUNTIFS('Player Rounds'!$A$2:$A$401,$A39,'Player Rounds'!$B$2:$B$401,$B39,'Player Rounds'!$G$2:$G$401,"&gt;0")=0,"",SIGN(_xlfn.MINIFS('Player Rounds'!$AA$2:$AA$401,'Player Rounds'!$A$2:$A$401,$A39,'Player Rounds'!$B$2:$B$401,$B39,'Player Rounds'!$C$2:$C$401,$D39)-_xlfn.MINIFS('Player Rounds'!$AA$2:$AA$401,'Player Rounds'!$A$2:$A$401,$A39,'Player Rounds'!$B$2:$B$401,$B39,'Player Rounds'!$C$2:$C$401,$C39))))</f>
      </c>
      <c r="N39" t="e">
        <f>IF($A39="","",IF(COUNTIFS('Player Rounds'!$A$2:$A$401,$A39,'Player Rounds'!$B$2:$B$401,$B39,'Player Rounds'!$H$2:$H$401,"&gt;0")=0,"",SIGN(_xlfn.MINIFS('Player Rounds'!$AB$2:$AB$401,'Player Rounds'!$A$2:$A$401,$A39,'Player Rounds'!$B$2:$B$401,$B39,'Player Rounds'!$C$2:$C$401,$D39)-_xlfn.MINIFS('Player Rounds'!$AB$2:$AB$401,'Player Rounds'!$A$2:$A$401,$A39,'Player Rounds'!$B$2:$B$401,$B39,'Player Rounds'!$C$2:$C$401,$C39))))</f>
      </c>
      <c r="O39" t="e">
        <f>IF($A39="","",IF(COUNTIFS('Player Rounds'!$A$2:$A$401,$A39,'Player Rounds'!$B$2:$B$401,$B39,'Player Rounds'!$I$2:$I$401,"&gt;0")=0,"",SIGN(_xlfn.MINIFS('Player Rounds'!$AC$2:$AC$401,'Player Rounds'!$A$2:$A$401,$A39,'Player Rounds'!$B$2:$B$401,$B39,'Player Rounds'!$C$2:$C$401,$D39)-_xlfn.MINIFS('Player Rounds'!$AC$2:$AC$401,'Player Rounds'!$A$2:$A$401,$A39,'Player Rounds'!$B$2:$B$401,$B39,'Player Rounds'!$C$2:$C$401,$C39))))</f>
      </c>
      <c r="P39" t="e">
        <f>IF($A39="","",IF(COUNTIFS('Player Rounds'!$A$2:$A$401,$A39,'Player Rounds'!$B$2:$B$401,$B39,'Player Rounds'!$J$2:$J$401,"&gt;0")=0,"",SIGN(_xlfn.MINIFS('Player Rounds'!$AD$2:$AD$401,'Player Rounds'!$A$2:$A$401,$A39,'Player Rounds'!$B$2:$B$401,$B39,'Player Rounds'!$C$2:$C$401,$D39)-_xlfn.MINIFS('Player Rounds'!$AD$2:$AD$401,'Player Rounds'!$A$2:$A$401,$A39,'Player Rounds'!$B$2:$B$401,$B39,'Player Rounds'!$C$2:$C$401,$C39))))</f>
      </c>
      <c r="Q39" t="e">
        <f>IF($A39="","",IF(COUNTIFS('Player Rounds'!$A$2:$A$401,$A39,'Player Rounds'!$B$2:$B$401,$B39,'Player Rounds'!$K$2:$K$401,"&gt;0")=0,"",SIGN(_xlfn.MINIFS('Player Rounds'!$AE$2:$AE$401,'Player Rounds'!$A$2:$A$401,$A39,'Player Rounds'!$B$2:$B$401,$B39,'Player Rounds'!$C$2:$C$401,$D39)-_xlfn.MINIFS('Player Rounds'!$AE$2:$AE$401,'Player Rounds'!$A$2:$A$401,$A39,'Player Rounds'!$B$2:$B$401,$B39,'Player Rounds'!$C$2:$C$401,$C39))))</f>
      </c>
      <c r="R39" t="e">
        <f>IF($A39="","",IF(COUNTIFS('Player Rounds'!$A$2:$A$401,$A39,'Player Rounds'!$B$2:$B$401,$B39,'Player Rounds'!$L$2:$L$401,"&gt;0")=0,"",SIGN(_xlfn.MINIFS('Player Rounds'!$AF$2:$AF$401,'Player Rounds'!$A$2:$A$401,$A39,'Player Rounds'!$B$2:$B$401,$B39,'Player Rounds'!$C$2:$C$401,$D39)-_xlfn.MINIFS('Player Rounds'!$AF$2:$AF$401,'Player Rounds'!$A$2:$A$401,$A39,'Player Rounds'!$B$2:$B$401,$B39,'Player Rounds'!$C$2:$C$401,$C39))))</f>
      </c>
      <c r="S39" t="e">
        <f>IF($A39="","",IF(COUNTIFS('Player Rounds'!$A$2:$A$401,$A39,'Player Rounds'!$B$2:$B$401,$B39,'Player Rounds'!$M$2:$M$401,"&gt;0")=0,"",SIGN(_xlfn.MINIFS('Player Rounds'!$AG$2:$AG$401,'Player Rounds'!$A$2:$A$401,$A39,'Player Rounds'!$B$2:$B$401,$B39,'Player Rounds'!$C$2:$C$401,$D39)-_xlfn.MINIFS('Player Rounds'!$AG$2:$AG$401,'Player Rounds'!$A$2:$A$401,$A39,'Player Rounds'!$B$2:$B$401,$B39,'Player Rounds'!$C$2:$C$401,$C39))))</f>
      </c>
      <c r="T39" t="e">
        <f>IF($A39="","",IF(COUNTIFS('Player Rounds'!$A$2:$A$401,$A39,'Player Rounds'!$B$2:$B$401,$B39,'Player Rounds'!$N$2:$N$401,"&gt;0")=0,"",SIGN(_xlfn.MINIFS('Player Rounds'!$AH$2:$AH$401,'Player Rounds'!$A$2:$A$401,$A39,'Player Rounds'!$B$2:$B$401,$B39,'Player Rounds'!$C$2:$C$401,$D39)-_xlfn.MINIFS('Player Rounds'!$AH$2:$AH$401,'Player Rounds'!$A$2:$A$401,$A39,'Player Rounds'!$B$2:$B$401,$B39,'Player Rounds'!$C$2:$C$401,$C39))))</f>
      </c>
      <c r="U39" t="e">
        <f>IF($A39="","",IF(COUNTIFS('Player Rounds'!$A$2:$A$401,$A39,'Player Rounds'!$B$2:$B$401,$B39,'Player Rounds'!$O$2:$O$401,"&gt;0")=0,"",SIGN(_xlfn.MINIFS('Player Rounds'!$AI$2:$AI$401,'Player Rounds'!$A$2:$A$401,$A39,'Player Rounds'!$B$2:$B$401,$B39,'Player Rounds'!$C$2:$C$401,$D39)-_xlfn.MINIFS('Player Rounds'!$AI$2:$AI$401,'Player Rounds'!$A$2:$A$401,$A39,'Player Rounds'!$B$2:$B$401,$B39,'Player Rounds'!$C$2:$C$401,$C39))))</f>
      </c>
      <c r="V39" t="e">
        <f>IF($A39="","",IF(COUNTIFS('Player Rounds'!$A$2:$A$401,$A39,'Player Rounds'!$B$2:$B$401,$B39,'Player Rounds'!$P$2:$P$401,"&gt;0")=0,"",SIGN(_xlfn.MINIFS('Player Rounds'!$AJ$2:$AJ$401,'Player Rounds'!$A$2:$A$401,$A39,'Player Rounds'!$B$2:$B$401,$B39,'Player Rounds'!$C$2:$C$401,$D39)-_xlfn.MINIFS('Player Rounds'!$AJ$2:$AJ$401,'Player Rounds'!$A$2:$A$401,$A39,'Player Rounds'!$B$2:$B$401,$B39,'Player Rounds'!$C$2:$C$401,$C39))))</f>
      </c>
      <c r="W39" t="e">
        <f>IF($A39="","",IF(COUNTIFS('Player Rounds'!$A$2:$A$401,$A39,'Player Rounds'!$B$2:$B$401,$B39,'Player Rounds'!$Q$2:$Q$401,"&gt;0")=0,"",SIGN(_xlfn.MINIFS('Player Rounds'!$AK$2:$AK$401,'Player Rounds'!$A$2:$A$401,$A39,'Player Rounds'!$B$2:$B$401,$B39,'Player Rounds'!$C$2:$C$401,$D39)-_xlfn.MINIFS('Player Rounds'!$AK$2:$AK$401,'Player Rounds'!$A$2:$A$401,$A39,'Player Rounds'!$B$2:$B$401,$B39,'Player Rounds'!$C$2:$C$401,$C39))))</f>
      </c>
      <c r="X39" t="e">
        <f>IF($A39="","",IF(COUNTIFS('Player Rounds'!$A$2:$A$401,$A39,'Player Rounds'!$B$2:$B$401,$B39,'Player Rounds'!$R$2:$R$401,"&gt;0")=0,"",SIGN(_xlfn.MINIFS('Player Rounds'!$AL$2:$AL$401,'Player Rounds'!$A$2:$A$401,$A39,'Player Rounds'!$B$2:$B$401,$B39,'Player Rounds'!$C$2:$C$401,$D39)-_xlfn.MINIFS('Player Rounds'!$AL$2:$AL$401,'Player Rounds'!$A$2:$A$401,$A39,'Player Rounds'!$B$2:$B$401,$B39,'Player Rounds'!$C$2:$C$401,$C39))))</f>
      </c>
      <c r="Y39" t="e">
        <f>IF($A39="","",IF(COUNTIFS('Player Rounds'!$A$2:$A$401,$A39,'Player Rounds'!$B$2:$B$401,$B39,'Player Rounds'!$S$2:$S$401,"&gt;0")=0,"",SIGN(_xlfn.MINIFS('Player Rounds'!$AM$2:$AM$401,'Player Rounds'!$A$2:$A$401,$A39,'Player Rounds'!$B$2:$B$401,$B39,'Player Rounds'!$C$2:$C$401,$D39)-_xlfn.MINIFS('Player Rounds'!$AM$2:$AM$401,'Player Rounds'!$A$2:$A$401,$A39,'Player Rounds'!$B$2:$B$401,$B39,'Player Rounds'!$C$2:$C$401,$C39))))</f>
      </c>
      <c r="Z39" t="e">
        <f>IF($A39="","",IF(COUNTIFS('Player Rounds'!$A$2:$A$401,$A39,'Player Rounds'!$B$2:$B$401,$B39,'Player Rounds'!$T$2:$T$401,"&gt;0")=0,"",SIGN(_xlfn.MINIFS('Player Rounds'!$AN$2:$AN$401,'Player Rounds'!$A$2:$A$401,$A39,'Player Rounds'!$B$2:$B$401,$B39,'Player Rounds'!$C$2:$C$401,$D39)-_xlfn.MINIFS('Player Rounds'!$AN$2:$AN$401,'Player Rounds'!$A$2:$A$401,$A39,'Player Rounds'!$B$2:$B$401,$B39,'Player Rounds'!$C$2:$C$401,$C39))))</f>
      </c>
      <c r="AA39" t="e">
        <f>IF($A39="","",IF(COUNTIFS('Player Rounds'!$A$2:$A$401,$A39,'Player Rounds'!$B$2:$B$401,$B39,'Player Rounds'!$U$2:$U$401,"&gt;0")=0,"",SIGN(_xlfn.MINIFS('Player Rounds'!$AO$2:$AO$401,'Player Rounds'!$A$2:$A$401,$A39,'Player Rounds'!$B$2:$B$401,$B39,'Player Rounds'!$C$2:$C$401,$D39)-_xlfn.MINIFS('Player Rounds'!$AO$2:$AO$401,'Player Rounds'!$A$2:$A$401,$A39,'Player Rounds'!$B$2:$B$401,$B39,'Player Rounds'!$C$2:$C$401,$C39))))</f>
      </c>
      <c r="AB39" t="e">
        <f>IF($A39="","",IF(COUNTIFS('Player Rounds'!$A$2:$A$401,$A39,'Player Rounds'!$B$2:$B$401,$B39,'Player Rounds'!$V$2:$V$401,"&gt;0")=0,"",SIGN(_xlfn.MINIFS('Player Rounds'!$AP$2:$AP$401,'Player Rounds'!$A$2:$A$401,$A39,'Player Rounds'!$B$2:$B$401,$B39,'Player Rounds'!$C$2:$C$401,$D39)-_xlfn.MINIFS('Player Rounds'!$AP$2:$AP$401,'Player Rounds'!$A$2:$A$401,$A39,'Player Rounds'!$B$2:$B$401,$B39,'Player Rounds'!$C$2:$C$401,$C39))))</f>
      </c>
      <c r="AC39" t="e">
        <f>IF($A39="","",IF(COUNTIFS('Player Rounds'!$A$2:$A$401,$A39,'Player Rounds'!$B$2:$B$401,$B39,'Player Rounds'!$W$2:$W$401,"&gt;0")=0,"",SIGN(_xlfn.MINIFS('Player Rounds'!$AQ$2:$AQ$401,'Player Rounds'!$A$2:$A$401,$A39,'Player Rounds'!$B$2:$B$401,$B39,'Player Rounds'!$C$2:$C$401,$D39)-_xlfn.MINIFS('Player Rounds'!$AQ$2:$AQ$401,'Player Rounds'!$A$2:$A$401,$A39,'Player Rounds'!$B$2:$B$401,$B39,'Player Rounds'!$C$2:$C$401,$C39))))</f>
      </c>
      <c r="AD39" t="e">
        <f>IF($A39="","",SUM($L39:L39))</f>
      </c>
      <c r="AE39" t="e">
        <f>IF($A39="","",SUM($L39:M39))</f>
      </c>
      <c r="AF39" t="e">
        <f>IF($A39="","",SUM($L39:N39))</f>
      </c>
      <c r="AG39" t="e">
        <f>IF($A39="","",SUM($L39:O39))</f>
      </c>
      <c r="AH39" t="e">
        <f>IF($A39="","",SUM($L39:P39))</f>
      </c>
      <c r="AI39" t="e">
        <f>IF($A39="","",SUM($L39:Q39))</f>
      </c>
      <c r="AJ39" t="e">
        <f>IF($A39="","",SUM($L39:R39))</f>
      </c>
      <c r="AK39" t="e">
        <f>IF($A39="","",SUM($L39:S39))</f>
      </c>
      <c r="AL39" t="e">
        <f>IF($A39="","",SUM($L39:T39))</f>
      </c>
      <c r="AM39" t="e">
        <f>IF($A39="","",SUM($L39:U39))</f>
      </c>
      <c r="AN39" t="e">
        <f>IF($A39="","",SUM($L39:V39))</f>
      </c>
      <c r="AO39" t="e">
        <f>IF($A39="","",SUM($L39:W39))</f>
      </c>
      <c r="AP39" t="e">
        <f>IF($A39="","",SUM($L39:X39))</f>
      </c>
      <c r="AQ39" t="e">
        <f>IF($A39="","",SUM($L39:Y39))</f>
      </c>
      <c r="AR39" t="e">
        <f>IF($A39="","",SUM($L39:Z39))</f>
      </c>
      <c r="AS39" t="e">
        <f>IF($A39="","",SUM($L39:AA39))</f>
      </c>
      <c r="AT39" t="e">
        <f>IF($A39="","",SUM($L39:AB39))</f>
      </c>
      <c r="AU39" t="e">
        <f>IF($A39="","",SUM($L39:AC39))</f>
      </c>
      <c r="AV39" t="e">
        <f>IF(OR($A39="",L39=""),"",IF(ABS(AD39)&gt;17,1,""))</f>
      </c>
      <c r="AW39" t="e">
        <f>IF(OR($A39="",M39=""),"",IF(ABS(AE39)&gt;16,2,""))</f>
      </c>
      <c r="AX39" t="e">
        <f>IF(OR($A39="",N39=""),"",IF(ABS(AF39)&gt;15,3,""))</f>
      </c>
      <c r="AY39" t="e">
        <f>IF(OR($A39="",O39=""),"",IF(ABS(AG39)&gt;14,4,""))</f>
      </c>
      <c r="AZ39" t="e">
        <f>IF(OR($A39="",P39=""),"",IF(ABS(AH39)&gt;13,5,""))</f>
      </c>
      <c r="BA39" t="e">
        <f>IF(OR($A39="",Q39=""),"",IF(ABS(AI39)&gt;12,6,""))</f>
      </c>
      <c r="BB39" t="e">
        <f>IF(OR($A39="",R39=""),"",IF(ABS(AJ39)&gt;11,7,""))</f>
      </c>
      <c r="BC39" t="e">
        <f>IF(OR($A39="",S39=""),"",IF(ABS(AK39)&gt;10,8,""))</f>
      </c>
      <c r="BD39" t="e">
        <f>IF(OR($A39="",T39=""),"",IF(ABS(AL39)&gt;9,9,""))</f>
      </c>
      <c r="BE39" t="e">
        <f>IF(OR($A39="",U39=""),"",IF(ABS(AM39)&gt;8,10,""))</f>
      </c>
      <c r="BF39" t="e">
        <f>IF(OR($A39="",V39=""),"",IF(ABS(AN39)&gt;7,11,""))</f>
      </c>
      <c r="BG39" t="e">
        <f>IF(OR($A39="",W39=""),"",IF(ABS(AO39)&gt;6,12,""))</f>
      </c>
      <c r="BH39" t="e">
        <f>IF(OR($A39="",X39=""),"",IF(ABS(AP39)&gt;5,13,""))</f>
      </c>
      <c r="BI39" t="e">
        <f>IF(OR($A39="",Y39=""),"",IF(ABS(AQ39)&gt;4,14,""))</f>
      </c>
      <c r="BJ39" t="e">
        <f>IF(OR($A39="",Z39=""),"",IF(ABS(AR39)&gt;3,15,""))</f>
      </c>
      <c r="BK39" t="e">
        <f>IF(OR($A39="",AA39=""),"",IF(ABS(AS39)&gt;2,16,""))</f>
      </c>
      <c r="BL39" t="e">
        <f>IF(OR($A39="",AB39=""),"",IF(ABS(AT39)&gt;1,17,""))</f>
      </c>
      <c r="BM39" t="e">
        <f>IF(OR($A39="",AC39=""),"",IF(ABS(AU39)&gt;0,18,""))</f>
      </c>
    </row>
    <row r="40">
      <c r="C40" t="str">
        <f>IF($A40="","",INDEX('Tournament Setup'!$J:$J,MATCH($A40,'Tournament Setup'!$A:$A,0)))</f>
        <v/>
      </c>
      <c r="D40" t="str">
        <f>IF($A40="","",INDEX('Tournament Setup'!$K:$K,MATCH($A40,'Tournament Setup'!$A:$A,0)))</f>
        <v/>
      </c>
      <c r="E40" t="str">
        <f>IF($A40="","",IF(COUNT(L40:AC40)=0,"Not played",IF(AND($K40&gt;0,$K40&lt;18),IF(INDEX(AD40:AU40,1,$K40)&gt;0,$C40,$D40)&amp;" "&amp;ABS(INDEX(AD40:AU40,1,$K40))&amp;"&amp;"&amp;(18-$K40),IF($J40=0,"Halved (AS)",IF($J40&gt;0,$C40,$D40)&amp;" "&amp;ABS($J40)&amp;" UP"))))</f>
        <v/>
      </c>
      <c r="F40" t="e">
        <f>IF(OR($A40="",COUNT(L40:AC40)=0),"",INDEX('Tournament Setup'!$I:$I,MATCH($A40,'Tournament Setup'!$A:$A,0))*IF(INDEX('Tournament Setup'!$H:$H,MATCH($A40,'Tournament Setup'!$A:$A,0))="Yes",IF($H40&gt;0,1,IF($H40=0,0.5,0))+IF($I40&gt;0,1,IF($I40=0,0.5,0))+IF($J40&gt;0,1,IF($J40=0,0.5,0)),IF(IF(AND($K40&gt;0,$K40&lt;18),INDEX(AD40:AU40,1,$K40),$J40)&gt;0,1,IF(IF(AND($K40&gt;0,$K40&lt;18),INDEX(AD40:AU40,1,$K40),$J40)=0,0.5,0))))</f>
      </c>
      <c r="G40" t="e">
        <f>IF(OR($A40="",COUNT(L40:AC40)=0),"",INDEX('Tournament Setup'!$I:$I,MATCH($A40,'Tournament Setup'!$A:$A,0))*IF(INDEX('Tournament Setup'!$H:$H,MATCH($A40,'Tournament Setup'!$A:$A,0))="Yes",IF($H40&lt;0,1,IF($H40=0,0.5,0))+IF($I40&lt;0,1,IF($I40=0,0.5,0))+IF($J40&lt;0,1,IF($J40=0,0.5,0)),IF(IF(AND($K40&gt;0,$K40&lt;18),INDEX(AD40:AU40,1,$K40),$J40)&lt;0,1,IF(IF(AND($K40&gt;0,$K40&lt;18),INDEX(AD40:AU40,1,$K40),$J40)=0,0.5,0))))</f>
      </c>
      <c r="H40" t="e">
        <f>IF($A40="","",SUM(L40:T40))</f>
      </c>
      <c r="I40" t="e">
        <f>IF($A40="","",SUM(U40:AC40))</f>
      </c>
      <c r="J40" t="e">
        <f>IF($A40="","",SUM(L40:AC40))</f>
      </c>
      <c r="K40" t="e">
        <f>IF($A40="","",MIN(AV40:BM40))</f>
      </c>
      <c r="L40" t="e">
        <f>IF($A40="","",IF(COUNTIFS('Player Rounds'!$A$2:$A$401,$A40,'Player Rounds'!$B$2:$B$401,$B40,'Player Rounds'!$F$2:$F$401,"&gt;0")=0,"",SIGN(_xlfn.MINIFS('Player Rounds'!$Z$2:$Z$401,'Player Rounds'!$A$2:$A$401,$A40,'Player Rounds'!$B$2:$B$401,$B40,'Player Rounds'!$C$2:$C$401,$D40)-_xlfn.MINIFS('Player Rounds'!$Z$2:$Z$401,'Player Rounds'!$A$2:$A$401,$A40,'Player Rounds'!$B$2:$B$401,$B40,'Player Rounds'!$C$2:$C$401,$C40))))</f>
      </c>
      <c r="M40" t="e">
        <f>IF($A40="","",IF(COUNTIFS('Player Rounds'!$A$2:$A$401,$A40,'Player Rounds'!$B$2:$B$401,$B40,'Player Rounds'!$G$2:$G$401,"&gt;0")=0,"",SIGN(_xlfn.MINIFS('Player Rounds'!$AA$2:$AA$401,'Player Rounds'!$A$2:$A$401,$A40,'Player Rounds'!$B$2:$B$401,$B40,'Player Rounds'!$C$2:$C$401,$D40)-_xlfn.MINIFS('Player Rounds'!$AA$2:$AA$401,'Player Rounds'!$A$2:$A$401,$A40,'Player Rounds'!$B$2:$B$401,$B40,'Player Rounds'!$C$2:$C$401,$C40))))</f>
      </c>
      <c r="N40" t="e">
        <f>IF($A40="","",IF(COUNTIFS('Player Rounds'!$A$2:$A$401,$A40,'Player Rounds'!$B$2:$B$401,$B40,'Player Rounds'!$H$2:$H$401,"&gt;0")=0,"",SIGN(_xlfn.MINIFS('Player Rounds'!$AB$2:$AB$401,'Player Rounds'!$A$2:$A$401,$A40,'Player Rounds'!$B$2:$B$401,$B40,'Player Rounds'!$C$2:$C$401,$D40)-_xlfn.MINIFS('Player Rounds'!$AB$2:$AB$401,'Player Rounds'!$A$2:$A$401,$A40,'Player Rounds'!$B$2:$B$401,$B40,'Player Rounds'!$C$2:$C$401,$C40))))</f>
      </c>
      <c r="O40" t="e">
        <f>IF($A40="","",IF(COUNTIFS('Player Rounds'!$A$2:$A$401,$A40,'Player Rounds'!$B$2:$B$401,$B40,'Player Rounds'!$I$2:$I$401,"&gt;0")=0,"",SIGN(_xlfn.MINIFS('Player Rounds'!$AC$2:$AC$401,'Player Rounds'!$A$2:$A$401,$A40,'Player Rounds'!$B$2:$B$401,$B40,'Player Rounds'!$C$2:$C$401,$D40)-_xlfn.MINIFS('Player Rounds'!$AC$2:$AC$401,'Player Rounds'!$A$2:$A$401,$A40,'Player Rounds'!$B$2:$B$401,$B40,'Player Rounds'!$C$2:$C$401,$C40))))</f>
      </c>
      <c r="P40" t="e">
        <f>IF($A40="","",IF(COUNTIFS('Player Rounds'!$A$2:$A$401,$A40,'Player Rounds'!$B$2:$B$401,$B40,'Player Rounds'!$J$2:$J$401,"&gt;0")=0,"",SIGN(_xlfn.MINIFS('Player Rounds'!$AD$2:$AD$401,'Player Rounds'!$A$2:$A$401,$A40,'Player Rounds'!$B$2:$B$401,$B40,'Player Rounds'!$C$2:$C$401,$D40)-_xlfn.MINIFS('Player Rounds'!$AD$2:$AD$401,'Player Rounds'!$A$2:$A$401,$A40,'Player Rounds'!$B$2:$B$401,$B40,'Player Rounds'!$C$2:$C$401,$C40))))</f>
      </c>
      <c r="Q40" t="e">
        <f>IF($A40="","",IF(COUNTIFS('Player Rounds'!$A$2:$A$401,$A40,'Player Rounds'!$B$2:$B$401,$B40,'Player Rounds'!$K$2:$K$401,"&gt;0")=0,"",SIGN(_xlfn.MINIFS('Player Rounds'!$AE$2:$AE$401,'Player Rounds'!$A$2:$A$401,$A40,'Player Rounds'!$B$2:$B$401,$B40,'Player Rounds'!$C$2:$C$401,$D40)-_xlfn.MINIFS('Player Rounds'!$AE$2:$AE$401,'Player Rounds'!$A$2:$A$401,$A40,'Player Rounds'!$B$2:$B$401,$B40,'Player Rounds'!$C$2:$C$401,$C40))))</f>
      </c>
      <c r="R40" t="e">
        <f>IF($A40="","",IF(COUNTIFS('Player Rounds'!$A$2:$A$401,$A40,'Player Rounds'!$B$2:$B$401,$B40,'Player Rounds'!$L$2:$L$401,"&gt;0")=0,"",SIGN(_xlfn.MINIFS('Player Rounds'!$AF$2:$AF$401,'Player Rounds'!$A$2:$A$401,$A40,'Player Rounds'!$B$2:$B$401,$B40,'Player Rounds'!$C$2:$C$401,$D40)-_xlfn.MINIFS('Player Rounds'!$AF$2:$AF$401,'Player Rounds'!$A$2:$A$401,$A40,'Player Rounds'!$B$2:$B$401,$B40,'Player Rounds'!$C$2:$C$401,$C40))))</f>
      </c>
      <c r="S40" t="e">
        <f>IF($A40="","",IF(COUNTIFS('Player Rounds'!$A$2:$A$401,$A40,'Player Rounds'!$B$2:$B$401,$B40,'Player Rounds'!$M$2:$M$401,"&gt;0")=0,"",SIGN(_xlfn.MINIFS('Player Rounds'!$AG$2:$AG$401,'Player Rounds'!$A$2:$A$401,$A40,'Player Rounds'!$B$2:$B$401,$B40,'Player Rounds'!$C$2:$C$401,$D40)-_xlfn.MINIFS('Player Rounds'!$AG$2:$AG$401,'Player Rounds'!$A$2:$A$401,$A40,'Player Rounds'!$B$2:$B$401,$B40,'Player Rounds'!$C$2:$C$401,$C40))))</f>
      </c>
      <c r="T40" t="e">
        <f>IF($A40="","",IF(COUNTIFS('Player Rounds'!$A$2:$A$401,$A40,'Player Rounds'!$B$2:$B$401,$B40,'Player Rounds'!$N$2:$N$401,"&gt;0")=0,"",SIGN(_xlfn.MINIFS('Player Rounds'!$AH$2:$AH$401,'Player Rounds'!$A$2:$A$401,$A40,'Player Rounds'!$B$2:$B$401,$B40,'Player Rounds'!$C$2:$C$401,$D40)-_xlfn.MINIFS('Player Rounds'!$AH$2:$AH$401,'Player Rounds'!$A$2:$A$401,$A40,'Player Rounds'!$B$2:$B$401,$B40,'Player Rounds'!$C$2:$C$401,$C40))))</f>
      </c>
      <c r="U40" t="e">
        <f>IF($A40="","",IF(COUNTIFS('Player Rounds'!$A$2:$A$401,$A40,'Player Rounds'!$B$2:$B$401,$B40,'Player Rounds'!$O$2:$O$401,"&gt;0")=0,"",SIGN(_xlfn.MINIFS('Player Rounds'!$AI$2:$AI$401,'Player Rounds'!$A$2:$A$401,$A40,'Player Rounds'!$B$2:$B$401,$B40,'Player Rounds'!$C$2:$C$401,$D40)-_xlfn.MINIFS('Player Rounds'!$AI$2:$AI$401,'Player Rounds'!$A$2:$A$401,$A40,'Player Rounds'!$B$2:$B$401,$B40,'Player Rounds'!$C$2:$C$401,$C40))))</f>
      </c>
      <c r="V40" t="e">
        <f>IF($A40="","",IF(COUNTIFS('Player Rounds'!$A$2:$A$401,$A40,'Player Rounds'!$B$2:$B$401,$B40,'Player Rounds'!$P$2:$P$401,"&gt;0")=0,"",SIGN(_xlfn.MINIFS('Player Rounds'!$AJ$2:$AJ$401,'Player Rounds'!$A$2:$A$401,$A40,'Player Rounds'!$B$2:$B$401,$B40,'Player Rounds'!$C$2:$C$401,$D40)-_xlfn.MINIFS('Player Rounds'!$AJ$2:$AJ$401,'Player Rounds'!$A$2:$A$401,$A40,'Player Rounds'!$B$2:$B$401,$B40,'Player Rounds'!$C$2:$C$401,$C40))))</f>
      </c>
      <c r="W40" t="e">
        <f>IF($A40="","",IF(COUNTIFS('Player Rounds'!$A$2:$A$401,$A40,'Player Rounds'!$B$2:$B$401,$B40,'Player Rounds'!$Q$2:$Q$401,"&gt;0")=0,"",SIGN(_xlfn.MINIFS('Player Rounds'!$AK$2:$AK$401,'Player Rounds'!$A$2:$A$401,$A40,'Player Rounds'!$B$2:$B$401,$B40,'Player Rounds'!$C$2:$C$401,$D40)-_xlfn.MINIFS('Player Rounds'!$AK$2:$AK$401,'Player Rounds'!$A$2:$A$401,$A40,'Player Rounds'!$B$2:$B$401,$B40,'Player Rounds'!$C$2:$C$401,$C40))))</f>
      </c>
      <c r="X40" t="e">
        <f>IF($A40="","",IF(COUNTIFS('Player Rounds'!$A$2:$A$401,$A40,'Player Rounds'!$B$2:$B$401,$B40,'Player Rounds'!$R$2:$R$401,"&gt;0")=0,"",SIGN(_xlfn.MINIFS('Player Rounds'!$AL$2:$AL$401,'Player Rounds'!$A$2:$A$401,$A40,'Player Rounds'!$B$2:$B$401,$B40,'Player Rounds'!$C$2:$C$401,$D40)-_xlfn.MINIFS('Player Rounds'!$AL$2:$AL$401,'Player Rounds'!$A$2:$A$401,$A40,'Player Rounds'!$B$2:$B$401,$B40,'Player Rounds'!$C$2:$C$401,$C40))))</f>
      </c>
      <c r="Y40" t="e">
        <f>IF($A40="","",IF(COUNTIFS('Player Rounds'!$A$2:$A$401,$A40,'Player Rounds'!$B$2:$B$401,$B40,'Player Rounds'!$S$2:$S$401,"&gt;0")=0,"",SIGN(_xlfn.MINIFS('Player Rounds'!$AM$2:$AM$401,'Player Rounds'!$A$2:$A$401,$A40,'Player Rounds'!$B$2:$B$401,$B40,'Player Rounds'!$C$2:$C$401,$D40)-_xlfn.MINIFS('Player Rounds'!$AM$2:$AM$401,'Player Rounds'!$A$2:$A$401,$A40,'Player Rounds'!$B$2:$B$401,$B40,'Player Rounds'!$C$2:$C$401,$C40))))</f>
      </c>
      <c r="Z40" t="e">
        <f>IF($A40="","",IF(COUNTIFS('Player Rounds'!$A$2:$A$401,$A40,'Player Rounds'!$B$2:$B$401,$B40,'Player Rounds'!$T$2:$T$401,"&gt;0")=0,"",SIGN(_xlfn.MINIFS('Player Rounds'!$AN$2:$AN$401,'Player Rounds'!$A$2:$A$401,$A40,'Player Rounds'!$B$2:$B$401,$B40,'Player Rounds'!$C$2:$C$401,$D40)-_xlfn.MINIFS('Player Rounds'!$AN$2:$AN$401,'Player Rounds'!$A$2:$A$401,$A40,'Player Rounds'!$B$2:$B$401,$B40,'Player Rounds'!$C$2:$C$401,$C40))))</f>
      </c>
      <c r="AA40" t="e">
        <f>IF($A40="","",IF(COUNTIFS('Player Rounds'!$A$2:$A$401,$A40,'Player Rounds'!$B$2:$B$401,$B40,'Player Rounds'!$U$2:$U$401,"&gt;0")=0,"",SIGN(_xlfn.MINIFS('Player Rounds'!$AO$2:$AO$401,'Player Rounds'!$A$2:$A$401,$A40,'Player Rounds'!$B$2:$B$401,$B40,'Player Rounds'!$C$2:$C$401,$D40)-_xlfn.MINIFS('Player Rounds'!$AO$2:$AO$401,'Player Rounds'!$A$2:$A$401,$A40,'Player Rounds'!$B$2:$B$401,$B40,'Player Rounds'!$C$2:$C$401,$C40))))</f>
      </c>
      <c r="AB40" t="e">
        <f>IF($A40="","",IF(COUNTIFS('Player Rounds'!$A$2:$A$401,$A40,'Player Rounds'!$B$2:$B$401,$B40,'Player Rounds'!$V$2:$V$401,"&gt;0")=0,"",SIGN(_xlfn.MINIFS('Player Rounds'!$AP$2:$AP$401,'Player Rounds'!$A$2:$A$401,$A40,'Player Rounds'!$B$2:$B$401,$B40,'Player Rounds'!$C$2:$C$401,$D40)-_xlfn.MINIFS('Player Rounds'!$AP$2:$AP$401,'Player Rounds'!$A$2:$A$401,$A40,'Player Rounds'!$B$2:$B$401,$B40,'Player Rounds'!$C$2:$C$401,$C40))))</f>
      </c>
      <c r="AC40" t="e">
        <f>IF($A40="","",IF(COUNTIFS('Player Rounds'!$A$2:$A$401,$A40,'Player Rounds'!$B$2:$B$401,$B40,'Player Rounds'!$W$2:$W$401,"&gt;0")=0,"",SIGN(_xlfn.MINIFS('Player Rounds'!$AQ$2:$AQ$401,'Player Rounds'!$A$2:$A$401,$A40,'Player Rounds'!$B$2:$B$401,$B40,'Player Rounds'!$C$2:$C$401,$D40)-_xlfn.MINIFS('Player Rounds'!$AQ$2:$AQ$401,'Player Rounds'!$A$2:$A$401,$A40,'Player Rounds'!$B$2:$B$401,$B40,'Player Rounds'!$C$2:$C$401,$C40))))</f>
      </c>
      <c r="AD40" t="e">
        <f>IF($A40="","",SUM($L40:L40))</f>
      </c>
      <c r="AE40" t="e">
        <f>IF($A40="","",SUM($L40:M40))</f>
      </c>
      <c r="AF40" t="e">
        <f>IF($A40="","",SUM($L40:N40))</f>
      </c>
      <c r="AG40" t="e">
        <f>IF($A40="","",SUM($L40:O40))</f>
      </c>
      <c r="AH40" t="e">
        <f>IF($A40="","",SUM($L40:P40))</f>
      </c>
      <c r="AI40" t="e">
        <f>IF($A40="","",SUM($L40:Q40))</f>
      </c>
      <c r="AJ40" t="e">
        <f>IF($A40="","",SUM($L40:R40))</f>
      </c>
      <c r="AK40" t="e">
        <f>IF($A40="","",SUM($L40:S40))</f>
      </c>
      <c r="AL40" t="e">
        <f>IF($A40="","",SUM($L40:T40))</f>
      </c>
      <c r="AM40" t="e">
        <f>IF($A40="","",SUM($L40:U40))</f>
      </c>
      <c r="AN40" t="e">
        <f>IF($A40="","",SUM($L40:V40))</f>
      </c>
      <c r="AO40" t="e">
        <f>IF($A40="","",SUM($L40:W40))</f>
      </c>
      <c r="AP40" t="e">
        <f>IF($A40="","",SUM($L40:X40))</f>
      </c>
      <c r="AQ40" t="e">
        <f>IF($A40="","",SUM($L40:Y40))</f>
      </c>
      <c r="AR40" t="e">
        <f>IF($A40="","",SUM($L40:Z40))</f>
      </c>
      <c r="AS40" t="e">
        <f>IF($A40="","",SUM($L40:AA40))</f>
      </c>
      <c r="AT40" t="e">
        <f>IF($A40="","",SUM($L40:AB40))</f>
      </c>
      <c r="AU40" t="e">
        <f>IF($A40="","",SUM($L40:AC40))</f>
      </c>
      <c r="AV40" t="e">
        <f>IF(OR($A40="",L40=""),"",IF(ABS(AD40)&gt;17,1,""))</f>
      </c>
      <c r="AW40" t="e">
        <f>IF(OR($A40="",M40=""),"",IF(ABS(AE40)&gt;16,2,""))</f>
      </c>
      <c r="AX40" t="e">
        <f>IF(OR($A40="",N40=""),"",IF(ABS(AF40)&gt;15,3,""))</f>
      </c>
      <c r="AY40" t="e">
        <f>IF(OR($A40="",O40=""),"",IF(ABS(AG40)&gt;14,4,""))</f>
      </c>
      <c r="AZ40" t="e">
        <f>IF(OR($A40="",P40=""),"",IF(ABS(AH40)&gt;13,5,""))</f>
      </c>
      <c r="BA40" t="e">
        <f>IF(OR($A40="",Q40=""),"",IF(ABS(AI40)&gt;12,6,""))</f>
      </c>
      <c r="BB40" t="e">
        <f>IF(OR($A40="",R40=""),"",IF(ABS(AJ40)&gt;11,7,""))</f>
      </c>
      <c r="BC40" t="e">
        <f>IF(OR($A40="",S40=""),"",IF(ABS(AK40)&gt;10,8,""))</f>
      </c>
      <c r="BD40" t="e">
        <f>IF(OR($A40="",T40=""),"",IF(ABS(AL40)&gt;9,9,""))</f>
      </c>
      <c r="BE40" t="e">
        <f>IF(OR($A40="",U40=""),"",IF(ABS(AM40)&gt;8,10,""))</f>
      </c>
      <c r="BF40" t="e">
        <f>IF(OR($A40="",V40=""),"",IF(ABS(AN40)&gt;7,11,""))</f>
      </c>
      <c r="BG40" t="e">
        <f>IF(OR($A40="",W40=""),"",IF(ABS(AO40)&gt;6,12,""))</f>
      </c>
      <c r="BH40" t="e">
        <f>IF(OR($A40="",X40=""),"",IF(ABS(AP40)&gt;5,13,""))</f>
      </c>
      <c r="BI40" t="e">
        <f>IF(OR($A40="",Y40=""),"",IF(ABS(AQ40)&gt;4,14,""))</f>
      </c>
      <c r="BJ40" t="e">
        <f>IF(OR($A40="",Z40=""),"",IF(ABS(AR40)&gt;3,15,""))</f>
      </c>
      <c r="BK40" t="e">
        <f>IF(OR($A40="",AA40=""),"",IF(ABS(AS40)&gt;2,16,""))</f>
      </c>
      <c r="BL40" t="e">
        <f>IF(OR($A40="",AB40=""),"",IF(ABS(AT40)&gt;1,17,""))</f>
      </c>
      <c r="BM40" t="e">
        <f>IF(OR($A40="",AC40=""),"",IF(ABS(AU40)&gt;0,18,""))</f>
      </c>
    </row>
    <row r="41">
      <c r="C41" t="str">
        <f>IF($A41="","",INDEX('Tournament Setup'!$J:$J,MATCH($A41,'Tournament Setup'!$A:$A,0)))</f>
        <v/>
      </c>
      <c r="D41" t="str">
        <f>IF($A41="","",INDEX('Tournament Setup'!$K:$K,MATCH($A41,'Tournament Setup'!$A:$A,0)))</f>
        <v/>
      </c>
      <c r="E41" t="str">
        <f>IF($A41="","",IF(COUNT(L41:AC41)=0,"Not played",IF(AND($K41&gt;0,$K41&lt;18),IF(INDEX(AD41:AU41,1,$K41)&gt;0,$C41,$D41)&amp;" "&amp;ABS(INDEX(AD41:AU41,1,$K41))&amp;"&amp;"&amp;(18-$K41),IF($J41=0,"Halved (AS)",IF($J41&gt;0,$C41,$D41)&amp;" "&amp;ABS($J41)&amp;" UP"))))</f>
        <v/>
      </c>
      <c r="F41" t="e">
        <f>IF(OR($A41="",COUNT(L41:AC41)=0),"",INDEX('Tournament Setup'!$I:$I,MATCH($A41,'Tournament Setup'!$A:$A,0))*IF(INDEX('Tournament Setup'!$H:$H,MATCH($A41,'Tournament Setup'!$A:$A,0))="Yes",IF($H41&gt;0,1,IF($H41=0,0.5,0))+IF($I41&gt;0,1,IF($I41=0,0.5,0))+IF($J41&gt;0,1,IF($J41=0,0.5,0)),IF(IF(AND($K41&gt;0,$K41&lt;18),INDEX(AD41:AU41,1,$K41),$J41)&gt;0,1,IF(IF(AND($K41&gt;0,$K41&lt;18),INDEX(AD41:AU41,1,$K41),$J41)=0,0.5,0))))</f>
      </c>
      <c r="G41" t="e">
        <f>IF(OR($A41="",COUNT(L41:AC41)=0),"",INDEX('Tournament Setup'!$I:$I,MATCH($A41,'Tournament Setup'!$A:$A,0))*IF(INDEX('Tournament Setup'!$H:$H,MATCH($A41,'Tournament Setup'!$A:$A,0))="Yes",IF($H41&lt;0,1,IF($H41=0,0.5,0))+IF($I41&lt;0,1,IF($I41=0,0.5,0))+IF($J41&lt;0,1,IF($J41=0,0.5,0)),IF(IF(AND($K41&gt;0,$K41&lt;18),INDEX(AD41:AU41,1,$K41),$J41)&lt;0,1,IF(IF(AND($K41&gt;0,$K41&lt;18),INDEX(AD41:AU41,1,$K41),$J41)=0,0.5,0))))</f>
      </c>
      <c r="H41" t="e">
        <f>IF($A41="","",SUM(L41:T41))</f>
      </c>
      <c r="I41" t="e">
        <f>IF($A41="","",SUM(U41:AC41))</f>
      </c>
      <c r="J41" t="e">
        <f>IF($A41="","",SUM(L41:AC41))</f>
      </c>
      <c r="K41" t="e">
        <f>IF($A41="","",MIN(AV41:BM41))</f>
      </c>
      <c r="L41" t="e">
        <f>IF($A41="","",IF(COUNTIFS('Player Rounds'!$A$2:$A$401,$A41,'Player Rounds'!$B$2:$B$401,$B41,'Player Rounds'!$F$2:$F$401,"&gt;0")=0,"",SIGN(_xlfn.MINIFS('Player Rounds'!$Z$2:$Z$401,'Player Rounds'!$A$2:$A$401,$A41,'Player Rounds'!$B$2:$B$401,$B41,'Player Rounds'!$C$2:$C$401,$D41)-_xlfn.MINIFS('Player Rounds'!$Z$2:$Z$401,'Player Rounds'!$A$2:$A$401,$A41,'Player Rounds'!$B$2:$B$401,$B41,'Player Rounds'!$C$2:$C$401,$C41))))</f>
      </c>
      <c r="M41" t="e">
        <f>IF($A41="","",IF(COUNTIFS('Player Rounds'!$A$2:$A$401,$A41,'Player Rounds'!$B$2:$B$401,$B41,'Player Rounds'!$G$2:$G$401,"&gt;0")=0,"",SIGN(_xlfn.MINIFS('Player Rounds'!$AA$2:$AA$401,'Player Rounds'!$A$2:$A$401,$A41,'Player Rounds'!$B$2:$B$401,$B41,'Player Rounds'!$C$2:$C$401,$D41)-_xlfn.MINIFS('Player Rounds'!$AA$2:$AA$401,'Player Rounds'!$A$2:$A$401,$A41,'Player Rounds'!$B$2:$B$401,$B41,'Player Rounds'!$C$2:$C$401,$C41))))</f>
      </c>
      <c r="N41" t="e">
        <f>IF($A41="","",IF(COUNTIFS('Player Rounds'!$A$2:$A$401,$A41,'Player Rounds'!$B$2:$B$401,$B41,'Player Rounds'!$H$2:$H$401,"&gt;0")=0,"",SIGN(_xlfn.MINIFS('Player Rounds'!$AB$2:$AB$401,'Player Rounds'!$A$2:$A$401,$A41,'Player Rounds'!$B$2:$B$401,$B41,'Player Rounds'!$C$2:$C$401,$D41)-_xlfn.MINIFS('Player Rounds'!$AB$2:$AB$401,'Player Rounds'!$A$2:$A$401,$A41,'Player Rounds'!$B$2:$B$401,$B41,'Player Rounds'!$C$2:$C$401,$C41))))</f>
      </c>
      <c r="O41" t="e">
        <f>IF($A41="","",IF(COUNTIFS('Player Rounds'!$A$2:$A$401,$A41,'Player Rounds'!$B$2:$B$401,$B41,'Player Rounds'!$I$2:$I$401,"&gt;0")=0,"",SIGN(_xlfn.MINIFS('Player Rounds'!$AC$2:$AC$401,'Player Rounds'!$A$2:$A$401,$A41,'Player Rounds'!$B$2:$B$401,$B41,'Player Rounds'!$C$2:$C$401,$D41)-_xlfn.MINIFS('Player Rounds'!$AC$2:$AC$401,'Player Rounds'!$A$2:$A$401,$A41,'Player Rounds'!$B$2:$B$401,$B41,'Player Rounds'!$C$2:$C$401,$C41))))</f>
      </c>
      <c r="P41" t="e">
        <f>IF($A41="","",IF(COUNTIFS('Player Rounds'!$A$2:$A$401,$A41,'Player Rounds'!$B$2:$B$401,$B41,'Player Rounds'!$J$2:$J$401,"&gt;0")=0,"",SIGN(_xlfn.MINIFS('Player Rounds'!$AD$2:$AD$401,'Player Rounds'!$A$2:$A$401,$A41,'Player Rounds'!$B$2:$B$401,$B41,'Player Rounds'!$C$2:$C$401,$D41)-_xlfn.MINIFS('Player Rounds'!$AD$2:$AD$401,'Player Rounds'!$A$2:$A$401,$A41,'Player Rounds'!$B$2:$B$401,$B41,'Player Rounds'!$C$2:$C$401,$C41))))</f>
      </c>
      <c r="Q41" t="e">
        <f>IF($A41="","",IF(COUNTIFS('Player Rounds'!$A$2:$A$401,$A41,'Player Rounds'!$B$2:$B$401,$B41,'Player Rounds'!$K$2:$K$401,"&gt;0")=0,"",SIGN(_xlfn.MINIFS('Player Rounds'!$AE$2:$AE$401,'Player Rounds'!$A$2:$A$401,$A41,'Player Rounds'!$B$2:$B$401,$B41,'Player Rounds'!$C$2:$C$401,$D41)-_xlfn.MINIFS('Player Rounds'!$AE$2:$AE$401,'Player Rounds'!$A$2:$A$401,$A41,'Player Rounds'!$B$2:$B$401,$B41,'Player Rounds'!$C$2:$C$401,$C41))))</f>
      </c>
      <c r="R41" t="e">
        <f>IF($A41="","",IF(COUNTIFS('Player Rounds'!$A$2:$A$401,$A41,'Player Rounds'!$B$2:$B$401,$B41,'Player Rounds'!$L$2:$L$401,"&gt;0")=0,"",SIGN(_xlfn.MINIFS('Player Rounds'!$AF$2:$AF$401,'Player Rounds'!$A$2:$A$401,$A41,'Player Rounds'!$B$2:$B$401,$B41,'Player Rounds'!$C$2:$C$401,$D41)-_xlfn.MINIFS('Player Rounds'!$AF$2:$AF$401,'Player Rounds'!$A$2:$A$401,$A41,'Player Rounds'!$B$2:$B$401,$B41,'Player Rounds'!$C$2:$C$401,$C41))))</f>
      </c>
      <c r="S41" t="e">
        <f>IF($A41="","",IF(COUNTIFS('Player Rounds'!$A$2:$A$401,$A41,'Player Rounds'!$B$2:$B$401,$B41,'Player Rounds'!$M$2:$M$401,"&gt;0")=0,"",SIGN(_xlfn.MINIFS('Player Rounds'!$AG$2:$AG$401,'Player Rounds'!$A$2:$A$401,$A41,'Player Rounds'!$B$2:$B$401,$B41,'Player Rounds'!$C$2:$C$401,$D41)-_xlfn.MINIFS('Player Rounds'!$AG$2:$AG$401,'Player Rounds'!$A$2:$A$401,$A41,'Player Rounds'!$B$2:$B$401,$B41,'Player Rounds'!$C$2:$C$401,$C41))))</f>
      </c>
      <c r="T41" t="e">
        <f>IF($A41="","",IF(COUNTIFS('Player Rounds'!$A$2:$A$401,$A41,'Player Rounds'!$B$2:$B$401,$B41,'Player Rounds'!$N$2:$N$401,"&gt;0")=0,"",SIGN(_xlfn.MINIFS('Player Rounds'!$AH$2:$AH$401,'Player Rounds'!$A$2:$A$401,$A41,'Player Rounds'!$B$2:$B$401,$B41,'Player Rounds'!$C$2:$C$401,$D41)-_xlfn.MINIFS('Player Rounds'!$AH$2:$AH$401,'Player Rounds'!$A$2:$A$401,$A41,'Player Rounds'!$B$2:$B$401,$B41,'Player Rounds'!$C$2:$C$401,$C41))))</f>
      </c>
      <c r="U41" t="e">
        <f>IF($A41="","",IF(COUNTIFS('Player Rounds'!$A$2:$A$401,$A41,'Player Rounds'!$B$2:$B$401,$B41,'Player Rounds'!$O$2:$O$401,"&gt;0")=0,"",SIGN(_xlfn.MINIFS('Player Rounds'!$AI$2:$AI$401,'Player Rounds'!$A$2:$A$401,$A41,'Player Rounds'!$B$2:$B$401,$B41,'Player Rounds'!$C$2:$C$401,$D41)-_xlfn.MINIFS('Player Rounds'!$AI$2:$AI$401,'Player Rounds'!$A$2:$A$401,$A41,'Player Rounds'!$B$2:$B$401,$B41,'Player Rounds'!$C$2:$C$401,$C41))))</f>
      </c>
      <c r="V41" t="e">
        <f>IF($A41="","",IF(COUNTIFS('Player Rounds'!$A$2:$A$401,$A41,'Player Rounds'!$B$2:$B$401,$B41,'Player Rounds'!$P$2:$P$401,"&gt;0")=0,"",SIGN(_xlfn.MINIFS('Player Rounds'!$AJ$2:$AJ$401,'Player Rounds'!$A$2:$A$401,$A41,'Player Rounds'!$B$2:$B$401,$B41,'Player Rounds'!$C$2:$C$401,$D41)-_xlfn.MINIFS('Player Rounds'!$AJ$2:$AJ$401,'Player Rounds'!$A$2:$A$401,$A41,'Player Rounds'!$B$2:$B$401,$B41,'Player Rounds'!$C$2:$C$401,$C41))))</f>
      </c>
      <c r="W41" t="e">
        <f>IF($A41="","",IF(COUNTIFS('Player Rounds'!$A$2:$A$401,$A41,'Player Rounds'!$B$2:$B$401,$B41,'Player Rounds'!$Q$2:$Q$401,"&gt;0")=0,"",SIGN(_xlfn.MINIFS('Player Rounds'!$AK$2:$AK$401,'Player Rounds'!$A$2:$A$401,$A41,'Player Rounds'!$B$2:$B$401,$B41,'Player Rounds'!$C$2:$C$401,$D41)-_xlfn.MINIFS('Player Rounds'!$AK$2:$AK$401,'Player Rounds'!$A$2:$A$401,$A41,'Player Rounds'!$B$2:$B$401,$B41,'Player Rounds'!$C$2:$C$401,$C41))))</f>
      </c>
      <c r="X41" t="e">
        <f>IF($A41="","",IF(COUNTIFS('Player Rounds'!$A$2:$A$401,$A41,'Player Rounds'!$B$2:$B$401,$B41,'Player Rounds'!$R$2:$R$401,"&gt;0")=0,"",SIGN(_xlfn.MINIFS('Player Rounds'!$AL$2:$AL$401,'Player Rounds'!$A$2:$A$401,$A41,'Player Rounds'!$B$2:$B$401,$B41,'Player Rounds'!$C$2:$C$401,$D41)-_xlfn.MINIFS('Player Rounds'!$AL$2:$AL$401,'Player Rounds'!$A$2:$A$401,$A41,'Player Rounds'!$B$2:$B$401,$B41,'Player Rounds'!$C$2:$C$401,$C41))))</f>
      </c>
      <c r="Y41" t="e">
        <f>IF($A41="","",IF(COUNTIFS('Player Rounds'!$A$2:$A$401,$A41,'Player Rounds'!$B$2:$B$401,$B41,'Player Rounds'!$S$2:$S$401,"&gt;0")=0,"",SIGN(_xlfn.MINIFS('Player Rounds'!$AM$2:$AM$401,'Player Rounds'!$A$2:$A$401,$A41,'Player Rounds'!$B$2:$B$401,$B41,'Player Rounds'!$C$2:$C$401,$D41)-_xlfn.MINIFS('Player Rounds'!$AM$2:$AM$401,'Player Rounds'!$A$2:$A$401,$A41,'Player Rounds'!$B$2:$B$401,$B41,'Player Rounds'!$C$2:$C$401,$C41))))</f>
      </c>
      <c r="Z41" t="e">
        <f>IF($A41="","",IF(COUNTIFS('Player Rounds'!$A$2:$A$401,$A41,'Player Rounds'!$B$2:$B$401,$B41,'Player Rounds'!$T$2:$T$401,"&gt;0")=0,"",SIGN(_xlfn.MINIFS('Player Rounds'!$AN$2:$AN$401,'Player Rounds'!$A$2:$A$401,$A41,'Player Rounds'!$B$2:$B$401,$B41,'Player Rounds'!$C$2:$C$401,$D41)-_xlfn.MINIFS('Player Rounds'!$AN$2:$AN$401,'Player Rounds'!$A$2:$A$401,$A41,'Player Rounds'!$B$2:$B$401,$B41,'Player Rounds'!$C$2:$C$401,$C41))))</f>
      </c>
      <c r="AA41" t="e">
        <f>IF($A41="","",IF(COUNTIFS('Player Rounds'!$A$2:$A$401,$A41,'Player Rounds'!$B$2:$B$401,$B41,'Player Rounds'!$U$2:$U$401,"&gt;0")=0,"",SIGN(_xlfn.MINIFS('Player Rounds'!$AO$2:$AO$401,'Player Rounds'!$A$2:$A$401,$A41,'Player Rounds'!$B$2:$B$401,$B41,'Player Rounds'!$C$2:$C$401,$D41)-_xlfn.MINIFS('Player Rounds'!$AO$2:$AO$401,'Player Rounds'!$A$2:$A$401,$A41,'Player Rounds'!$B$2:$B$401,$B41,'Player Rounds'!$C$2:$C$401,$C41))))</f>
      </c>
      <c r="AB41" t="e">
        <f>IF($A41="","",IF(COUNTIFS('Player Rounds'!$A$2:$A$401,$A41,'Player Rounds'!$B$2:$B$401,$B41,'Player Rounds'!$V$2:$V$401,"&gt;0")=0,"",SIGN(_xlfn.MINIFS('Player Rounds'!$AP$2:$AP$401,'Player Rounds'!$A$2:$A$401,$A41,'Player Rounds'!$B$2:$B$401,$B41,'Player Rounds'!$C$2:$C$401,$D41)-_xlfn.MINIFS('Player Rounds'!$AP$2:$AP$401,'Player Rounds'!$A$2:$A$401,$A41,'Player Rounds'!$B$2:$B$401,$B41,'Player Rounds'!$C$2:$C$401,$C41))))</f>
      </c>
      <c r="AC41" t="e">
        <f>IF($A41="","",IF(COUNTIFS('Player Rounds'!$A$2:$A$401,$A41,'Player Rounds'!$B$2:$B$401,$B41,'Player Rounds'!$W$2:$W$401,"&gt;0")=0,"",SIGN(_xlfn.MINIFS('Player Rounds'!$AQ$2:$AQ$401,'Player Rounds'!$A$2:$A$401,$A41,'Player Rounds'!$B$2:$B$401,$B41,'Player Rounds'!$C$2:$C$401,$D41)-_xlfn.MINIFS('Player Rounds'!$AQ$2:$AQ$401,'Player Rounds'!$A$2:$A$401,$A41,'Player Rounds'!$B$2:$B$401,$B41,'Player Rounds'!$C$2:$C$401,$C41))))</f>
      </c>
      <c r="AD41" t="e">
        <f>IF($A41="","",SUM($L41:L41))</f>
      </c>
      <c r="AE41" t="e">
        <f>IF($A41="","",SUM($L41:M41))</f>
      </c>
      <c r="AF41" t="e">
        <f>IF($A41="","",SUM($L41:N41))</f>
      </c>
      <c r="AG41" t="e">
        <f>IF($A41="","",SUM($L41:O41))</f>
      </c>
      <c r="AH41" t="e">
        <f>IF($A41="","",SUM($L41:P41))</f>
      </c>
      <c r="AI41" t="e">
        <f>IF($A41="","",SUM($L41:Q41))</f>
      </c>
      <c r="AJ41" t="e">
        <f>IF($A41="","",SUM($L41:R41))</f>
      </c>
      <c r="AK41" t="e">
        <f>IF($A41="","",SUM($L41:S41))</f>
      </c>
      <c r="AL41" t="e">
        <f>IF($A41="","",SUM($L41:T41))</f>
      </c>
      <c r="AM41" t="e">
        <f>IF($A41="","",SUM($L41:U41))</f>
      </c>
      <c r="AN41" t="e">
        <f>IF($A41="","",SUM($L41:V41))</f>
      </c>
      <c r="AO41" t="e">
        <f>IF($A41="","",SUM($L41:W41))</f>
      </c>
      <c r="AP41" t="e">
        <f>IF($A41="","",SUM($L41:X41))</f>
      </c>
      <c r="AQ41" t="e">
        <f>IF($A41="","",SUM($L41:Y41))</f>
      </c>
      <c r="AR41" t="e">
        <f>IF($A41="","",SUM($L41:Z41))</f>
      </c>
      <c r="AS41" t="e">
        <f>IF($A41="","",SUM($L41:AA41))</f>
      </c>
      <c r="AT41" t="e">
        <f>IF($A41="","",SUM($L41:AB41))</f>
      </c>
      <c r="AU41" t="e">
        <f>IF($A41="","",SUM($L41:AC41))</f>
      </c>
      <c r="AV41" t="e">
        <f>IF(OR($A41="",L41=""),"",IF(ABS(AD41)&gt;17,1,""))</f>
      </c>
      <c r="AW41" t="e">
        <f>IF(OR($A41="",M41=""),"",IF(ABS(AE41)&gt;16,2,""))</f>
      </c>
      <c r="AX41" t="e">
        <f>IF(OR($A41="",N41=""),"",IF(ABS(AF41)&gt;15,3,""))</f>
      </c>
      <c r="AY41" t="e">
        <f>IF(OR($A41="",O41=""),"",IF(ABS(AG41)&gt;14,4,""))</f>
      </c>
      <c r="AZ41" t="e">
        <f>IF(OR($A41="",P41=""),"",IF(ABS(AH41)&gt;13,5,""))</f>
      </c>
      <c r="BA41" t="e">
        <f>IF(OR($A41="",Q41=""),"",IF(ABS(AI41)&gt;12,6,""))</f>
      </c>
      <c r="BB41" t="e">
        <f>IF(OR($A41="",R41=""),"",IF(ABS(AJ41)&gt;11,7,""))</f>
      </c>
      <c r="BC41" t="e">
        <f>IF(OR($A41="",S41=""),"",IF(ABS(AK41)&gt;10,8,""))</f>
      </c>
      <c r="BD41" t="e">
        <f>IF(OR($A41="",T41=""),"",IF(ABS(AL41)&gt;9,9,""))</f>
      </c>
      <c r="BE41" t="e">
        <f>IF(OR($A41="",U41=""),"",IF(ABS(AM41)&gt;8,10,""))</f>
      </c>
      <c r="BF41" t="e">
        <f>IF(OR($A41="",V41=""),"",IF(ABS(AN41)&gt;7,11,""))</f>
      </c>
      <c r="BG41" t="e">
        <f>IF(OR($A41="",W41=""),"",IF(ABS(AO41)&gt;6,12,""))</f>
      </c>
      <c r="BH41" t="e">
        <f>IF(OR($A41="",X41=""),"",IF(ABS(AP41)&gt;5,13,""))</f>
      </c>
      <c r="BI41" t="e">
        <f>IF(OR($A41="",Y41=""),"",IF(ABS(AQ41)&gt;4,14,""))</f>
      </c>
      <c r="BJ41" t="e">
        <f>IF(OR($A41="",Z41=""),"",IF(ABS(AR41)&gt;3,15,""))</f>
      </c>
      <c r="BK41" t="e">
        <f>IF(OR($A41="",AA41=""),"",IF(ABS(AS41)&gt;2,16,""))</f>
      </c>
      <c r="BL41" t="e">
        <f>IF(OR($A41="",AB41=""),"",IF(ABS(AT41)&gt;1,17,""))</f>
      </c>
      <c r="BM41" t="e">
        <f>IF(OR($A41="",AC41=""),"",IF(ABS(AU41)&gt;0,18,""))</f>
      </c>
    </row>
    <row r="42">
      <c r="C42" t="str">
        <f>IF($A42="","",INDEX('Tournament Setup'!$J:$J,MATCH($A42,'Tournament Setup'!$A:$A,0)))</f>
        <v/>
      </c>
      <c r="D42" t="str">
        <f>IF($A42="","",INDEX('Tournament Setup'!$K:$K,MATCH($A42,'Tournament Setup'!$A:$A,0)))</f>
        <v/>
      </c>
      <c r="E42" t="str">
        <f>IF($A42="","",IF(COUNT(L42:AC42)=0,"Not played",IF(AND($K42&gt;0,$K42&lt;18),IF(INDEX(AD42:AU42,1,$K42)&gt;0,$C42,$D42)&amp;" "&amp;ABS(INDEX(AD42:AU42,1,$K42))&amp;"&amp;"&amp;(18-$K42),IF($J42=0,"Halved (AS)",IF($J42&gt;0,$C42,$D42)&amp;" "&amp;ABS($J42)&amp;" UP"))))</f>
        <v/>
      </c>
      <c r="F42" t="e">
        <f>IF(OR($A42="",COUNT(L42:AC42)=0),"",INDEX('Tournament Setup'!$I:$I,MATCH($A42,'Tournament Setup'!$A:$A,0))*IF(INDEX('Tournament Setup'!$H:$H,MATCH($A42,'Tournament Setup'!$A:$A,0))="Yes",IF($H42&gt;0,1,IF($H42=0,0.5,0))+IF($I42&gt;0,1,IF($I42=0,0.5,0))+IF($J42&gt;0,1,IF($J42=0,0.5,0)),IF(IF(AND($K42&gt;0,$K42&lt;18),INDEX(AD42:AU42,1,$K42),$J42)&gt;0,1,IF(IF(AND($K42&gt;0,$K42&lt;18),INDEX(AD42:AU42,1,$K42),$J42)=0,0.5,0))))</f>
      </c>
      <c r="G42" t="e">
        <f>IF(OR($A42="",COUNT(L42:AC42)=0),"",INDEX('Tournament Setup'!$I:$I,MATCH($A42,'Tournament Setup'!$A:$A,0))*IF(INDEX('Tournament Setup'!$H:$H,MATCH($A42,'Tournament Setup'!$A:$A,0))="Yes",IF($H42&lt;0,1,IF($H42=0,0.5,0))+IF($I42&lt;0,1,IF($I42=0,0.5,0))+IF($J42&lt;0,1,IF($J42=0,0.5,0)),IF(IF(AND($K42&gt;0,$K42&lt;18),INDEX(AD42:AU42,1,$K42),$J42)&lt;0,1,IF(IF(AND($K42&gt;0,$K42&lt;18),INDEX(AD42:AU42,1,$K42),$J42)=0,0.5,0))))</f>
      </c>
      <c r="H42" t="e">
        <f>IF($A42="","",SUM(L42:T42))</f>
      </c>
      <c r="I42" t="e">
        <f>IF($A42="","",SUM(U42:AC42))</f>
      </c>
      <c r="J42" t="e">
        <f>IF($A42="","",SUM(L42:AC42))</f>
      </c>
      <c r="K42" t="e">
        <f>IF($A42="","",MIN(AV42:BM42))</f>
      </c>
      <c r="L42" t="e">
        <f>IF($A42="","",IF(COUNTIFS('Player Rounds'!$A$2:$A$401,$A42,'Player Rounds'!$B$2:$B$401,$B42,'Player Rounds'!$F$2:$F$401,"&gt;0")=0,"",SIGN(_xlfn.MINIFS('Player Rounds'!$Z$2:$Z$401,'Player Rounds'!$A$2:$A$401,$A42,'Player Rounds'!$B$2:$B$401,$B42,'Player Rounds'!$C$2:$C$401,$D42)-_xlfn.MINIFS('Player Rounds'!$Z$2:$Z$401,'Player Rounds'!$A$2:$A$401,$A42,'Player Rounds'!$B$2:$B$401,$B42,'Player Rounds'!$C$2:$C$401,$C42))))</f>
      </c>
      <c r="M42" t="e">
        <f>IF($A42="","",IF(COUNTIFS('Player Rounds'!$A$2:$A$401,$A42,'Player Rounds'!$B$2:$B$401,$B42,'Player Rounds'!$G$2:$G$401,"&gt;0")=0,"",SIGN(_xlfn.MINIFS('Player Rounds'!$AA$2:$AA$401,'Player Rounds'!$A$2:$A$401,$A42,'Player Rounds'!$B$2:$B$401,$B42,'Player Rounds'!$C$2:$C$401,$D42)-_xlfn.MINIFS('Player Rounds'!$AA$2:$AA$401,'Player Rounds'!$A$2:$A$401,$A42,'Player Rounds'!$B$2:$B$401,$B42,'Player Rounds'!$C$2:$C$401,$C42))))</f>
      </c>
      <c r="N42" t="e">
        <f>IF($A42="","",IF(COUNTIFS('Player Rounds'!$A$2:$A$401,$A42,'Player Rounds'!$B$2:$B$401,$B42,'Player Rounds'!$H$2:$H$401,"&gt;0")=0,"",SIGN(_xlfn.MINIFS('Player Rounds'!$AB$2:$AB$401,'Player Rounds'!$A$2:$A$401,$A42,'Player Rounds'!$B$2:$B$401,$B42,'Player Rounds'!$C$2:$C$401,$D42)-_xlfn.MINIFS('Player Rounds'!$AB$2:$AB$401,'Player Rounds'!$A$2:$A$401,$A42,'Player Rounds'!$B$2:$B$401,$B42,'Player Rounds'!$C$2:$C$401,$C42))))</f>
      </c>
      <c r="O42" t="e">
        <f>IF($A42="","",IF(COUNTIFS('Player Rounds'!$A$2:$A$401,$A42,'Player Rounds'!$B$2:$B$401,$B42,'Player Rounds'!$I$2:$I$401,"&gt;0")=0,"",SIGN(_xlfn.MINIFS('Player Rounds'!$AC$2:$AC$401,'Player Rounds'!$A$2:$A$401,$A42,'Player Rounds'!$B$2:$B$401,$B42,'Player Rounds'!$C$2:$C$401,$D42)-_xlfn.MINIFS('Player Rounds'!$AC$2:$AC$401,'Player Rounds'!$A$2:$A$401,$A42,'Player Rounds'!$B$2:$B$401,$B42,'Player Rounds'!$C$2:$C$401,$C42))))</f>
      </c>
      <c r="P42" t="e">
        <f>IF($A42="","",IF(COUNTIFS('Player Rounds'!$A$2:$A$401,$A42,'Player Rounds'!$B$2:$B$401,$B42,'Player Rounds'!$J$2:$J$401,"&gt;0")=0,"",SIGN(_xlfn.MINIFS('Player Rounds'!$AD$2:$AD$401,'Player Rounds'!$A$2:$A$401,$A42,'Player Rounds'!$B$2:$B$401,$B42,'Player Rounds'!$C$2:$C$401,$D42)-_xlfn.MINIFS('Player Rounds'!$AD$2:$AD$401,'Player Rounds'!$A$2:$A$401,$A42,'Player Rounds'!$B$2:$B$401,$B42,'Player Rounds'!$C$2:$C$401,$C42))))</f>
      </c>
      <c r="Q42" t="e">
        <f>IF($A42="","",IF(COUNTIFS('Player Rounds'!$A$2:$A$401,$A42,'Player Rounds'!$B$2:$B$401,$B42,'Player Rounds'!$K$2:$K$401,"&gt;0")=0,"",SIGN(_xlfn.MINIFS('Player Rounds'!$AE$2:$AE$401,'Player Rounds'!$A$2:$A$401,$A42,'Player Rounds'!$B$2:$B$401,$B42,'Player Rounds'!$C$2:$C$401,$D42)-_xlfn.MINIFS('Player Rounds'!$AE$2:$AE$401,'Player Rounds'!$A$2:$A$401,$A42,'Player Rounds'!$B$2:$B$401,$B42,'Player Rounds'!$C$2:$C$401,$C42))))</f>
      </c>
      <c r="R42" t="e">
        <f>IF($A42="","",IF(COUNTIFS('Player Rounds'!$A$2:$A$401,$A42,'Player Rounds'!$B$2:$B$401,$B42,'Player Rounds'!$L$2:$L$401,"&gt;0")=0,"",SIGN(_xlfn.MINIFS('Player Rounds'!$AF$2:$AF$401,'Player Rounds'!$A$2:$A$401,$A42,'Player Rounds'!$B$2:$B$401,$B42,'Player Rounds'!$C$2:$C$401,$D42)-_xlfn.MINIFS('Player Rounds'!$AF$2:$AF$401,'Player Rounds'!$A$2:$A$401,$A42,'Player Rounds'!$B$2:$B$401,$B42,'Player Rounds'!$C$2:$C$401,$C42))))</f>
      </c>
      <c r="S42" t="e">
        <f>IF($A42="","",IF(COUNTIFS('Player Rounds'!$A$2:$A$401,$A42,'Player Rounds'!$B$2:$B$401,$B42,'Player Rounds'!$M$2:$M$401,"&gt;0")=0,"",SIGN(_xlfn.MINIFS('Player Rounds'!$AG$2:$AG$401,'Player Rounds'!$A$2:$A$401,$A42,'Player Rounds'!$B$2:$B$401,$B42,'Player Rounds'!$C$2:$C$401,$D42)-_xlfn.MINIFS('Player Rounds'!$AG$2:$AG$401,'Player Rounds'!$A$2:$A$401,$A42,'Player Rounds'!$B$2:$B$401,$B42,'Player Rounds'!$C$2:$C$401,$C42))))</f>
      </c>
      <c r="T42" t="e">
        <f>IF($A42="","",IF(COUNTIFS('Player Rounds'!$A$2:$A$401,$A42,'Player Rounds'!$B$2:$B$401,$B42,'Player Rounds'!$N$2:$N$401,"&gt;0")=0,"",SIGN(_xlfn.MINIFS('Player Rounds'!$AH$2:$AH$401,'Player Rounds'!$A$2:$A$401,$A42,'Player Rounds'!$B$2:$B$401,$B42,'Player Rounds'!$C$2:$C$401,$D42)-_xlfn.MINIFS('Player Rounds'!$AH$2:$AH$401,'Player Rounds'!$A$2:$A$401,$A42,'Player Rounds'!$B$2:$B$401,$B42,'Player Rounds'!$C$2:$C$401,$C42))))</f>
      </c>
      <c r="U42" t="e">
        <f>IF($A42="","",IF(COUNTIFS('Player Rounds'!$A$2:$A$401,$A42,'Player Rounds'!$B$2:$B$401,$B42,'Player Rounds'!$O$2:$O$401,"&gt;0")=0,"",SIGN(_xlfn.MINIFS('Player Rounds'!$AI$2:$AI$401,'Player Rounds'!$A$2:$A$401,$A42,'Player Rounds'!$B$2:$B$401,$B42,'Player Rounds'!$C$2:$C$401,$D42)-_xlfn.MINIFS('Player Rounds'!$AI$2:$AI$401,'Player Rounds'!$A$2:$A$401,$A42,'Player Rounds'!$B$2:$B$401,$B42,'Player Rounds'!$C$2:$C$401,$C42))))</f>
      </c>
      <c r="V42" t="e">
        <f>IF($A42="","",IF(COUNTIFS('Player Rounds'!$A$2:$A$401,$A42,'Player Rounds'!$B$2:$B$401,$B42,'Player Rounds'!$P$2:$P$401,"&gt;0")=0,"",SIGN(_xlfn.MINIFS('Player Rounds'!$AJ$2:$AJ$401,'Player Rounds'!$A$2:$A$401,$A42,'Player Rounds'!$B$2:$B$401,$B42,'Player Rounds'!$C$2:$C$401,$D42)-_xlfn.MINIFS('Player Rounds'!$AJ$2:$AJ$401,'Player Rounds'!$A$2:$A$401,$A42,'Player Rounds'!$B$2:$B$401,$B42,'Player Rounds'!$C$2:$C$401,$C42))))</f>
      </c>
      <c r="W42" t="e">
        <f>IF($A42="","",IF(COUNTIFS('Player Rounds'!$A$2:$A$401,$A42,'Player Rounds'!$B$2:$B$401,$B42,'Player Rounds'!$Q$2:$Q$401,"&gt;0")=0,"",SIGN(_xlfn.MINIFS('Player Rounds'!$AK$2:$AK$401,'Player Rounds'!$A$2:$A$401,$A42,'Player Rounds'!$B$2:$B$401,$B42,'Player Rounds'!$C$2:$C$401,$D42)-_xlfn.MINIFS('Player Rounds'!$AK$2:$AK$401,'Player Rounds'!$A$2:$A$401,$A42,'Player Rounds'!$B$2:$B$401,$B42,'Player Rounds'!$C$2:$C$401,$C42))))</f>
      </c>
      <c r="X42" t="e">
        <f>IF($A42="","",IF(COUNTIFS('Player Rounds'!$A$2:$A$401,$A42,'Player Rounds'!$B$2:$B$401,$B42,'Player Rounds'!$R$2:$R$401,"&gt;0")=0,"",SIGN(_xlfn.MINIFS('Player Rounds'!$AL$2:$AL$401,'Player Rounds'!$A$2:$A$401,$A42,'Player Rounds'!$B$2:$B$401,$B42,'Player Rounds'!$C$2:$C$401,$D42)-_xlfn.MINIFS('Player Rounds'!$AL$2:$AL$401,'Player Rounds'!$A$2:$A$401,$A42,'Player Rounds'!$B$2:$B$401,$B42,'Player Rounds'!$C$2:$C$401,$C42))))</f>
      </c>
      <c r="Y42" t="e">
        <f>IF($A42="","",IF(COUNTIFS('Player Rounds'!$A$2:$A$401,$A42,'Player Rounds'!$B$2:$B$401,$B42,'Player Rounds'!$S$2:$S$401,"&gt;0")=0,"",SIGN(_xlfn.MINIFS('Player Rounds'!$AM$2:$AM$401,'Player Rounds'!$A$2:$A$401,$A42,'Player Rounds'!$B$2:$B$401,$B42,'Player Rounds'!$C$2:$C$401,$D42)-_xlfn.MINIFS('Player Rounds'!$AM$2:$AM$401,'Player Rounds'!$A$2:$A$401,$A42,'Player Rounds'!$B$2:$B$401,$B42,'Player Rounds'!$C$2:$C$401,$C42))))</f>
      </c>
      <c r="Z42" t="e">
        <f>IF($A42="","",IF(COUNTIFS('Player Rounds'!$A$2:$A$401,$A42,'Player Rounds'!$B$2:$B$401,$B42,'Player Rounds'!$T$2:$T$401,"&gt;0")=0,"",SIGN(_xlfn.MINIFS('Player Rounds'!$AN$2:$AN$401,'Player Rounds'!$A$2:$A$401,$A42,'Player Rounds'!$B$2:$B$401,$B42,'Player Rounds'!$C$2:$C$401,$D42)-_xlfn.MINIFS('Player Rounds'!$AN$2:$AN$401,'Player Rounds'!$A$2:$A$401,$A42,'Player Rounds'!$B$2:$B$401,$B42,'Player Rounds'!$C$2:$C$401,$C42))))</f>
      </c>
      <c r="AA42" t="e">
        <f>IF($A42="","",IF(COUNTIFS('Player Rounds'!$A$2:$A$401,$A42,'Player Rounds'!$B$2:$B$401,$B42,'Player Rounds'!$U$2:$U$401,"&gt;0")=0,"",SIGN(_xlfn.MINIFS('Player Rounds'!$AO$2:$AO$401,'Player Rounds'!$A$2:$A$401,$A42,'Player Rounds'!$B$2:$B$401,$B42,'Player Rounds'!$C$2:$C$401,$D42)-_xlfn.MINIFS('Player Rounds'!$AO$2:$AO$401,'Player Rounds'!$A$2:$A$401,$A42,'Player Rounds'!$B$2:$B$401,$B42,'Player Rounds'!$C$2:$C$401,$C42))))</f>
      </c>
      <c r="AB42" t="e">
        <f>IF($A42="","",IF(COUNTIFS('Player Rounds'!$A$2:$A$401,$A42,'Player Rounds'!$B$2:$B$401,$B42,'Player Rounds'!$V$2:$V$401,"&gt;0")=0,"",SIGN(_xlfn.MINIFS('Player Rounds'!$AP$2:$AP$401,'Player Rounds'!$A$2:$A$401,$A42,'Player Rounds'!$B$2:$B$401,$B42,'Player Rounds'!$C$2:$C$401,$D42)-_xlfn.MINIFS('Player Rounds'!$AP$2:$AP$401,'Player Rounds'!$A$2:$A$401,$A42,'Player Rounds'!$B$2:$B$401,$B42,'Player Rounds'!$C$2:$C$401,$C42))))</f>
      </c>
      <c r="AC42" t="e">
        <f>IF($A42="","",IF(COUNTIFS('Player Rounds'!$A$2:$A$401,$A42,'Player Rounds'!$B$2:$B$401,$B42,'Player Rounds'!$W$2:$W$401,"&gt;0")=0,"",SIGN(_xlfn.MINIFS('Player Rounds'!$AQ$2:$AQ$401,'Player Rounds'!$A$2:$A$401,$A42,'Player Rounds'!$B$2:$B$401,$B42,'Player Rounds'!$C$2:$C$401,$D42)-_xlfn.MINIFS('Player Rounds'!$AQ$2:$AQ$401,'Player Rounds'!$A$2:$A$401,$A42,'Player Rounds'!$B$2:$B$401,$B42,'Player Rounds'!$C$2:$C$401,$C42))))</f>
      </c>
      <c r="AD42" t="e">
        <f>IF($A42="","",SUM($L42:L42))</f>
      </c>
      <c r="AE42" t="e">
        <f>IF($A42="","",SUM($L42:M42))</f>
      </c>
      <c r="AF42" t="e">
        <f>IF($A42="","",SUM($L42:N42))</f>
      </c>
      <c r="AG42" t="e">
        <f>IF($A42="","",SUM($L42:O42))</f>
      </c>
      <c r="AH42" t="e">
        <f>IF($A42="","",SUM($L42:P42))</f>
      </c>
      <c r="AI42" t="e">
        <f>IF($A42="","",SUM($L42:Q42))</f>
      </c>
      <c r="AJ42" t="e">
        <f>IF($A42="","",SUM($L42:R42))</f>
      </c>
      <c r="AK42" t="e">
        <f>IF($A42="","",SUM($L42:S42))</f>
      </c>
      <c r="AL42" t="e">
        <f>IF($A42="","",SUM($L42:T42))</f>
      </c>
      <c r="AM42" t="e">
        <f>IF($A42="","",SUM($L42:U42))</f>
      </c>
      <c r="AN42" t="e">
        <f>IF($A42="","",SUM($L42:V42))</f>
      </c>
      <c r="AO42" t="e">
        <f>IF($A42="","",SUM($L42:W42))</f>
      </c>
      <c r="AP42" t="e">
        <f>IF($A42="","",SUM($L42:X42))</f>
      </c>
      <c r="AQ42" t="e">
        <f>IF($A42="","",SUM($L42:Y42))</f>
      </c>
      <c r="AR42" t="e">
        <f>IF($A42="","",SUM($L42:Z42))</f>
      </c>
      <c r="AS42" t="e">
        <f>IF($A42="","",SUM($L42:AA42))</f>
      </c>
      <c r="AT42" t="e">
        <f>IF($A42="","",SUM($L42:AB42))</f>
      </c>
      <c r="AU42" t="e">
        <f>IF($A42="","",SUM($L42:AC42))</f>
      </c>
      <c r="AV42" t="e">
        <f>IF(OR($A42="",L42=""),"",IF(ABS(AD42)&gt;17,1,""))</f>
      </c>
      <c r="AW42" t="e">
        <f>IF(OR($A42="",M42=""),"",IF(ABS(AE42)&gt;16,2,""))</f>
      </c>
      <c r="AX42" t="e">
        <f>IF(OR($A42="",N42=""),"",IF(ABS(AF42)&gt;15,3,""))</f>
      </c>
      <c r="AY42" t="e">
        <f>IF(OR($A42="",O42=""),"",IF(ABS(AG42)&gt;14,4,""))</f>
      </c>
      <c r="AZ42" t="e">
        <f>IF(OR($A42="",P42=""),"",IF(ABS(AH42)&gt;13,5,""))</f>
      </c>
      <c r="BA42" t="e">
        <f>IF(OR($A42="",Q42=""),"",IF(ABS(AI42)&gt;12,6,""))</f>
      </c>
      <c r="BB42" t="e">
        <f>IF(OR($A42="",R42=""),"",IF(ABS(AJ42)&gt;11,7,""))</f>
      </c>
      <c r="BC42" t="e">
        <f>IF(OR($A42="",S42=""),"",IF(ABS(AK42)&gt;10,8,""))</f>
      </c>
      <c r="BD42" t="e">
        <f>IF(OR($A42="",T42=""),"",IF(ABS(AL42)&gt;9,9,""))</f>
      </c>
      <c r="BE42" t="e">
        <f>IF(OR($A42="",U42=""),"",IF(ABS(AM42)&gt;8,10,""))</f>
      </c>
      <c r="BF42" t="e">
        <f>IF(OR($A42="",V42=""),"",IF(ABS(AN42)&gt;7,11,""))</f>
      </c>
      <c r="BG42" t="e">
        <f>IF(OR($A42="",W42=""),"",IF(ABS(AO42)&gt;6,12,""))</f>
      </c>
      <c r="BH42" t="e">
        <f>IF(OR($A42="",X42=""),"",IF(ABS(AP42)&gt;5,13,""))</f>
      </c>
      <c r="BI42" t="e">
        <f>IF(OR($A42="",Y42=""),"",IF(ABS(AQ42)&gt;4,14,""))</f>
      </c>
      <c r="BJ42" t="e">
        <f>IF(OR($A42="",Z42=""),"",IF(ABS(AR42)&gt;3,15,""))</f>
      </c>
      <c r="BK42" t="e">
        <f>IF(OR($A42="",AA42=""),"",IF(ABS(AS42)&gt;2,16,""))</f>
      </c>
      <c r="BL42" t="e">
        <f>IF(OR($A42="",AB42=""),"",IF(ABS(AT42)&gt;1,17,""))</f>
      </c>
      <c r="BM42" t="e">
        <f>IF(OR($A42="",AC42=""),"",IF(ABS(AU42)&gt;0,18,""))</f>
      </c>
    </row>
    <row r="43">
      <c r="C43" t="str">
        <f>IF($A43="","",INDEX('Tournament Setup'!$J:$J,MATCH($A43,'Tournament Setup'!$A:$A,0)))</f>
        <v/>
      </c>
      <c r="D43" t="str">
        <f>IF($A43="","",INDEX('Tournament Setup'!$K:$K,MATCH($A43,'Tournament Setup'!$A:$A,0)))</f>
        <v/>
      </c>
      <c r="E43" t="str">
        <f>IF($A43="","",IF(COUNT(L43:AC43)=0,"Not played",IF(AND($K43&gt;0,$K43&lt;18),IF(INDEX(AD43:AU43,1,$K43)&gt;0,$C43,$D43)&amp;" "&amp;ABS(INDEX(AD43:AU43,1,$K43))&amp;"&amp;"&amp;(18-$K43),IF($J43=0,"Halved (AS)",IF($J43&gt;0,$C43,$D43)&amp;" "&amp;ABS($J43)&amp;" UP"))))</f>
        <v/>
      </c>
      <c r="F43" t="e">
        <f>IF(OR($A43="",COUNT(L43:AC43)=0),"",INDEX('Tournament Setup'!$I:$I,MATCH($A43,'Tournament Setup'!$A:$A,0))*IF(INDEX('Tournament Setup'!$H:$H,MATCH($A43,'Tournament Setup'!$A:$A,0))="Yes",IF($H43&gt;0,1,IF($H43=0,0.5,0))+IF($I43&gt;0,1,IF($I43=0,0.5,0))+IF($J43&gt;0,1,IF($J43=0,0.5,0)),IF(IF(AND($K43&gt;0,$K43&lt;18),INDEX(AD43:AU43,1,$K43),$J43)&gt;0,1,IF(IF(AND($K43&gt;0,$K43&lt;18),INDEX(AD43:AU43,1,$K43),$J43)=0,0.5,0))))</f>
      </c>
      <c r="G43" t="e">
        <f>IF(OR($A43="",COUNT(L43:AC43)=0),"",INDEX('Tournament Setup'!$I:$I,MATCH($A43,'Tournament Setup'!$A:$A,0))*IF(INDEX('Tournament Setup'!$H:$H,MATCH($A43,'Tournament Setup'!$A:$A,0))="Yes",IF($H43&lt;0,1,IF($H43=0,0.5,0))+IF($I43&lt;0,1,IF($I43=0,0.5,0))+IF($J43&lt;0,1,IF($J43=0,0.5,0)),IF(IF(AND($K43&gt;0,$K43&lt;18),INDEX(AD43:AU43,1,$K43),$J43)&lt;0,1,IF(IF(AND($K43&gt;0,$K43&lt;18),INDEX(AD43:AU43,1,$K43),$J43)=0,0.5,0))))</f>
      </c>
      <c r="H43" t="e">
        <f>IF($A43="","",SUM(L43:T43))</f>
      </c>
      <c r="I43" t="e">
        <f>IF($A43="","",SUM(U43:AC43))</f>
      </c>
      <c r="J43" t="e">
        <f>IF($A43="","",SUM(L43:AC43))</f>
      </c>
      <c r="K43" t="e">
        <f>IF($A43="","",MIN(AV43:BM43))</f>
      </c>
      <c r="L43" t="e">
        <f>IF($A43="","",IF(COUNTIFS('Player Rounds'!$A$2:$A$401,$A43,'Player Rounds'!$B$2:$B$401,$B43,'Player Rounds'!$F$2:$F$401,"&gt;0")=0,"",SIGN(_xlfn.MINIFS('Player Rounds'!$Z$2:$Z$401,'Player Rounds'!$A$2:$A$401,$A43,'Player Rounds'!$B$2:$B$401,$B43,'Player Rounds'!$C$2:$C$401,$D43)-_xlfn.MINIFS('Player Rounds'!$Z$2:$Z$401,'Player Rounds'!$A$2:$A$401,$A43,'Player Rounds'!$B$2:$B$401,$B43,'Player Rounds'!$C$2:$C$401,$C43))))</f>
      </c>
      <c r="M43" t="e">
        <f>IF($A43="","",IF(COUNTIFS('Player Rounds'!$A$2:$A$401,$A43,'Player Rounds'!$B$2:$B$401,$B43,'Player Rounds'!$G$2:$G$401,"&gt;0")=0,"",SIGN(_xlfn.MINIFS('Player Rounds'!$AA$2:$AA$401,'Player Rounds'!$A$2:$A$401,$A43,'Player Rounds'!$B$2:$B$401,$B43,'Player Rounds'!$C$2:$C$401,$D43)-_xlfn.MINIFS('Player Rounds'!$AA$2:$AA$401,'Player Rounds'!$A$2:$A$401,$A43,'Player Rounds'!$B$2:$B$401,$B43,'Player Rounds'!$C$2:$C$401,$C43))))</f>
      </c>
      <c r="N43" t="e">
        <f>IF($A43="","",IF(COUNTIFS('Player Rounds'!$A$2:$A$401,$A43,'Player Rounds'!$B$2:$B$401,$B43,'Player Rounds'!$H$2:$H$401,"&gt;0")=0,"",SIGN(_xlfn.MINIFS('Player Rounds'!$AB$2:$AB$401,'Player Rounds'!$A$2:$A$401,$A43,'Player Rounds'!$B$2:$B$401,$B43,'Player Rounds'!$C$2:$C$401,$D43)-_xlfn.MINIFS('Player Rounds'!$AB$2:$AB$401,'Player Rounds'!$A$2:$A$401,$A43,'Player Rounds'!$B$2:$B$401,$B43,'Player Rounds'!$C$2:$C$401,$C43))))</f>
      </c>
      <c r="O43" t="e">
        <f>IF($A43="","",IF(COUNTIFS('Player Rounds'!$A$2:$A$401,$A43,'Player Rounds'!$B$2:$B$401,$B43,'Player Rounds'!$I$2:$I$401,"&gt;0")=0,"",SIGN(_xlfn.MINIFS('Player Rounds'!$AC$2:$AC$401,'Player Rounds'!$A$2:$A$401,$A43,'Player Rounds'!$B$2:$B$401,$B43,'Player Rounds'!$C$2:$C$401,$D43)-_xlfn.MINIFS('Player Rounds'!$AC$2:$AC$401,'Player Rounds'!$A$2:$A$401,$A43,'Player Rounds'!$B$2:$B$401,$B43,'Player Rounds'!$C$2:$C$401,$C43))))</f>
      </c>
      <c r="P43" t="e">
        <f>IF($A43="","",IF(COUNTIFS('Player Rounds'!$A$2:$A$401,$A43,'Player Rounds'!$B$2:$B$401,$B43,'Player Rounds'!$J$2:$J$401,"&gt;0")=0,"",SIGN(_xlfn.MINIFS('Player Rounds'!$AD$2:$AD$401,'Player Rounds'!$A$2:$A$401,$A43,'Player Rounds'!$B$2:$B$401,$B43,'Player Rounds'!$C$2:$C$401,$D43)-_xlfn.MINIFS('Player Rounds'!$AD$2:$AD$401,'Player Rounds'!$A$2:$A$401,$A43,'Player Rounds'!$B$2:$B$401,$B43,'Player Rounds'!$C$2:$C$401,$C43))))</f>
      </c>
      <c r="Q43" t="e">
        <f>IF($A43="","",IF(COUNTIFS('Player Rounds'!$A$2:$A$401,$A43,'Player Rounds'!$B$2:$B$401,$B43,'Player Rounds'!$K$2:$K$401,"&gt;0")=0,"",SIGN(_xlfn.MINIFS('Player Rounds'!$AE$2:$AE$401,'Player Rounds'!$A$2:$A$401,$A43,'Player Rounds'!$B$2:$B$401,$B43,'Player Rounds'!$C$2:$C$401,$D43)-_xlfn.MINIFS('Player Rounds'!$AE$2:$AE$401,'Player Rounds'!$A$2:$A$401,$A43,'Player Rounds'!$B$2:$B$401,$B43,'Player Rounds'!$C$2:$C$401,$C43))))</f>
      </c>
      <c r="R43" t="e">
        <f>IF($A43="","",IF(COUNTIFS('Player Rounds'!$A$2:$A$401,$A43,'Player Rounds'!$B$2:$B$401,$B43,'Player Rounds'!$L$2:$L$401,"&gt;0")=0,"",SIGN(_xlfn.MINIFS('Player Rounds'!$AF$2:$AF$401,'Player Rounds'!$A$2:$A$401,$A43,'Player Rounds'!$B$2:$B$401,$B43,'Player Rounds'!$C$2:$C$401,$D43)-_xlfn.MINIFS('Player Rounds'!$AF$2:$AF$401,'Player Rounds'!$A$2:$A$401,$A43,'Player Rounds'!$B$2:$B$401,$B43,'Player Rounds'!$C$2:$C$401,$C43))))</f>
      </c>
      <c r="S43" t="e">
        <f>IF($A43="","",IF(COUNTIFS('Player Rounds'!$A$2:$A$401,$A43,'Player Rounds'!$B$2:$B$401,$B43,'Player Rounds'!$M$2:$M$401,"&gt;0")=0,"",SIGN(_xlfn.MINIFS('Player Rounds'!$AG$2:$AG$401,'Player Rounds'!$A$2:$A$401,$A43,'Player Rounds'!$B$2:$B$401,$B43,'Player Rounds'!$C$2:$C$401,$D43)-_xlfn.MINIFS('Player Rounds'!$AG$2:$AG$401,'Player Rounds'!$A$2:$A$401,$A43,'Player Rounds'!$B$2:$B$401,$B43,'Player Rounds'!$C$2:$C$401,$C43))))</f>
      </c>
      <c r="T43" t="e">
        <f>IF($A43="","",IF(COUNTIFS('Player Rounds'!$A$2:$A$401,$A43,'Player Rounds'!$B$2:$B$401,$B43,'Player Rounds'!$N$2:$N$401,"&gt;0")=0,"",SIGN(_xlfn.MINIFS('Player Rounds'!$AH$2:$AH$401,'Player Rounds'!$A$2:$A$401,$A43,'Player Rounds'!$B$2:$B$401,$B43,'Player Rounds'!$C$2:$C$401,$D43)-_xlfn.MINIFS('Player Rounds'!$AH$2:$AH$401,'Player Rounds'!$A$2:$A$401,$A43,'Player Rounds'!$B$2:$B$401,$B43,'Player Rounds'!$C$2:$C$401,$C43))))</f>
      </c>
      <c r="U43" t="e">
        <f>IF($A43="","",IF(COUNTIFS('Player Rounds'!$A$2:$A$401,$A43,'Player Rounds'!$B$2:$B$401,$B43,'Player Rounds'!$O$2:$O$401,"&gt;0")=0,"",SIGN(_xlfn.MINIFS('Player Rounds'!$AI$2:$AI$401,'Player Rounds'!$A$2:$A$401,$A43,'Player Rounds'!$B$2:$B$401,$B43,'Player Rounds'!$C$2:$C$401,$D43)-_xlfn.MINIFS('Player Rounds'!$AI$2:$AI$401,'Player Rounds'!$A$2:$A$401,$A43,'Player Rounds'!$B$2:$B$401,$B43,'Player Rounds'!$C$2:$C$401,$C43))))</f>
      </c>
      <c r="V43" t="e">
        <f>IF($A43="","",IF(COUNTIFS('Player Rounds'!$A$2:$A$401,$A43,'Player Rounds'!$B$2:$B$401,$B43,'Player Rounds'!$P$2:$P$401,"&gt;0")=0,"",SIGN(_xlfn.MINIFS('Player Rounds'!$AJ$2:$AJ$401,'Player Rounds'!$A$2:$A$401,$A43,'Player Rounds'!$B$2:$B$401,$B43,'Player Rounds'!$C$2:$C$401,$D43)-_xlfn.MINIFS('Player Rounds'!$AJ$2:$AJ$401,'Player Rounds'!$A$2:$A$401,$A43,'Player Rounds'!$B$2:$B$401,$B43,'Player Rounds'!$C$2:$C$401,$C43))))</f>
      </c>
      <c r="W43" t="e">
        <f>IF($A43="","",IF(COUNTIFS('Player Rounds'!$A$2:$A$401,$A43,'Player Rounds'!$B$2:$B$401,$B43,'Player Rounds'!$Q$2:$Q$401,"&gt;0")=0,"",SIGN(_xlfn.MINIFS('Player Rounds'!$AK$2:$AK$401,'Player Rounds'!$A$2:$A$401,$A43,'Player Rounds'!$B$2:$B$401,$B43,'Player Rounds'!$C$2:$C$401,$D43)-_xlfn.MINIFS('Player Rounds'!$AK$2:$AK$401,'Player Rounds'!$A$2:$A$401,$A43,'Player Rounds'!$B$2:$B$401,$B43,'Player Rounds'!$C$2:$C$401,$C43))))</f>
      </c>
      <c r="X43" t="e">
        <f>IF($A43="","",IF(COUNTIFS('Player Rounds'!$A$2:$A$401,$A43,'Player Rounds'!$B$2:$B$401,$B43,'Player Rounds'!$R$2:$R$401,"&gt;0")=0,"",SIGN(_xlfn.MINIFS('Player Rounds'!$AL$2:$AL$401,'Player Rounds'!$A$2:$A$401,$A43,'Player Rounds'!$B$2:$B$401,$B43,'Player Rounds'!$C$2:$C$401,$D43)-_xlfn.MINIFS('Player Rounds'!$AL$2:$AL$401,'Player Rounds'!$A$2:$A$401,$A43,'Player Rounds'!$B$2:$B$401,$B43,'Player Rounds'!$C$2:$C$401,$C43))))</f>
      </c>
      <c r="Y43" t="e">
        <f>IF($A43="","",IF(COUNTIFS('Player Rounds'!$A$2:$A$401,$A43,'Player Rounds'!$B$2:$B$401,$B43,'Player Rounds'!$S$2:$S$401,"&gt;0")=0,"",SIGN(_xlfn.MINIFS('Player Rounds'!$AM$2:$AM$401,'Player Rounds'!$A$2:$A$401,$A43,'Player Rounds'!$B$2:$B$401,$B43,'Player Rounds'!$C$2:$C$401,$D43)-_xlfn.MINIFS('Player Rounds'!$AM$2:$AM$401,'Player Rounds'!$A$2:$A$401,$A43,'Player Rounds'!$B$2:$B$401,$B43,'Player Rounds'!$C$2:$C$401,$C43))))</f>
      </c>
      <c r="Z43" t="e">
        <f>IF($A43="","",IF(COUNTIFS('Player Rounds'!$A$2:$A$401,$A43,'Player Rounds'!$B$2:$B$401,$B43,'Player Rounds'!$T$2:$T$401,"&gt;0")=0,"",SIGN(_xlfn.MINIFS('Player Rounds'!$AN$2:$AN$401,'Player Rounds'!$A$2:$A$401,$A43,'Player Rounds'!$B$2:$B$401,$B43,'Player Rounds'!$C$2:$C$401,$D43)-_xlfn.MINIFS('Player Rounds'!$AN$2:$AN$401,'Player Rounds'!$A$2:$A$401,$A43,'Player Rounds'!$B$2:$B$401,$B43,'Player Rounds'!$C$2:$C$401,$C43))))</f>
      </c>
      <c r="AA43" t="e">
        <f>IF($A43="","",IF(COUNTIFS('Player Rounds'!$A$2:$A$401,$A43,'Player Rounds'!$B$2:$B$401,$B43,'Player Rounds'!$U$2:$U$401,"&gt;0")=0,"",SIGN(_xlfn.MINIFS('Player Rounds'!$AO$2:$AO$401,'Player Rounds'!$A$2:$A$401,$A43,'Player Rounds'!$B$2:$B$401,$B43,'Player Rounds'!$C$2:$C$401,$D43)-_xlfn.MINIFS('Player Rounds'!$AO$2:$AO$401,'Player Rounds'!$A$2:$A$401,$A43,'Player Rounds'!$B$2:$B$401,$B43,'Player Rounds'!$C$2:$C$401,$C43))))</f>
      </c>
      <c r="AB43" t="e">
        <f>IF($A43="","",IF(COUNTIFS('Player Rounds'!$A$2:$A$401,$A43,'Player Rounds'!$B$2:$B$401,$B43,'Player Rounds'!$V$2:$V$401,"&gt;0")=0,"",SIGN(_xlfn.MINIFS('Player Rounds'!$AP$2:$AP$401,'Player Rounds'!$A$2:$A$401,$A43,'Player Rounds'!$B$2:$B$401,$B43,'Player Rounds'!$C$2:$C$401,$D43)-_xlfn.MINIFS('Player Rounds'!$AP$2:$AP$401,'Player Rounds'!$A$2:$A$401,$A43,'Player Rounds'!$B$2:$B$401,$B43,'Player Rounds'!$C$2:$C$401,$C43))))</f>
      </c>
      <c r="AC43" t="e">
        <f>IF($A43="","",IF(COUNTIFS('Player Rounds'!$A$2:$A$401,$A43,'Player Rounds'!$B$2:$B$401,$B43,'Player Rounds'!$W$2:$W$401,"&gt;0")=0,"",SIGN(_xlfn.MINIFS('Player Rounds'!$AQ$2:$AQ$401,'Player Rounds'!$A$2:$A$401,$A43,'Player Rounds'!$B$2:$B$401,$B43,'Player Rounds'!$C$2:$C$401,$D43)-_xlfn.MINIFS('Player Rounds'!$AQ$2:$AQ$401,'Player Rounds'!$A$2:$A$401,$A43,'Player Rounds'!$B$2:$B$401,$B43,'Player Rounds'!$C$2:$C$401,$C43))))</f>
      </c>
      <c r="AD43" t="e">
        <f>IF($A43="","",SUM($L43:L43))</f>
      </c>
      <c r="AE43" t="e">
        <f>IF($A43="","",SUM($L43:M43))</f>
      </c>
      <c r="AF43" t="e">
        <f>IF($A43="","",SUM($L43:N43))</f>
      </c>
      <c r="AG43" t="e">
        <f>IF($A43="","",SUM($L43:O43))</f>
      </c>
      <c r="AH43" t="e">
        <f>IF($A43="","",SUM($L43:P43))</f>
      </c>
      <c r="AI43" t="e">
        <f>IF($A43="","",SUM($L43:Q43))</f>
      </c>
      <c r="AJ43" t="e">
        <f>IF($A43="","",SUM($L43:R43))</f>
      </c>
      <c r="AK43" t="e">
        <f>IF($A43="","",SUM($L43:S43))</f>
      </c>
      <c r="AL43" t="e">
        <f>IF($A43="","",SUM($L43:T43))</f>
      </c>
      <c r="AM43" t="e">
        <f>IF($A43="","",SUM($L43:U43))</f>
      </c>
      <c r="AN43" t="e">
        <f>IF($A43="","",SUM($L43:V43))</f>
      </c>
      <c r="AO43" t="e">
        <f>IF($A43="","",SUM($L43:W43))</f>
      </c>
      <c r="AP43" t="e">
        <f>IF($A43="","",SUM($L43:X43))</f>
      </c>
      <c r="AQ43" t="e">
        <f>IF($A43="","",SUM($L43:Y43))</f>
      </c>
      <c r="AR43" t="e">
        <f>IF($A43="","",SUM($L43:Z43))</f>
      </c>
      <c r="AS43" t="e">
        <f>IF($A43="","",SUM($L43:AA43))</f>
      </c>
      <c r="AT43" t="e">
        <f>IF($A43="","",SUM($L43:AB43))</f>
      </c>
      <c r="AU43" t="e">
        <f>IF($A43="","",SUM($L43:AC43))</f>
      </c>
      <c r="AV43" t="e">
        <f>IF(OR($A43="",L43=""),"",IF(ABS(AD43)&gt;17,1,""))</f>
      </c>
      <c r="AW43" t="e">
        <f>IF(OR($A43="",M43=""),"",IF(ABS(AE43)&gt;16,2,""))</f>
      </c>
      <c r="AX43" t="e">
        <f>IF(OR($A43="",N43=""),"",IF(ABS(AF43)&gt;15,3,""))</f>
      </c>
      <c r="AY43" t="e">
        <f>IF(OR($A43="",O43=""),"",IF(ABS(AG43)&gt;14,4,""))</f>
      </c>
      <c r="AZ43" t="e">
        <f>IF(OR($A43="",P43=""),"",IF(ABS(AH43)&gt;13,5,""))</f>
      </c>
      <c r="BA43" t="e">
        <f>IF(OR($A43="",Q43=""),"",IF(ABS(AI43)&gt;12,6,""))</f>
      </c>
      <c r="BB43" t="e">
        <f>IF(OR($A43="",R43=""),"",IF(ABS(AJ43)&gt;11,7,""))</f>
      </c>
      <c r="BC43" t="e">
        <f>IF(OR($A43="",S43=""),"",IF(ABS(AK43)&gt;10,8,""))</f>
      </c>
      <c r="BD43" t="e">
        <f>IF(OR($A43="",T43=""),"",IF(ABS(AL43)&gt;9,9,""))</f>
      </c>
      <c r="BE43" t="e">
        <f>IF(OR($A43="",U43=""),"",IF(ABS(AM43)&gt;8,10,""))</f>
      </c>
      <c r="BF43" t="e">
        <f>IF(OR($A43="",V43=""),"",IF(ABS(AN43)&gt;7,11,""))</f>
      </c>
      <c r="BG43" t="e">
        <f>IF(OR($A43="",W43=""),"",IF(ABS(AO43)&gt;6,12,""))</f>
      </c>
      <c r="BH43" t="e">
        <f>IF(OR($A43="",X43=""),"",IF(ABS(AP43)&gt;5,13,""))</f>
      </c>
      <c r="BI43" t="e">
        <f>IF(OR($A43="",Y43=""),"",IF(ABS(AQ43)&gt;4,14,""))</f>
      </c>
      <c r="BJ43" t="e">
        <f>IF(OR($A43="",Z43=""),"",IF(ABS(AR43)&gt;3,15,""))</f>
      </c>
      <c r="BK43" t="e">
        <f>IF(OR($A43="",AA43=""),"",IF(ABS(AS43)&gt;2,16,""))</f>
      </c>
      <c r="BL43" t="e">
        <f>IF(OR($A43="",AB43=""),"",IF(ABS(AT43)&gt;1,17,""))</f>
      </c>
      <c r="BM43" t="e">
        <f>IF(OR($A43="",AC43=""),"",IF(ABS(AU43)&gt;0,18,""))</f>
      </c>
    </row>
    <row r="44">
      <c r="C44" t="str">
        <f>IF($A44="","",INDEX('Tournament Setup'!$J:$J,MATCH($A44,'Tournament Setup'!$A:$A,0)))</f>
        <v/>
      </c>
      <c r="D44" t="str">
        <f>IF($A44="","",INDEX('Tournament Setup'!$K:$K,MATCH($A44,'Tournament Setup'!$A:$A,0)))</f>
        <v/>
      </c>
      <c r="E44" t="str">
        <f>IF($A44="","",IF(COUNT(L44:AC44)=0,"Not played",IF(AND($K44&gt;0,$K44&lt;18),IF(INDEX(AD44:AU44,1,$K44)&gt;0,$C44,$D44)&amp;" "&amp;ABS(INDEX(AD44:AU44,1,$K44))&amp;"&amp;"&amp;(18-$K44),IF($J44=0,"Halved (AS)",IF($J44&gt;0,$C44,$D44)&amp;" "&amp;ABS($J44)&amp;" UP"))))</f>
        <v/>
      </c>
      <c r="F44" t="e">
        <f>IF(OR($A44="",COUNT(L44:AC44)=0),"",INDEX('Tournament Setup'!$I:$I,MATCH($A44,'Tournament Setup'!$A:$A,0))*IF(INDEX('Tournament Setup'!$H:$H,MATCH($A44,'Tournament Setup'!$A:$A,0))="Yes",IF($H44&gt;0,1,IF($H44=0,0.5,0))+IF($I44&gt;0,1,IF($I44=0,0.5,0))+IF($J44&gt;0,1,IF($J44=0,0.5,0)),IF(IF(AND($K44&gt;0,$K44&lt;18),INDEX(AD44:AU44,1,$K44),$J44)&gt;0,1,IF(IF(AND($K44&gt;0,$K44&lt;18),INDEX(AD44:AU44,1,$K44),$J44)=0,0.5,0))))</f>
      </c>
      <c r="G44" t="e">
        <f>IF(OR($A44="",COUNT(L44:AC44)=0),"",INDEX('Tournament Setup'!$I:$I,MATCH($A44,'Tournament Setup'!$A:$A,0))*IF(INDEX('Tournament Setup'!$H:$H,MATCH($A44,'Tournament Setup'!$A:$A,0))="Yes",IF($H44&lt;0,1,IF($H44=0,0.5,0))+IF($I44&lt;0,1,IF($I44=0,0.5,0))+IF($J44&lt;0,1,IF($J44=0,0.5,0)),IF(IF(AND($K44&gt;0,$K44&lt;18),INDEX(AD44:AU44,1,$K44),$J44)&lt;0,1,IF(IF(AND($K44&gt;0,$K44&lt;18),INDEX(AD44:AU44,1,$K44),$J44)=0,0.5,0))))</f>
      </c>
      <c r="H44" t="e">
        <f>IF($A44="","",SUM(L44:T44))</f>
      </c>
      <c r="I44" t="e">
        <f>IF($A44="","",SUM(U44:AC44))</f>
      </c>
      <c r="J44" t="e">
        <f>IF($A44="","",SUM(L44:AC44))</f>
      </c>
      <c r="K44" t="e">
        <f>IF($A44="","",MIN(AV44:BM44))</f>
      </c>
      <c r="L44" t="e">
        <f>IF($A44="","",IF(COUNTIFS('Player Rounds'!$A$2:$A$401,$A44,'Player Rounds'!$B$2:$B$401,$B44,'Player Rounds'!$F$2:$F$401,"&gt;0")=0,"",SIGN(_xlfn.MINIFS('Player Rounds'!$Z$2:$Z$401,'Player Rounds'!$A$2:$A$401,$A44,'Player Rounds'!$B$2:$B$401,$B44,'Player Rounds'!$C$2:$C$401,$D44)-_xlfn.MINIFS('Player Rounds'!$Z$2:$Z$401,'Player Rounds'!$A$2:$A$401,$A44,'Player Rounds'!$B$2:$B$401,$B44,'Player Rounds'!$C$2:$C$401,$C44))))</f>
      </c>
      <c r="M44" t="e">
        <f>IF($A44="","",IF(COUNTIFS('Player Rounds'!$A$2:$A$401,$A44,'Player Rounds'!$B$2:$B$401,$B44,'Player Rounds'!$G$2:$G$401,"&gt;0")=0,"",SIGN(_xlfn.MINIFS('Player Rounds'!$AA$2:$AA$401,'Player Rounds'!$A$2:$A$401,$A44,'Player Rounds'!$B$2:$B$401,$B44,'Player Rounds'!$C$2:$C$401,$D44)-_xlfn.MINIFS('Player Rounds'!$AA$2:$AA$401,'Player Rounds'!$A$2:$A$401,$A44,'Player Rounds'!$B$2:$B$401,$B44,'Player Rounds'!$C$2:$C$401,$C44))))</f>
      </c>
      <c r="N44" t="e">
        <f>IF($A44="","",IF(COUNTIFS('Player Rounds'!$A$2:$A$401,$A44,'Player Rounds'!$B$2:$B$401,$B44,'Player Rounds'!$H$2:$H$401,"&gt;0")=0,"",SIGN(_xlfn.MINIFS('Player Rounds'!$AB$2:$AB$401,'Player Rounds'!$A$2:$A$401,$A44,'Player Rounds'!$B$2:$B$401,$B44,'Player Rounds'!$C$2:$C$401,$D44)-_xlfn.MINIFS('Player Rounds'!$AB$2:$AB$401,'Player Rounds'!$A$2:$A$401,$A44,'Player Rounds'!$B$2:$B$401,$B44,'Player Rounds'!$C$2:$C$401,$C44))))</f>
      </c>
      <c r="O44" t="e">
        <f>IF($A44="","",IF(COUNTIFS('Player Rounds'!$A$2:$A$401,$A44,'Player Rounds'!$B$2:$B$401,$B44,'Player Rounds'!$I$2:$I$401,"&gt;0")=0,"",SIGN(_xlfn.MINIFS('Player Rounds'!$AC$2:$AC$401,'Player Rounds'!$A$2:$A$401,$A44,'Player Rounds'!$B$2:$B$401,$B44,'Player Rounds'!$C$2:$C$401,$D44)-_xlfn.MINIFS('Player Rounds'!$AC$2:$AC$401,'Player Rounds'!$A$2:$A$401,$A44,'Player Rounds'!$B$2:$B$401,$B44,'Player Rounds'!$C$2:$C$401,$C44))))</f>
      </c>
      <c r="P44" t="e">
        <f>IF($A44="","",IF(COUNTIFS('Player Rounds'!$A$2:$A$401,$A44,'Player Rounds'!$B$2:$B$401,$B44,'Player Rounds'!$J$2:$J$401,"&gt;0")=0,"",SIGN(_xlfn.MINIFS('Player Rounds'!$AD$2:$AD$401,'Player Rounds'!$A$2:$A$401,$A44,'Player Rounds'!$B$2:$B$401,$B44,'Player Rounds'!$C$2:$C$401,$D44)-_xlfn.MINIFS('Player Rounds'!$AD$2:$AD$401,'Player Rounds'!$A$2:$A$401,$A44,'Player Rounds'!$B$2:$B$401,$B44,'Player Rounds'!$C$2:$C$401,$C44))))</f>
      </c>
      <c r="Q44" t="e">
        <f>IF($A44="","",IF(COUNTIFS('Player Rounds'!$A$2:$A$401,$A44,'Player Rounds'!$B$2:$B$401,$B44,'Player Rounds'!$K$2:$K$401,"&gt;0")=0,"",SIGN(_xlfn.MINIFS('Player Rounds'!$AE$2:$AE$401,'Player Rounds'!$A$2:$A$401,$A44,'Player Rounds'!$B$2:$B$401,$B44,'Player Rounds'!$C$2:$C$401,$D44)-_xlfn.MINIFS('Player Rounds'!$AE$2:$AE$401,'Player Rounds'!$A$2:$A$401,$A44,'Player Rounds'!$B$2:$B$401,$B44,'Player Rounds'!$C$2:$C$401,$C44))))</f>
      </c>
      <c r="R44" t="e">
        <f>IF($A44="","",IF(COUNTIFS('Player Rounds'!$A$2:$A$401,$A44,'Player Rounds'!$B$2:$B$401,$B44,'Player Rounds'!$L$2:$L$401,"&gt;0")=0,"",SIGN(_xlfn.MINIFS('Player Rounds'!$AF$2:$AF$401,'Player Rounds'!$A$2:$A$401,$A44,'Player Rounds'!$B$2:$B$401,$B44,'Player Rounds'!$C$2:$C$401,$D44)-_xlfn.MINIFS('Player Rounds'!$AF$2:$AF$401,'Player Rounds'!$A$2:$A$401,$A44,'Player Rounds'!$B$2:$B$401,$B44,'Player Rounds'!$C$2:$C$401,$C44))))</f>
      </c>
      <c r="S44" t="e">
        <f>IF($A44="","",IF(COUNTIFS('Player Rounds'!$A$2:$A$401,$A44,'Player Rounds'!$B$2:$B$401,$B44,'Player Rounds'!$M$2:$M$401,"&gt;0")=0,"",SIGN(_xlfn.MINIFS('Player Rounds'!$AG$2:$AG$401,'Player Rounds'!$A$2:$A$401,$A44,'Player Rounds'!$B$2:$B$401,$B44,'Player Rounds'!$C$2:$C$401,$D44)-_xlfn.MINIFS('Player Rounds'!$AG$2:$AG$401,'Player Rounds'!$A$2:$A$401,$A44,'Player Rounds'!$B$2:$B$401,$B44,'Player Rounds'!$C$2:$C$401,$C44))))</f>
      </c>
      <c r="T44" t="e">
        <f>IF($A44="","",IF(COUNTIFS('Player Rounds'!$A$2:$A$401,$A44,'Player Rounds'!$B$2:$B$401,$B44,'Player Rounds'!$N$2:$N$401,"&gt;0")=0,"",SIGN(_xlfn.MINIFS('Player Rounds'!$AH$2:$AH$401,'Player Rounds'!$A$2:$A$401,$A44,'Player Rounds'!$B$2:$B$401,$B44,'Player Rounds'!$C$2:$C$401,$D44)-_xlfn.MINIFS('Player Rounds'!$AH$2:$AH$401,'Player Rounds'!$A$2:$A$401,$A44,'Player Rounds'!$B$2:$B$401,$B44,'Player Rounds'!$C$2:$C$401,$C44))))</f>
      </c>
      <c r="U44" t="e">
        <f>IF($A44="","",IF(COUNTIFS('Player Rounds'!$A$2:$A$401,$A44,'Player Rounds'!$B$2:$B$401,$B44,'Player Rounds'!$O$2:$O$401,"&gt;0")=0,"",SIGN(_xlfn.MINIFS('Player Rounds'!$AI$2:$AI$401,'Player Rounds'!$A$2:$A$401,$A44,'Player Rounds'!$B$2:$B$401,$B44,'Player Rounds'!$C$2:$C$401,$D44)-_xlfn.MINIFS('Player Rounds'!$AI$2:$AI$401,'Player Rounds'!$A$2:$A$401,$A44,'Player Rounds'!$B$2:$B$401,$B44,'Player Rounds'!$C$2:$C$401,$C44))))</f>
      </c>
      <c r="V44" t="e">
        <f>IF($A44="","",IF(COUNTIFS('Player Rounds'!$A$2:$A$401,$A44,'Player Rounds'!$B$2:$B$401,$B44,'Player Rounds'!$P$2:$P$401,"&gt;0")=0,"",SIGN(_xlfn.MINIFS('Player Rounds'!$AJ$2:$AJ$401,'Player Rounds'!$A$2:$A$401,$A44,'Player Rounds'!$B$2:$B$401,$B44,'Player Rounds'!$C$2:$C$401,$D44)-_xlfn.MINIFS('Player Rounds'!$AJ$2:$AJ$401,'Player Rounds'!$A$2:$A$401,$A44,'Player Rounds'!$B$2:$B$401,$B44,'Player Rounds'!$C$2:$C$401,$C44))))</f>
      </c>
      <c r="W44" t="e">
        <f>IF($A44="","",IF(COUNTIFS('Player Rounds'!$A$2:$A$401,$A44,'Player Rounds'!$B$2:$B$401,$B44,'Player Rounds'!$Q$2:$Q$401,"&gt;0")=0,"",SIGN(_xlfn.MINIFS('Player Rounds'!$AK$2:$AK$401,'Player Rounds'!$A$2:$A$401,$A44,'Player Rounds'!$B$2:$B$401,$B44,'Player Rounds'!$C$2:$C$401,$D44)-_xlfn.MINIFS('Player Rounds'!$AK$2:$AK$401,'Player Rounds'!$A$2:$A$401,$A44,'Player Rounds'!$B$2:$B$401,$B44,'Player Rounds'!$C$2:$C$401,$C44))))</f>
      </c>
      <c r="X44" t="e">
        <f>IF($A44="","",IF(COUNTIFS('Player Rounds'!$A$2:$A$401,$A44,'Player Rounds'!$B$2:$B$401,$B44,'Player Rounds'!$R$2:$R$401,"&gt;0")=0,"",SIGN(_xlfn.MINIFS('Player Rounds'!$AL$2:$AL$401,'Player Rounds'!$A$2:$A$401,$A44,'Player Rounds'!$B$2:$B$401,$B44,'Player Rounds'!$C$2:$C$401,$D44)-_xlfn.MINIFS('Player Rounds'!$AL$2:$AL$401,'Player Rounds'!$A$2:$A$401,$A44,'Player Rounds'!$B$2:$B$401,$B44,'Player Rounds'!$C$2:$C$401,$C44))))</f>
      </c>
      <c r="Y44" t="e">
        <f>IF($A44="","",IF(COUNTIFS('Player Rounds'!$A$2:$A$401,$A44,'Player Rounds'!$B$2:$B$401,$B44,'Player Rounds'!$S$2:$S$401,"&gt;0")=0,"",SIGN(_xlfn.MINIFS('Player Rounds'!$AM$2:$AM$401,'Player Rounds'!$A$2:$A$401,$A44,'Player Rounds'!$B$2:$B$401,$B44,'Player Rounds'!$C$2:$C$401,$D44)-_xlfn.MINIFS('Player Rounds'!$AM$2:$AM$401,'Player Rounds'!$A$2:$A$401,$A44,'Player Rounds'!$B$2:$B$401,$B44,'Player Rounds'!$C$2:$C$401,$C44))))</f>
      </c>
      <c r="Z44" t="e">
        <f>IF($A44="","",IF(COUNTIFS('Player Rounds'!$A$2:$A$401,$A44,'Player Rounds'!$B$2:$B$401,$B44,'Player Rounds'!$T$2:$T$401,"&gt;0")=0,"",SIGN(_xlfn.MINIFS('Player Rounds'!$AN$2:$AN$401,'Player Rounds'!$A$2:$A$401,$A44,'Player Rounds'!$B$2:$B$401,$B44,'Player Rounds'!$C$2:$C$401,$D44)-_xlfn.MINIFS('Player Rounds'!$AN$2:$AN$401,'Player Rounds'!$A$2:$A$401,$A44,'Player Rounds'!$B$2:$B$401,$B44,'Player Rounds'!$C$2:$C$401,$C44))))</f>
      </c>
      <c r="AA44" t="e">
        <f>IF($A44="","",IF(COUNTIFS('Player Rounds'!$A$2:$A$401,$A44,'Player Rounds'!$B$2:$B$401,$B44,'Player Rounds'!$U$2:$U$401,"&gt;0")=0,"",SIGN(_xlfn.MINIFS('Player Rounds'!$AO$2:$AO$401,'Player Rounds'!$A$2:$A$401,$A44,'Player Rounds'!$B$2:$B$401,$B44,'Player Rounds'!$C$2:$C$401,$D44)-_xlfn.MINIFS('Player Rounds'!$AO$2:$AO$401,'Player Rounds'!$A$2:$A$401,$A44,'Player Rounds'!$B$2:$B$401,$B44,'Player Rounds'!$C$2:$C$401,$C44))))</f>
      </c>
      <c r="AB44" t="e">
        <f>IF($A44="","",IF(COUNTIFS('Player Rounds'!$A$2:$A$401,$A44,'Player Rounds'!$B$2:$B$401,$B44,'Player Rounds'!$V$2:$V$401,"&gt;0")=0,"",SIGN(_xlfn.MINIFS('Player Rounds'!$AP$2:$AP$401,'Player Rounds'!$A$2:$A$401,$A44,'Player Rounds'!$B$2:$B$401,$B44,'Player Rounds'!$C$2:$C$401,$D44)-_xlfn.MINIFS('Player Rounds'!$AP$2:$AP$401,'Player Rounds'!$A$2:$A$401,$A44,'Player Rounds'!$B$2:$B$401,$B44,'Player Rounds'!$C$2:$C$401,$C44))))</f>
      </c>
      <c r="AC44" t="e">
        <f>IF($A44="","",IF(COUNTIFS('Player Rounds'!$A$2:$A$401,$A44,'Player Rounds'!$B$2:$B$401,$B44,'Player Rounds'!$W$2:$W$401,"&gt;0")=0,"",SIGN(_xlfn.MINIFS('Player Rounds'!$AQ$2:$AQ$401,'Player Rounds'!$A$2:$A$401,$A44,'Player Rounds'!$B$2:$B$401,$B44,'Player Rounds'!$C$2:$C$401,$D44)-_xlfn.MINIFS('Player Rounds'!$AQ$2:$AQ$401,'Player Rounds'!$A$2:$A$401,$A44,'Player Rounds'!$B$2:$B$401,$B44,'Player Rounds'!$C$2:$C$401,$C44))))</f>
      </c>
      <c r="AD44" t="e">
        <f>IF($A44="","",SUM($L44:L44))</f>
      </c>
      <c r="AE44" t="e">
        <f>IF($A44="","",SUM($L44:M44))</f>
      </c>
      <c r="AF44" t="e">
        <f>IF($A44="","",SUM($L44:N44))</f>
      </c>
      <c r="AG44" t="e">
        <f>IF($A44="","",SUM($L44:O44))</f>
      </c>
      <c r="AH44" t="e">
        <f>IF($A44="","",SUM($L44:P44))</f>
      </c>
      <c r="AI44" t="e">
        <f>IF($A44="","",SUM($L44:Q44))</f>
      </c>
      <c r="AJ44" t="e">
        <f>IF($A44="","",SUM($L44:R44))</f>
      </c>
      <c r="AK44" t="e">
        <f>IF($A44="","",SUM($L44:S44))</f>
      </c>
      <c r="AL44" t="e">
        <f>IF($A44="","",SUM($L44:T44))</f>
      </c>
      <c r="AM44" t="e">
        <f>IF($A44="","",SUM($L44:U44))</f>
      </c>
      <c r="AN44" t="e">
        <f>IF($A44="","",SUM($L44:V44))</f>
      </c>
      <c r="AO44" t="e">
        <f>IF($A44="","",SUM($L44:W44))</f>
      </c>
      <c r="AP44" t="e">
        <f>IF($A44="","",SUM($L44:X44))</f>
      </c>
      <c r="AQ44" t="e">
        <f>IF($A44="","",SUM($L44:Y44))</f>
      </c>
      <c r="AR44" t="e">
        <f>IF($A44="","",SUM($L44:Z44))</f>
      </c>
      <c r="AS44" t="e">
        <f>IF($A44="","",SUM($L44:AA44))</f>
      </c>
      <c r="AT44" t="e">
        <f>IF($A44="","",SUM($L44:AB44))</f>
      </c>
      <c r="AU44" t="e">
        <f>IF($A44="","",SUM($L44:AC44))</f>
      </c>
      <c r="AV44" t="e">
        <f>IF(OR($A44="",L44=""),"",IF(ABS(AD44)&gt;17,1,""))</f>
      </c>
      <c r="AW44" t="e">
        <f>IF(OR($A44="",M44=""),"",IF(ABS(AE44)&gt;16,2,""))</f>
      </c>
      <c r="AX44" t="e">
        <f>IF(OR($A44="",N44=""),"",IF(ABS(AF44)&gt;15,3,""))</f>
      </c>
      <c r="AY44" t="e">
        <f>IF(OR($A44="",O44=""),"",IF(ABS(AG44)&gt;14,4,""))</f>
      </c>
      <c r="AZ44" t="e">
        <f>IF(OR($A44="",P44=""),"",IF(ABS(AH44)&gt;13,5,""))</f>
      </c>
      <c r="BA44" t="e">
        <f>IF(OR($A44="",Q44=""),"",IF(ABS(AI44)&gt;12,6,""))</f>
      </c>
      <c r="BB44" t="e">
        <f>IF(OR($A44="",R44=""),"",IF(ABS(AJ44)&gt;11,7,""))</f>
      </c>
      <c r="BC44" t="e">
        <f>IF(OR($A44="",S44=""),"",IF(ABS(AK44)&gt;10,8,""))</f>
      </c>
      <c r="BD44" t="e">
        <f>IF(OR($A44="",T44=""),"",IF(ABS(AL44)&gt;9,9,""))</f>
      </c>
      <c r="BE44" t="e">
        <f>IF(OR($A44="",U44=""),"",IF(ABS(AM44)&gt;8,10,""))</f>
      </c>
      <c r="BF44" t="e">
        <f>IF(OR($A44="",V44=""),"",IF(ABS(AN44)&gt;7,11,""))</f>
      </c>
      <c r="BG44" t="e">
        <f>IF(OR($A44="",W44=""),"",IF(ABS(AO44)&gt;6,12,""))</f>
      </c>
      <c r="BH44" t="e">
        <f>IF(OR($A44="",X44=""),"",IF(ABS(AP44)&gt;5,13,""))</f>
      </c>
      <c r="BI44" t="e">
        <f>IF(OR($A44="",Y44=""),"",IF(ABS(AQ44)&gt;4,14,""))</f>
      </c>
      <c r="BJ44" t="e">
        <f>IF(OR($A44="",Z44=""),"",IF(ABS(AR44)&gt;3,15,""))</f>
      </c>
      <c r="BK44" t="e">
        <f>IF(OR($A44="",AA44=""),"",IF(ABS(AS44)&gt;2,16,""))</f>
      </c>
      <c r="BL44" t="e">
        <f>IF(OR($A44="",AB44=""),"",IF(ABS(AT44)&gt;1,17,""))</f>
      </c>
      <c r="BM44" t="e">
        <f>IF(OR($A44="",AC44=""),"",IF(ABS(AU44)&gt;0,18,""))</f>
      </c>
    </row>
    <row r="45">
      <c r="C45" t="str">
        <f>IF($A45="","",INDEX('Tournament Setup'!$J:$J,MATCH($A45,'Tournament Setup'!$A:$A,0)))</f>
        <v/>
      </c>
      <c r="D45" t="str">
        <f>IF($A45="","",INDEX('Tournament Setup'!$K:$K,MATCH($A45,'Tournament Setup'!$A:$A,0)))</f>
        <v/>
      </c>
      <c r="E45" t="str">
        <f>IF($A45="","",IF(COUNT(L45:AC45)=0,"Not played",IF(AND($K45&gt;0,$K45&lt;18),IF(INDEX(AD45:AU45,1,$K45)&gt;0,$C45,$D45)&amp;" "&amp;ABS(INDEX(AD45:AU45,1,$K45))&amp;"&amp;"&amp;(18-$K45),IF($J45=0,"Halved (AS)",IF($J45&gt;0,$C45,$D45)&amp;" "&amp;ABS($J45)&amp;" UP"))))</f>
        <v/>
      </c>
      <c r="F45" t="e">
        <f>IF(OR($A45="",COUNT(L45:AC45)=0),"",INDEX('Tournament Setup'!$I:$I,MATCH($A45,'Tournament Setup'!$A:$A,0))*IF(INDEX('Tournament Setup'!$H:$H,MATCH($A45,'Tournament Setup'!$A:$A,0))="Yes",IF($H45&gt;0,1,IF($H45=0,0.5,0))+IF($I45&gt;0,1,IF($I45=0,0.5,0))+IF($J45&gt;0,1,IF($J45=0,0.5,0)),IF(IF(AND($K45&gt;0,$K45&lt;18),INDEX(AD45:AU45,1,$K45),$J45)&gt;0,1,IF(IF(AND($K45&gt;0,$K45&lt;18),INDEX(AD45:AU45,1,$K45),$J45)=0,0.5,0))))</f>
      </c>
      <c r="G45" t="e">
        <f>IF(OR($A45="",COUNT(L45:AC45)=0),"",INDEX('Tournament Setup'!$I:$I,MATCH($A45,'Tournament Setup'!$A:$A,0))*IF(INDEX('Tournament Setup'!$H:$H,MATCH($A45,'Tournament Setup'!$A:$A,0))="Yes",IF($H45&lt;0,1,IF($H45=0,0.5,0))+IF($I45&lt;0,1,IF($I45=0,0.5,0))+IF($J45&lt;0,1,IF($J45=0,0.5,0)),IF(IF(AND($K45&gt;0,$K45&lt;18),INDEX(AD45:AU45,1,$K45),$J45)&lt;0,1,IF(IF(AND($K45&gt;0,$K45&lt;18),INDEX(AD45:AU45,1,$K45),$J45)=0,0.5,0))))</f>
      </c>
      <c r="H45" t="e">
        <f>IF($A45="","",SUM(L45:T45))</f>
      </c>
      <c r="I45" t="e">
        <f>IF($A45="","",SUM(U45:AC45))</f>
      </c>
      <c r="J45" t="e">
        <f>IF($A45="","",SUM(L45:AC45))</f>
      </c>
      <c r="K45" t="e">
        <f>IF($A45="","",MIN(AV45:BM45))</f>
      </c>
      <c r="L45" t="e">
        <f>IF($A45="","",IF(COUNTIFS('Player Rounds'!$A$2:$A$401,$A45,'Player Rounds'!$B$2:$B$401,$B45,'Player Rounds'!$F$2:$F$401,"&gt;0")=0,"",SIGN(_xlfn.MINIFS('Player Rounds'!$Z$2:$Z$401,'Player Rounds'!$A$2:$A$401,$A45,'Player Rounds'!$B$2:$B$401,$B45,'Player Rounds'!$C$2:$C$401,$D45)-_xlfn.MINIFS('Player Rounds'!$Z$2:$Z$401,'Player Rounds'!$A$2:$A$401,$A45,'Player Rounds'!$B$2:$B$401,$B45,'Player Rounds'!$C$2:$C$401,$C45))))</f>
      </c>
      <c r="M45" t="e">
        <f>IF($A45="","",IF(COUNTIFS('Player Rounds'!$A$2:$A$401,$A45,'Player Rounds'!$B$2:$B$401,$B45,'Player Rounds'!$G$2:$G$401,"&gt;0")=0,"",SIGN(_xlfn.MINIFS('Player Rounds'!$AA$2:$AA$401,'Player Rounds'!$A$2:$A$401,$A45,'Player Rounds'!$B$2:$B$401,$B45,'Player Rounds'!$C$2:$C$401,$D45)-_xlfn.MINIFS('Player Rounds'!$AA$2:$AA$401,'Player Rounds'!$A$2:$A$401,$A45,'Player Rounds'!$B$2:$B$401,$B45,'Player Rounds'!$C$2:$C$401,$C45))))</f>
      </c>
      <c r="N45" t="e">
        <f>IF($A45="","",IF(COUNTIFS('Player Rounds'!$A$2:$A$401,$A45,'Player Rounds'!$B$2:$B$401,$B45,'Player Rounds'!$H$2:$H$401,"&gt;0")=0,"",SIGN(_xlfn.MINIFS('Player Rounds'!$AB$2:$AB$401,'Player Rounds'!$A$2:$A$401,$A45,'Player Rounds'!$B$2:$B$401,$B45,'Player Rounds'!$C$2:$C$401,$D45)-_xlfn.MINIFS('Player Rounds'!$AB$2:$AB$401,'Player Rounds'!$A$2:$A$401,$A45,'Player Rounds'!$B$2:$B$401,$B45,'Player Rounds'!$C$2:$C$401,$C45))))</f>
      </c>
      <c r="O45" t="e">
        <f>IF($A45="","",IF(COUNTIFS('Player Rounds'!$A$2:$A$401,$A45,'Player Rounds'!$B$2:$B$401,$B45,'Player Rounds'!$I$2:$I$401,"&gt;0")=0,"",SIGN(_xlfn.MINIFS('Player Rounds'!$AC$2:$AC$401,'Player Rounds'!$A$2:$A$401,$A45,'Player Rounds'!$B$2:$B$401,$B45,'Player Rounds'!$C$2:$C$401,$D45)-_xlfn.MINIFS('Player Rounds'!$AC$2:$AC$401,'Player Rounds'!$A$2:$A$401,$A45,'Player Rounds'!$B$2:$B$401,$B45,'Player Rounds'!$C$2:$C$401,$C45))))</f>
      </c>
      <c r="P45" t="e">
        <f>IF($A45="","",IF(COUNTIFS('Player Rounds'!$A$2:$A$401,$A45,'Player Rounds'!$B$2:$B$401,$B45,'Player Rounds'!$J$2:$J$401,"&gt;0")=0,"",SIGN(_xlfn.MINIFS('Player Rounds'!$AD$2:$AD$401,'Player Rounds'!$A$2:$A$401,$A45,'Player Rounds'!$B$2:$B$401,$B45,'Player Rounds'!$C$2:$C$401,$D45)-_xlfn.MINIFS('Player Rounds'!$AD$2:$AD$401,'Player Rounds'!$A$2:$A$401,$A45,'Player Rounds'!$B$2:$B$401,$B45,'Player Rounds'!$C$2:$C$401,$C45))))</f>
      </c>
      <c r="Q45" t="e">
        <f>IF($A45="","",IF(COUNTIFS('Player Rounds'!$A$2:$A$401,$A45,'Player Rounds'!$B$2:$B$401,$B45,'Player Rounds'!$K$2:$K$401,"&gt;0")=0,"",SIGN(_xlfn.MINIFS('Player Rounds'!$AE$2:$AE$401,'Player Rounds'!$A$2:$A$401,$A45,'Player Rounds'!$B$2:$B$401,$B45,'Player Rounds'!$C$2:$C$401,$D45)-_xlfn.MINIFS('Player Rounds'!$AE$2:$AE$401,'Player Rounds'!$A$2:$A$401,$A45,'Player Rounds'!$B$2:$B$401,$B45,'Player Rounds'!$C$2:$C$401,$C45))))</f>
      </c>
      <c r="R45" t="e">
        <f>IF($A45="","",IF(COUNTIFS('Player Rounds'!$A$2:$A$401,$A45,'Player Rounds'!$B$2:$B$401,$B45,'Player Rounds'!$L$2:$L$401,"&gt;0")=0,"",SIGN(_xlfn.MINIFS('Player Rounds'!$AF$2:$AF$401,'Player Rounds'!$A$2:$A$401,$A45,'Player Rounds'!$B$2:$B$401,$B45,'Player Rounds'!$C$2:$C$401,$D45)-_xlfn.MINIFS('Player Rounds'!$AF$2:$AF$401,'Player Rounds'!$A$2:$A$401,$A45,'Player Rounds'!$B$2:$B$401,$B45,'Player Rounds'!$C$2:$C$401,$C45))))</f>
      </c>
      <c r="S45" t="e">
        <f>IF($A45="","",IF(COUNTIFS('Player Rounds'!$A$2:$A$401,$A45,'Player Rounds'!$B$2:$B$401,$B45,'Player Rounds'!$M$2:$M$401,"&gt;0")=0,"",SIGN(_xlfn.MINIFS('Player Rounds'!$AG$2:$AG$401,'Player Rounds'!$A$2:$A$401,$A45,'Player Rounds'!$B$2:$B$401,$B45,'Player Rounds'!$C$2:$C$401,$D45)-_xlfn.MINIFS('Player Rounds'!$AG$2:$AG$401,'Player Rounds'!$A$2:$A$401,$A45,'Player Rounds'!$B$2:$B$401,$B45,'Player Rounds'!$C$2:$C$401,$C45))))</f>
      </c>
      <c r="T45" t="e">
        <f>IF($A45="","",IF(COUNTIFS('Player Rounds'!$A$2:$A$401,$A45,'Player Rounds'!$B$2:$B$401,$B45,'Player Rounds'!$N$2:$N$401,"&gt;0")=0,"",SIGN(_xlfn.MINIFS('Player Rounds'!$AH$2:$AH$401,'Player Rounds'!$A$2:$A$401,$A45,'Player Rounds'!$B$2:$B$401,$B45,'Player Rounds'!$C$2:$C$401,$D45)-_xlfn.MINIFS('Player Rounds'!$AH$2:$AH$401,'Player Rounds'!$A$2:$A$401,$A45,'Player Rounds'!$B$2:$B$401,$B45,'Player Rounds'!$C$2:$C$401,$C45))))</f>
      </c>
      <c r="U45" t="e">
        <f>IF($A45="","",IF(COUNTIFS('Player Rounds'!$A$2:$A$401,$A45,'Player Rounds'!$B$2:$B$401,$B45,'Player Rounds'!$O$2:$O$401,"&gt;0")=0,"",SIGN(_xlfn.MINIFS('Player Rounds'!$AI$2:$AI$401,'Player Rounds'!$A$2:$A$401,$A45,'Player Rounds'!$B$2:$B$401,$B45,'Player Rounds'!$C$2:$C$401,$D45)-_xlfn.MINIFS('Player Rounds'!$AI$2:$AI$401,'Player Rounds'!$A$2:$A$401,$A45,'Player Rounds'!$B$2:$B$401,$B45,'Player Rounds'!$C$2:$C$401,$C45))))</f>
      </c>
      <c r="V45" t="e">
        <f>IF($A45="","",IF(COUNTIFS('Player Rounds'!$A$2:$A$401,$A45,'Player Rounds'!$B$2:$B$401,$B45,'Player Rounds'!$P$2:$P$401,"&gt;0")=0,"",SIGN(_xlfn.MINIFS('Player Rounds'!$AJ$2:$AJ$401,'Player Rounds'!$A$2:$A$401,$A45,'Player Rounds'!$B$2:$B$401,$B45,'Player Rounds'!$C$2:$C$401,$D45)-_xlfn.MINIFS('Player Rounds'!$AJ$2:$AJ$401,'Player Rounds'!$A$2:$A$401,$A45,'Player Rounds'!$B$2:$B$401,$B45,'Player Rounds'!$C$2:$C$401,$C45))))</f>
      </c>
      <c r="W45" t="e">
        <f>IF($A45="","",IF(COUNTIFS('Player Rounds'!$A$2:$A$401,$A45,'Player Rounds'!$B$2:$B$401,$B45,'Player Rounds'!$Q$2:$Q$401,"&gt;0")=0,"",SIGN(_xlfn.MINIFS('Player Rounds'!$AK$2:$AK$401,'Player Rounds'!$A$2:$A$401,$A45,'Player Rounds'!$B$2:$B$401,$B45,'Player Rounds'!$C$2:$C$401,$D45)-_xlfn.MINIFS('Player Rounds'!$AK$2:$AK$401,'Player Rounds'!$A$2:$A$401,$A45,'Player Rounds'!$B$2:$B$401,$B45,'Player Rounds'!$C$2:$C$401,$C45))))</f>
      </c>
      <c r="X45" t="e">
        <f>IF($A45="","",IF(COUNTIFS('Player Rounds'!$A$2:$A$401,$A45,'Player Rounds'!$B$2:$B$401,$B45,'Player Rounds'!$R$2:$R$401,"&gt;0")=0,"",SIGN(_xlfn.MINIFS('Player Rounds'!$AL$2:$AL$401,'Player Rounds'!$A$2:$A$401,$A45,'Player Rounds'!$B$2:$B$401,$B45,'Player Rounds'!$C$2:$C$401,$D45)-_xlfn.MINIFS('Player Rounds'!$AL$2:$AL$401,'Player Rounds'!$A$2:$A$401,$A45,'Player Rounds'!$B$2:$B$401,$B45,'Player Rounds'!$C$2:$C$401,$C45))))</f>
      </c>
      <c r="Y45" t="e">
        <f>IF($A45="","",IF(COUNTIFS('Player Rounds'!$A$2:$A$401,$A45,'Player Rounds'!$B$2:$B$401,$B45,'Player Rounds'!$S$2:$S$401,"&gt;0")=0,"",SIGN(_xlfn.MINIFS('Player Rounds'!$AM$2:$AM$401,'Player Rounds'!$A$2:$A$401,$A45,'Player Rounds'!$B$2:$B$401,$B45,'Player Rounds'!$C$2:$C$401,$D45)-_xlfn.MINIFS('Player Rounds'!$AM$2:$AM$401,'Player Rounds'!$A$2:$A$401,$A45,'Player Rounds'!$B$2:$B$401,$B45,'Player Rounds'!$C$2:$C$401,$C45))))</f>
      </c>
      <c r="Z45" t="e">
        <f>IF($A45="","",IF(COUNTIFS('Player Rounds'!$A$2:$A$401,$A45,'Player Rounds'!$B$2:$B$401,$B45,'Player Rounds'!$T$2:$T$401,"&gt;0")=0,"",SIGN(_xlfn.MINIFS('Player Rounds'!$AN$2:$AN$401,'Player Rounds'!$A$2:$A$401,$A45,'Player Rounds'!$B$2:$B$401,$B45,'Player Rounds'!$C$2:$C$401,$D45)-_xlfn.MINIFS('Player Rounds'!$AN$2:$AN$401,'Player Rounds'!$A$2:$A$401,$A45,'Player Rounds'!$B$2:$B$401,$B45,'Player Rounds'!$C$2:$C$401,$C45))))</f>
      </c>
      <c r="AA45" t="e">
        <f>IF($A45="","",IF(COUNTIFS('Player Rounds'!$A$2:$A$401,$A45,'Player Rounds'!$B$2:$B$401,$B45,'Player Rounds'!$U$2:$U$401,"&gt;0")=0,"",SIGN(_xlfn.MINIFS('Player Rounds'!$AO$2:$AO$401,'Player Rounds'!$A$2:$A$401,$A45,'Player Rounds'!$B$2:$B$401,$B45,'Player Rounds'!$C$2:$C$401,$D45)-_xlfn.MINIFS('Player Rounds'!$AO$2:$AO$401,'Player Rounds'!$A$2:$A$401,$A45,'Player Rounds'!$B$2:$B$401,$B45,'Player Rounds'!$C$2:$C$401,$C45))))</f>
      </c>
      <c r="AB45" t="e">
        <f>IF($A45="","",IF(COUNTIFS('Player Rounds'!$A$2:$A$401,$A45,'Player Rounds'!$B$2:$B$401,$B45,'Player Rounds'!$V$2:$V$401,"&gt;0")=0,"",SIGN(_xlfn.MINIFS('Player Rounds'!$AP$2:$AP$401,'Player Rounds'!$A$2:$A$401,$A45,'Player Rounds'!$B$2:$B$401,$B45,'Player Rounds'!$C$2:$C$401,$D45)-_xlfn.MINIFS('Player Rounds'!$AP$2:$AP$401,'Player Rounds'!$A$2:$A$401,$A45,'Player Rounds'!$B$2:$B$401,$B45,'Player Rounds'!$C$2:$C$401,$C45))))</f>
      </c>
      <c r="AC45" t="e">
        <f>IF($A45="","",IF(COUNTIFS('Player Rounds'!$A$2:$A$401,$A45,'Player Rounds'!$B$2:$B$401,$B45,'Player Rounds'!$W$2:$W$401,"&gt;0")=0,"",SIGN(_xlfn.MINIFS('Player Rounds'!$AQ$2:$AQ$401,'Player Rounds'!$A$2:$A$401,$A45,'Player Rounds'!$B$2:$B$401,$B45,'Player Rounds'!$C$2:$C$401,$D45)-_xlfn.MINIFS('Player Rounds'!$AQ$2:$AQ$401,'Player Rounds'!$A$2:$A$401,$A45,'Player Rounds'!$B$2:$B$401,$B45,'Player Rounds'!$C$2:$C$401,$C45))))</f>
      </c>
      <c r="AD45" t="e">
        <f>IF($A45="","",SUM($L45:L45))</f>
      </c>
      <c r="AE45" t="e">
        <f>IF($A45="","",SUM($L45:M45))</f>
      </c>
      <c r="AF45" t="e">
        <f>IF($A45="","",SUM($L45:N45))</f>
      </c>
      <c r="AG45" t="e">
        <f>IF($A45="","",SUM($L45:O45))</f>
      </c>
      <c r="AH45" t="e">
        <f>IF($A45="","",SUM($L45:P45))</f>
      </c>
      <c r="AI45" t="e">
        <f>IF($A45="","",SUM($L45:Q45))</f>
      </c>
      <c r="AJ45" t="e">
        <f>IF($A45="","",SUM($L45:R45))</f>
      </c>
      <c r="AK45" t="e">
        <f>IF($A45="","",SUM($L45:S45))</f>
      </c>
      <c r="AL45" t="e">
        <f>IF($A45="","",SUM($L45:T45))</f>
      </c>
      <c r="AM45" t="e">
        <f>IF($A45="","",SUM($L45:U45))</f>
      </c>
      <c r="AN45" t="e">
        <f>IF($A45="","",SUM($L45:V45))</f>
      </c>
      <c r="AO45" t="e">
        <f>IF($A45="","",SUM($L45:W45))</f>
      </c>
      <c r="AP45" t="e">
        <f>IF($A45="","",SUM($L45:X45))</f>
      </c>
      <c r="AQ45" t="e">
        <f>IF($A45="","",SUM($L45:Y45))</f>
      </c>
      <c r="AR45" t="e">
        <f>IF($A45="","",SUM($L45:Z45))</f>
      </c>
      <c r="AS45" t="e">
        <f>IF($A45="","",SUM($L45:AA45))</f>
      </c>
      <c r="AT45" t="e">
        <f>IF($A45="","",SUM($L45:AB45))</f>
      </c>
      <c r="AU45" t="e">
        <f>IF($A45="","",SUM($L45:AC45))</f>
      </c>
      <c r="AV45" t="e">
        <f>IF(OR($A45="",L45=""),"",IF(ABS(AD45)&gt;17,1,""))</f>
      </c>
      <c r="AW45" t="e">
        <f>IF(OR($A45="",M45=""),"",IF(ABS(AE45)&gt;16,2,""))</f>
      </c>
      <c r="AX45" t="e">
        <f>IF(OR($A45="",N45=""),"",IF(ABS(AF45)&gt;15,3,""))</f>
      </c>
      <c r="AY45" t="e">
        <f>IF(OR($A45="",O45=""),"",IF(ABS(AG45)&gt;14,4,""))</f>
      </c>
      <c r="AZ45" t="e">
        <f>IF(OR($A45="",P45=""),"",IF(ABS(AH45)&gt;13,5,""))</f>
      </c>
      <c r="BA45" t="e">
        <f>IF(OR($A45="",Q45=""),"",IF(ABS(AI45)&gt;12,6,""))</f>
      </c>
      <c r="BB45" t="e">
        <f>IF(OR($A45="",R45=""),"",IF(ABS(AJ45)&gt;11,7,""))</f>
      </c>
      <c r="BC45" t="e">
        <f>IF(OR($A45="",S45=""),"",IF(ABS(AK45)&gt;10,8,""))</f>
      </c>
      <c r="BD45" t="e">
        <f>IF(OR($A45="",T45=""),"",IF(ABS(AL45)&gt;9,9,""))</f>
      </c>
      <c r="BE45" t="e">
        <f>IF(OR($A45="",U45=""),"",IF(ABS(AM45)&gt;8,10,""))</f>
      </c>
      <c r="BF45" t="e">
        <f>IF(OR($A45="",V45=""),"",IF(ABS(AN45)&gt;7,11,""))</f>
      </c>
      <c r="BG45" t="e">
        <f>IF(OR($A45="",W45=""),"",IF(ABS(AO45)&gt;6,12,""))</f>
      </c>
      <c r="BH45" t="e">
        <f>IF(OR($A45="",X45=""),"",IF(ABS(AP45)&gt;5,13,""))</f>
      </c>
      <c r="BI45" t="e">
        <f>IF(OR($A45="",Y45=""),"",IF(ABS(AQ45)&gt;4,14,""))</f>
      </c>
      <c r="BJ45" t="e">
        <f>IF(OR($A45="",Z45=""),"",IF(ABS(AR45)&gt;3,15,""))</f>
      </c>
      <c r="BK45" t="e">
        <f>IF(OR($A45="",AA45=""),"",IF(ABS(AS45)&gt;2,16,""))</f>
      </c>
      <c r="BL45" t="e">
        <f>IF(OR($A45="",AB45=""),"",IF(ABS(AT45)&gt;1,17,""))</f>
      </c>
      <c r="BM45" t="e">
        <f>IF(OR($A45="",AC45=""),"",IF(ABS(AU45)&gt;0,18,""))</f>
      </c>
    </row>
    <row r="46">
      <c r="C46" t="str">
        <f>IF($A46="","",INDEX('Tournament Setup'!$J:$J,MATCH($A46,'Tournament Setup'!$A:$A,0)))</f>
        <v/>
      </c>
      <c r="D46" t="str">
        <f>IF($A46="","",INDEX('Tournament Setup'!$K:$K,MATCH($A46,'Tournament Setup'!$A:$A,0)))</f>
        <v/>
      </c>
      <c r="E46" t="str">
        <f>IF($A46="","",IF(COUNT(L46:AC46)=0,"Not played",IF(AND($K46&gt;0,$K46&lt;18),IF(INDEX(AD46:AU46,1,$K46)&gt;0,$C46,$D46)&amp;" "&amp;ABS(INDEX(AD46:AU46,1,$K46))&amp;"&amp;"&amp;(18-$K46),IF($J46=0,"Halved (AS)",IF($J46&gt;0,$C46,$D46)&amp;" "&amp;ABS($J46)&amp;" UP"))))</f>
        <v/>
      </c>
      <c r="F46" t="e">
        <f>IF(OR($A46="",COUNT(L46:AC46)=0),"",INDEX('Tournament Setup'!$I:$I,MATCH($A46,'Tournament Setup'!$A:$A,0))*IF(INDEX('Tournament Setup'!$H:$H,MATCH($A46,'Tournament Setup'!$A:$A,0))="Yes",IF($H46&gt;0,1,IF($H46=0,0.5,0))+IF($I46&gt;0,1,IF($I46=0,0.5,0))+IF($J46&gt;0,1,IF($J46=0,0.5,0)),IF(IF(AND($K46&gt;0,$K46&lt;18),INDEX(AD46:AU46,1,$K46),$J46)&gt;0,1,IF(IF(AND($K46&gt;0,$K46&lt;18),INDEX(AD46:AU46,1,$K46),$J46)=0,0.5,0))))</f>
      </c>
      <c r="G46" t="e">
        <f>IF(OR($A46="",COUNT(L46:AC46)=0),"",INDEX('Tournament Setup'!$I:$I,MATCH($A46,'Tournament Setup'!$A:$A,0))*IF(INDEX('Tournament Setup'!$H:$H,MATCH($A46,'Tournament Setup'!$A:$A,0))="Yes",IF($H46&lt;0,1,IF($H46=0,0.5,0))+IF($I46&lt;0,1,IF($I46=0,0.5,0))+IF($J46&lt;0,1,IF($J46=0,0.5,0)),IF(IF(AND($K46&gt;0,$K46&lt;18),INDEX(AD46:AU46,1,$K46),$J46)&lt;0,1,IF(IF(AND($K46&gt;0,$K46&lt;18),INDEX(AD46:AU46,1,$K46),$J46)=0,0.5,0))))</f>
      </c>
      <c r="H46" t="e">
        <f>IF($A46="","",SUM(L46:T46))</f>
      </c>
      <c r="I46" t="e">
        <f>IF($A46="","",SUM(U46:AC46))</f>
      </c>
      <c r="J46" t="e">
        <f>IF($A46="","",SUM(L46:AC46))</f>
      </c>
      <c r="K46" t="e">
        <f>IF($A46="","",MIN(AV46:BM46))</f>
      </c>
      <c r="L46" t="e">
        <f>IF($A46="","",IF(COUNTIFS('Player Rounds'!$A$2:$A$401,$A46,'Player Rounds'!$B$2:$B$401,$B46,'Player Rounds'!$F$2:$F$401,"&gt;0")=0,"",SIGN(_xlfn.MINIFS('Player Rounds'!$Z$2:$Z$401,'Player Rounds'!$A$2:$A$401,$A46,'Player Rounds'!$B$2:$B$401,$B46,'Player Rounds'!$C$2:$C$401,$D46)-_xlfn.MINIFS('Player Rounds'!$Z$2:$Z$401,'Player Rounds'!$A$2:$A$401,$A46,'Player Rounds'!$B$2:$B$401,$B46,'Player Rounds'!$C$2:$C$401,$C46))))</f>
      </c>
      <c r="M46" t="e">
        <f>IF($A46="","",IF(COUNTIFS('Player Rounds'!$A$2:$A$401,$A46,'Player Rounds'!$B$2:$B$401,$B46,'Player Rounds'!$G$2:$G$401,"&gt;0")=0,"",SIGN(_xlfn.MINIFS('Player Rounds'!$AA$2:$AA$401,'Player Rounds'!$A$2:$A$401,$A46,'Player Rounds'!$B$2:$B$401,$B46,'Player Rounds'!$C$2:$C$401,$D46)-_xlfn.MINIFS('Player Rounds'!$AA$2:$AA$401,'Player Rounds'!$A$2:$A$401,$A46,'Player Rounds'!$B$2:$B$401,$B46,'Player Rounds'!$C$2:$C$401,$C46))))</f>
      </c>
      <c r="N46" t="e">
        <f>IF($A46="","",IF(COUNTIFS('Player Rounds'!$A$2:$A$401,$A46,'Player Rounds'!$B$2:$B$401,$B46,'Player Rounds'!$H$2:$H$401,"&gt;0")=0,"",SIGN(_xlfn.MINIFS('Player Rounds'!$AB$2:$AB$401,'Player Rounds'!$A$2:$A$401,$A46,'Player Rounds'!$B$2:$B$401,$B46,'Player Rounds'!$C$2:$C$401,$D46)-_xlfn.MINIFS('Player Rounds'!$AB$2:$AB$401,'Player Rounds'!$A$2:$A$401,$A46,'Player Rounds'!$B$2:$B$401,$B46,'Player Rounds'!$C$2:$C$401,$C46))))</f>
      </c>
      <c r="O46" t="e">
        <f>IF($A46="","",IF(COUNTIFS('Player Rounds'!$A$2:$A$401,$A46,'Player Rounds'!$B$2:$B$401,$B46,'Player Rounds'!$I$2:$I$401,"&gt;0")=0,"",SIGN(_xlfn.MINIFS('Player Rounds'!$AC$2:$AC$401,'Player Rounds'!$A$2:$A$401,$A46,'Player Rounds'!$B$2:$B$401,$B46,'Player Rounds'!$C$2:$C$401,$D46)-_xlfn.MINIFS('Player Rounds'!$AC$2:$AC$401,'Player Rounds'!$A$2:$A$401,$A46,'Player Rounds'!$B$2:$B$401,$B46,'Player Rounds'!$C$2:$C$401,$C46))))</f>
      </c>
      <c r="P46" t="e">
        <f>IF($A46="","",IF(COUNTIFS('Player Rounds'!$A$2:$A$401,$A46,'Player Rounds'!$B$2:$B$401,$B46,'Player Rounds'!$J$2:$J$401,"&gt;0")=0,"",SIGN(_xlfn.MINIFS('Player Rounds'!$AD$2:$AD$401,'Player Rounds'!$A$2:$A$401,$A46,'Player Rounds'!$B$2:$B$401,$B46,'Player Rounds'!$C$2:$C$401,$D46)-_xlfn.MINIFS('Player Rounds'!$AD$2:$AD$401,'Player Rounds'!$A$2:$A$401,$A46,'Player Rounds'!$B$2:$B$401,$B46,'Player Rounds'!$C$2:$C$401,$C46))))</f>
      </c>
      <c r="Q46" t="e">
        <f>IF($A46="","",IF(COUNTIFS('Player Rounds'!$A$2:$A$401,$A46,'Player Rounds'!$B$2:$B$401,$B46,'Player Rounds'!$K$2:$K$401,"&gt;0")=0,"",SIGN(_xlfn.MINIFS('Player Rounds'!$AE$2:$AE$401,'Player Rounds'!$A$2:$A$401,$A46,'Player Rounds'!$B$2:$B$401,$B46,'Player Rounds'!$C$2:$C$401,$D46)-_xlfn.MINIFS('Player Rounds'!$AE$2:$AE$401,'Player Rounds'!$A$2:$A$401,$A46,'Player Rounds'!$B$2:$B$401,$B46,'Player Rounds'!$C$2:$C$401,$C46))))</f>
      </c>
      <c r="R46" t="e">
        <f>IF($A46="","",IF(COUNTIFS('Player Rounds'!$A$2:$A$401,$A46,'Player Rounds'!$B$2:$B$401,$B46,'Player Rounds'!$L$2:$L$401,"&gt;0")=0,"",SIGN(_xlfn.MINIFS('Player Rounds'!$AF$2:$AF$401,'Player Rounds'!$A$2:$A$401,$A46,'Player Rounds'!$B$2:$B$401,$B46,'Player Rounds'!$C$2:$C$401,$D46)-_xlfn.MINIFS('Player Rounds'!$AF$2:$AF$401,'Player Rounds'!$A$2:$A$401,$A46,'Player Rounds'!$B$2:$B$401,$B46,'Player Rounds'!$C$2:$C$401,$C46))))</f>
      </c>
      <c r="S46" t="e">
        <f>IF($A46="","",IF(COUNTIFS('Player Rounds'!$A$2:$A$401,$A46,'Player Rounds'!$B$2:$B$401,$B46,'Player Rounds'!$M$2:$M$401,"&gt;0")=0,"",SIGN(_xlfn.MINIFS('Player Rounds'!$AG$2:$AG$401,'Player Rounds'!$A$2:$A$401,$A46,'Player Rounds'!$B$2:$B$401,$B46,'Player Rounds'!$C$2:$C$401,$D46)-_xlfn.MINIFS('Player Rounds'!$AG$2:$AG$401,'Player Rounds'!$A$2:$A$401,$A46,'Player Rounds'!$B$2:$B$401,$B46,'Player Rounds'!$C$2:$C$401,$C46))))</f>
      </c>
      <c r="T46" t="e">
        <f>IF($A46="","",IF(COUNTIFS('Player Rounds'!$A$2:$A$401,$A46,'Player Rounds'!$B$2:$B$401,$B46,'Player Rounds'!$N$2:$N$401,"&gt;0")=0,"",SIGN(_xlfn.MINIFS('Player Rounds'!$AH$2:$AH$401,'Player Rounds'!$A$2:$A$401,$A46,'Player Rounds'!$B$2:$B$401,$B46,'Player Rounds'!$C$2:$C$401,$D46)-_xlfn.MINIFS('Player Rounds'!$AH$2:$AH$401,'Player Rounds'!$A$2:$A$401,$A46,'Player Rounds'!$B$2:$B$401,$B46,'Player Rounds'!$C$2:$C$401,$C46))))</f>
      </c>
      <c r="U46" t="e">
        <f>IF($A46="","",IF(COUNTIFS('Player Rounds'!$A$2:$A$401,$A46,'Player Rounds'!$B$2:$B$401,$B46,'Player Rounds'!$O$2:$O$401,"&gt;0")=0,"",SIGN(_xlfn.MINIFS('Player Rounds'!$AI$2:$AI$401,'Player Rounds'!$A$2:$A$401,$A46,'Player Rounds'!$B$2:$B$401,$B46,'Player Rounds'!$C$2:$C$401,$D46)-_xlfn.MINIFS('Player Rounds'!$AI$2:$AI$401,'Player Rounds'!$A$2:$A$401,$A46,'Player Rounds'!$B$2:$B$401,$B46,'Player Rounds'!$C$2:$C$401,$C46))))</f>
      </c>
      <c r="V46" t="e">
        <f>IF($A46="","",IF(COUNTIFS('Player Rounds'!$A$2:$A$401,$A46,'Player Rounds'!$B$2:$B$401,$B46,'Player Rounds'!$P$2:$P$401,"&gt;0")=0,"",SIGN(_xlfn.MINIFS('Player Rounds'!$AJ$2:$AJ$401,'Player Rounds'!$A$2:$A$401,$A46,'Player Rounds'!$B$2:$B$401,$B46,'Player Rounds'!$C$2:$C$401,$D46)-_xlfn.MINIFS('Player Rounds'!$AJ$2:$AJ$401,'Player Rounds'!$A$2:$A$401,$A46,'Player Rounds'!$B$2:$B$401,$B46,'Player Rounds'!$C$2:$C$401,$C46))))</f>
      </c>
      <c r="W46" t="e">
        <f>IF($A46="","",IF(COUNTIFS('Player Rounds'!$A$2:$A$401,$A46,'Player Rounds'!$B$2:$B$401,$B46,'Player Rounds'!$Q$2:$Q$401,"&gt;0")=0,"",SIGN(_xlfn.MINIFS('Player Rounds'!$AK$2:$AK$401,'Player Rounds'!$A$2:$A$401,$A46,'Player Rounds'!$B$2:$B$401,$B46,'Player Rounds'!$C$2:$C$401,$D46)-_xlfn.MINIFS('Player Rounds'!$AK$2:$AK$401,'Player Rounds'!$A$2:$A$401,$A46,'Player Rounds'!$B$2:$B$401,$B46,'Player Rounds'!$C$2:$C$401,$C46))))</f>
      </c>
      <c r="X46" t="e">
        <f>IF($A46="","",IF(COUNTIFS('Player Rounds'!$A$2:$A$401,$A46,'Player Rounds'!$B$2:$B$401,$B46,'Player Rounds'!$R$2:$R$401,"&gt;0")=0,"",SIGN(_xlfn.MINIFS('Player Rounds'!$AL$2:$AL$401,'Player Rounds'!$A$2:$A$401,$A46,'Player Rounds'!$B$2:$B$401,$B46,'Player Rounds'!$C$2:$C$401,$D46)-_xlfn.MINIFS('Player Rounds'!$AL$2:$AL$401,'Player Rounds'!$A$2:$A$401,$A46,'Player Rounds'!$B$2:$B$401,$B46,'Player Rounds'!$C$2:$C$401,$C46))))</f>
      </c>
      <c r="Y46" t="e">
        <f>IF($A46="","",IF(COUNTIFS('Player Rounds'!$A$2:$A$401,$A46,'Player Rounds'!$B$2:$B$401,$B46,'Player Rounds'!$S$2:$S$401,"&gt;0")=0,"",SIGN(_xlfn.MINIFS('Player Rounds'!$AM$2:$AM$401,'Player Rounds'!$A$2:$A$401,$A46,'Player Rounds'!$B$2:$B$401,$B46,'Player Rounds'!$C$2:$C$401,$D46)-_xlfn.MINIFS('Player Rounds'!$AM$2:$AM$401,'Player Rounds'!$A$2:$A$401,$A46,'Player Rounds'!$B$2:$B$401,$B46,'Player Rounds'!$C$2:$C$401,$C46))))</f>
      </c>
      <c r="Z46" t="e">
        <f>IF($A46="","",IF(COUNTIFS('Player Rounds'!$A$2:$A$401,$A46,'Player Rounds'!$B$2:$B$401,$B46,'Player Rounds'!$T$2:$T$401,"&gt;0")=0,"",SIGN(_xlfn.MINIFS('Player Rounds'!$AN$2:$AN$401,'Player Rounds'!$A$2:$A$401,$A46,'Player Rounds'!$B$2:$B$401,$B46,'Player Rounds'!$C$2:$C$401,$D46)-_xlfn.MINIFS('Player Rounds'!$AN$2:$AN$401,'Player Rounds'!$A$2:$A$401,$A46,'Player Rounds'!$B$2:$B$401,$B46,'Player Rounds'!$C$2:$C$401,$C46))))</f>
      </c>
      <c r="AA46" t="e">
        <f>IF($A46="","",IF(COUNTIFS('Player Rounds'!$A$2:$A$401,$A46,'Player Rounds'!$B$2:$B$401,$B46,'Player Rounds'!$U$2:$U$401,"&gt;0")=0,"",SIGN(_xlfn.MINIFS('Player Rounds'!$AO$2:$AO$401,'Player Rounds'!$A$2:$A$401,$A46,'Player Rounds'!$B$2:$B$401,$B46,'Player Rounds'!$C$2:$C$401,$D46)-_xlfn.MINIFS('Player Rounds'!$AO$2:$AO$401,'Player Rounds'!$A$2:$A$401,$A46,'Player Rounds'!$B$2:$B$401,$B46,'Player Rounds'!$C$2:$C$401,$C46))))</f>
      </c>
      <c r="AB46" t="e">
        <f>IF($A46="","",IF(COUNTIFS('Player Rounds'!$A$2:$A$401,$A46,'Player Rounds'!$B$2:$B$401,$B46,'Player Rounds'!$V$2:$V$401,"&gt;0")=0,"",SIGN(_xlfn.MINIFS('Player Rounds'!$AP$2:$AP$401,'Player Rounds'!$A$2:$A$401,$A46,'Player Rounds'!$B$2:$B$401,$B46,'Player Rounds'!$C$2:$C$401,$D46)-_xlfn.MINIFS('Player Rounds'!$AP$2:$AP$401,'Player Rounds'!$A$2:$A$401,$A46,'Player Rounds'!$B$2:$B$401,$B46,'Player Rounds'!$C$2:$C$401,$C46))))</f>
      </c>
      <c r="AC46" t="e">
        <f>IF($A46="","",IF(COUNTIFS('Player Rounds'!$A$2:$A$401,$A46,'Player Rounds'!$B$2:$B$401,$B46,'Player Rounds'!$W$2:$W$401,"&gt;0")=0,"",SIGN(_xlfn.MINIFS('Player Rounds'!$AQ$2:$AQ$401,'Player Rounds'!$A$2:$A$401,$A46,'Player Rounds'!$B$2:$B$401,$B46,'Player Rounds'!$C$2:$C$401,$D46)-_xlfn.MINIFS('Player Rounds'!$AQ$2:$AQ$401,'Player Rounds'!$A$2:$A$401,$A46,'Player Rounds'!$B$2:$B$401,$B46,'Player Rounds'!$C$2:$C$401,$C46))))</f>
      </c>
      <c r="AD46" t="e">
        <f>IF($A46="","",SUM($L46:L46))</f>
      </c>
      <c r="AE46" t="e">
        <f>IF($A46="","",SUM($L46:M46))</f>
      </c>
      <c r="AF46" t="e">
        <f>IF($A46="","",SUM($L46:N46))</f>
      </c>
      <c r="AG46" t="e">
        <f>IF($A46="","",SUM($L46:O46))</f>
      </c>
      <c r="AH46" t="e">
        <f>IF($A46="","",SUM($L46:P46))</f>
      </c>
      <c r="AI46" t="e">
        <f>IF($A46="","",SUM($L46:Q46))</f>
      </c>
      <c r="AJ46" t="e">
        <f>IF($A46="","",SUM($L46:R46))</f>
      </c>
      <c r="AK46" t="e">
        <f>IF($A46="","",SUM($L46:S46))</f>
      </c>
      <c r="AL46" t="e">
        <f>IF($A46="","",SUM($L46:T46))</f>
      </c>
      <c r="AM46" t="e">
        <f>IF($A46="","",SUM($L46:U46))</f>
      </c>
      <c r="AN46" t="e">
        <f>IF($A46="","",SUM($L46:V46))</f>
      </c>
      <c r="AO46" t="e">
        <f>IF($A46="","",SUM($L46:W46))</f>
      </c>
      <c r="AP46" t="e">
        <f>IF($A46="","",SUM($L46:X46))</f>
      </c>
      <c r="AQ46" t="e">
        <f>IF($A46="","",SUM($L46:Y46))</f>
      </c>
      <c r="AR46" t="e">
        <f>IF($A46="","",SUM($L46:Z46))</f>
      </c>
      <c r="AS46" t="e">
        <f>IF($A46="","",SUM($L46:AA46))</f>
      </c>
      <c r="AT46" t="e">
        <f>IF($A46="","",SUM($L46:AB46))</f>
      </c>
      <c r="AU46" t="e">
        <f>IF($A46="","",SUM($L46:AC46))</f>
      </c>
      <c r="AV46" t="e">
        <f>IF(OR($A46="",L46=""),"",IF(ABS(AD46)&gt;17,1,""))</f>
      </c>
      <c r="AW46" t="e">
        <f>IF(OR($A46="",M46=""),"",IF(ABS(AE46)&gt;16,2,""))</f>
      </c>
      <c r="AX46" t="e">
        <f>IF(OR($A46="",N46=""),"",IF(ABS(AF46)&gt;15,3,""))</f>
      </c>
      <c r="AY46" t="e">
        <f>IF(OR($A46="",O46=""),"",IF(ABS(AG46)&gt;14,4,""))</f>
      </c>
      <c r="AZ46" t="e">
        <f>IF(OR($A46="",P46=""),"",IF(ABS(AH46)&gt;13,5,""))</f>
      </c>
      <c r="BA46" t="e">
        <f>IF(OR($A46="",Q46=""),"",IF(ABS(AI46)&gt;12,6,""))</f>
      </c>
      <c r="BB46" t="e">
        <f>IF(OR($A46="",R46=""),"",IF(ABS(AJ46)&gt;11,7,""))</f>
      </c>
      <c r="BC46" t="e">
        <f>IF(OR($A46="",S46=""),"",IF(ABS(AK46)&gt;10,8,""))</f>
      </c>
      <c r="BD46" t="e">
        <f>IF(OR($A46="",T46=""),"",IF(ABS(AL46)&gt;9,9,""))</f>
      </c>
      <c r="BE46" t="e">
        <f>IF(OR($A46="",U46=""),"",IF(ABS(AM46)&gt;8,10,""))</f>
      </c>
      <c r="BF46" t="e">
        <f>IF(OR($A46="",V46=""),"",IF(ABS(AN46)&gt;7,11,""))</f>
      </c>
      <c r="BG46" t="e">
        <f>IF(OR($A46="",W46=""),"",IF(ABS(AO46)&gt;6,12,""))</f>
      </c>
      <c r="BH46" t="e">
        <f>IF(OR($A46="",X46=""),"",IF(ABS(AP46)&gt;5,13,""))</f>
      </c>
      <c r="BI46" t="e">
        <f>IF(OR($A46="",Y46=""),"",IF(ABS(AQ46)&gt;4,14,""))</f>
      </c>
      <c r="BJ46" t="e">
        <f>IF(OR($A46="",Z46=""),"",IF(ABS(AR46)&gt;3,15,""))</f>
      </c>
      <c r="BK46" t="e">
        <f>IF(OR($A46="",AA46=""),"",IF(ABS(AS46)&gt;2,16,""))</f>
      </c>
      <c r="BL46" t="e">
        <f>IF(OR($A46="",AB46=""),"",IF(ABS(AT46)&gt;1,17,""))</f>
      </c>
      <c r="BM46" t="e">
        <f>IF(OR($A46="",AC46=""),"",IF(ABS(AU46)&gt;0,18,""))</f>
      </c>
    </row>
    <row r="47">
      <c r="C47" t="str">
        <f>IF($A47="","",INDEX('Tournament Setup'!$J:$J,MATCH($A47,'Tournament Setup'!$A:$A,0)))</f>
        <v/>
      </c>
      <c r="D47" t="str">
        <f>IF($A47="","",INDEX('Tournament Setup'!$K:$K,MATCH($A47,'Tournament Setup'!$A:$A,0)))</f>
        <v/>
      </c>
      <c r="E47" t="str">
        <f>IF($A47="","",IF(COUNT(L47:AC47)=0,"Not played",IF(AND($K47&gt;0,$K47&lt;18),IF(INDEX(AD47:AU47,1,$K47)&gt;0,$C47,$D47)&amp;" "&amp;ABS(INDEX(AD47:AU47,1,$K47))&amp;"&amp;"&amp;(18-$K47),IF($J47=0,"Halved (AS)",IF($J47&gt;0,$C47,$D47)&amp;" "&amp;ABS($J47)&amp;" UP"))))</f>
        <v/>
      </c>
      <c r="F47" t="e">
        <f>IF(OR($A47="",COUNT(L47:AC47)=0),"",INDEX('Tournament Setup'!$I:$I,MATCH($A47,'Tournament Setup'!$A:$A,0))*IF(INDEX('Tournament Setup'!$H:$H,MATCH($A47,'Tournament Setup'!$A:$A,0))="Yes",IF($H47&gt;0,1,IF($H47=0,0.5,0))+IF($I47&gt;0,1,IF($I47=0,0.5,0))+IF($J47&gt;0,1,IF($J47=0,0.5,0)),IF(IF(AND($K47&gt;0,$K47&lt;18),INDEX(AD47:AU47,1,$K47),$J47)&gt;0,1,IF(IF(AND($K47&gt;0,$K47&lt;18),INDEX(AD47:AU47,1,$K47),$J47)=0,0.5,0))))</f>
      </c>
      <c r="G47" t="e">
        <f>IF(OR($A47="",COUNT(L47:AC47)=0),"",INDEX('Tournament Setup'!$I:$I,MATCH($A47,'Tournament Setup'!$A:$A,0))*IF(INDEX('Tournament Setup'!$H:$H,MATCH($A47,'Tournament Setup'!$A:$A,0))="Yes",IF($H47&lt;0,1,IF($H47=0,0.5,0))+IF($I47&lt;0,1,IF($I47=0,0.5,0))+IF($J47&lt;0,1,IF($J47=0,0.5,0)),IF(IF(AND($K47&gt;0,$K47&lt;18),INDEX(AD47:AU47,1,$K47),$J47)&lt;0,1,IF(IF(AND($K47&gt;0,$K47&lt;18),INDEX(AD47:AU47,1,$K47),$J47)=0,0.5,0))))</f>
      </c>
      <c r="H47" t="e">
        <f>IF($A47="","",SUM(L47:T47))</f>
      </c>
      <c r="I47" t="e">
        <f>IF($A47="","",SUM(U47:AC47))</f>
      </c>
      <c r="J47" t="e">
        <f>IF($A47="","",SUM(L47:AC47))</f>
      </c>
      <c r="K47" t="e">
        <f>IF($A47="","",MIN(AV47:BM47))</f>
      </c>
      <c r="L47" t="e">
        <f>IF($A47="","",IF(COUNTIFS('Player Rounds'!$A$2:$A$401,$A47,'Player Rounds'!$B$2:$B$401,$B47,'Player Rounds'!$F$2:$F$401,"&gt;0")=0,"",SIGN(_xlfn.MINIFS('Player Rounds'!$Z$2:$Z$401,'Player Rounds'!$A$2:$A$401,$A47,'Player Rounds'!$B$2:$B$401,$B47,'Player Rounds'!$C$2:$C$401,$D47)-_xlfn.MINIFS('Player Rounds'!$Z$2:$Z$401,'Player Rounds'!$A$2:$A$401,$A47,'Player Rounds'!$B$2:$B$401,$B47,'Player Rounds'!$C$2:$C$401,$C47))))</f>
      </c>
      <c r="M47" t="e">
        <f>IF($A47="","",IF(COUNTIFS('Player Rounds'!$A$2:$A$401,$A47,'Player Rounds'!$B$2:$B$401,$B47,'Player Rounds'!$G$2:$G$401,"&gt;0")=0,"",SIGN(_xlfn.MINIFS('Player Rounds'!$AA$2:$AA$401,'Player Rounds'!$A$2:$A$401,$A47,'Player Rounds'!$B$2:$B$401,$B47,'Player Rounds'!$C$2:$C$401,$D47)-_xlfn.MINIFS('Player Rounds'!$AA$2:$AA$401,'Player Rounds'!$A$2:$A$401,$A47,'Player Rounds'!$B$2:$B$401,$B47,'Player Rounds'!$C$2:$C$401,$C47))))</f>
      </c>
      <c r="N47" t="e">
        <f>IF($A47="","",IF(COUNTIFS('Player Rounds'!$A$2:$A$401,$A47,'Player Rounds'!$B$2:$B$401,$B47,'Player Rounds'!$H$2:$H$401,"&gt;0")=0,"",SIGN(_xlfn.MINIFS('Player Rounds'!$AB$2:$AB$401,'Player Rounds'!$A$2:$A$401,$A47,'Player Rounds'!$B$2:$B$401,$B47,'Player Rounds'!$C$2:$C$401,$D47)-_xlfn.MINIFS('Player Rounds'!$AB$2:$AB$401,'Player Rounds'!$A$2:$A$401,$A47,'Player Rounds'!$B$2:$B$401,$B47,'Player Rounds'!$C$2:$C$401,$C47))))</f>
      </c>
      <c r="O47" t="e">
        <f>IF($A47="","",IF(COUNTIFS('Player Rounds'!$A$2:$A$401,$A47,'Player Rounds'!$B$2:$B$401,$B47,'Player Rounds'!$I$2:$I$401,"&gt;0")=0,"",SIGN(_xlfn.MINIFS('Player Rounds'!$AC$2:$AC$401,'Player Rounds'!$A$2:$A$401,$A47,'Player Rounds'!$B$2:$B$401,$B47,'Player Rounds'!$C$2:$C$401,$D47)-_xlfn.MINIFS('Player Rounds'!$AC$2:$AC$401,'Player Rounds'!$A$2:$A$401,$A47,'Player Rounds'!$B$2:$B$401,$B47,'Player Rounds'!$C$2:$C$401,$C47))))</f>
      </c>
      <c r="P47" t="e">
        <f>IF($A47="","",IF(COUNTIFS('Player Rounds'!$A$2:$A$401,$A47,'Player Rounds'!$B$2:$B$401,$B47,'Player Rounds'!$J$2:$J$401,"&gt;0")=0,"",SIGN(_xlfn.MINIFS('Player Rounds'!$AD$2:$AD$401,'Player Rounds'!$A$2:$A$401,$A47,'Player Rounds'!$B$2:$B$401,$B47,'Player Rounds'!$C$2:$C$401,$D47)-_xlfn.MINIFS('Player Rounds'!$AD$2:$AD$401,'Player Rounds'!$A$2:$A$401,$A47,'Player Rounds'!$B$2:$B$401,$B47,'Player Rounds'!$C$2:$C$401,$C47))))</f>
      </c>
      <c r="Q47" t="e">
        <f>IF($A47="","",IF(COUNTIFS('Player Rounds'!$A$2:$A$401,$A47,'Player Rounds'!$B$2:$B$401,$B47,'Player Rounds'!$K$2:$K$401,"&gt;0")=0,"",SIGN(_xlfn.MINIFS('Player Rounds'!$AE$2:$AE$401,'Player Rounds'!$A$2:$A$401,$A47,'Player Rounds'!$B$2:$B$401,$B47,'Player Rounds'!$C$2:$C$401,$D47)-_xlfn.MINIFS('Player Rounds'!$AE$2:$AE$401,'Player Rounds'!$A$2:$A$401,$A47,'Player Rounds'!$B$2:$B$401,$B47,'Player Rounds'!$C$2:$C$401,$C47))))</f>
      </c>
      <c r="R47" t="e">
        <f>IF($A47="","",IF(COUNTIFS('Player Rounds'!$A$2:$A$401,$A47,'Player Rounds'!$B$2:$B$401,$B47,'Player Rounds'!$L$2:$L$401,"&gt;0")=0,"",SIGN(_xlfn.MINIFS('Player Rounds'!$AF$2:$AF$401,'Player Rounds'!$A$2:$A$401,$A47,'Player Rounds'!$B$2:$B$401,$B47,'Player Rounds'!$C$2:$C$401,$D47)-_xlfn.MINIFS('Player Rounds'!$AF$2:$AF$401,'Player Rounds'!$A$2:$A$401,$A47,'Player Rounds'!$B$2:$B$401,$B47,'Player Rounds'!$C$2:$C$401,$C47))))</f>
      </c>
      <c r="S47" t="e">
        <f>IF($A47="","",IF(COUNTIFS('Player Rounds'!$A$2:$A$401,$A47,'Player Rounds'!$B$2:$B$401,$B47,'Player Rounds'!$M$2:$M$401,"&gt;0")=0,"",SIGN(_xlfn.MINIFS('Player Rounds'!$AG$2:$AG$401,'Player Rounds'!$A$2:$A$401,$A47,'Player Rounds'!$B$2:$B$401,$B47,'Player Rounds'!$C$2:$C$401,$D47)-_xlfn.MINIFS('Player Rounds'!$AG$2:$AG$401,'Player Rounds'!$A$2:$A$401,$A47,'Player Rounds'!$B$2:$B$401,$B47,'Player Rounds'!$C$2:$C$401,$C47))))</f>
      </c>
      <c r="T47" t="e">
        <f>IF($A47="","",IF(COUNTIFS('Player Rounds'!$A$2:$A$401,$A47,'Player Rounds'!$B$2:$B$401,$B47,'Player Rounds'!$N$2:$N$401,"&gt;0")=0,"",SIGN(_xlfn.MINIFS('Player Rounds'!$AH$2:$AH$401,'Player Rounds'!$A$2:$A$401,$A47,'Player Rounds'!$B$2:$B$401,$B47,'Player Rounds'!$C$2:$C$401,$D47)-_xlfn.MINIFS('Player Rounds'!$AH$2:$AH$401,'Player Rounds'!$A$2:$A$401,$A47,'Player Rounds'!$B$2:$B$401,$B47,'Player Rounds'!$C$2:$C$401,$C47))))</f>
      </c>
      <c r="U47" t="e">
        <f>IF($A47="","",IF(COUNTIFS('Player Rounds'!$A$2:$A$401,$A47,'Player Rounds'!$B$2:$B$401,$B47,'Player Rounds'!$O$2:$O$401,"&gt;0")=0,"",SIGN(_xlfn.MINIFS('Player Rounds'!$AI$2:$AI$401,'Player Rounds'!$A$2:$A$401,$A47,'Player Rounds'!$B$2:$B$401,$B47,'Player Rounds'!$C$2:$C$401,$D47)-_xlfn.MINIFS('Player Rounds'!$AI$2:$AI$401,'Player Rounds'!$A$2:$A$401,$A47,'Player Rounds'!$B$2:$B$401,$B47,'Player Rounds'!$C$2:$C$401,$C47))))</f>
      </c>
      <c r="V47" t="e">
        <f>IF($A47="","",IF(COUNTIFS('Player Rounds'!$A$2:$A$401,$A47,'Player Rounds'!$B$2:$B$401,$B47,'Player Rounds'!$P$2:$P$401,"&gt;0")=0,"",SIGN(_xlfn.MINIFS('Player Rounds'!$AJ$2:$AJ$401,'Player Rounds'!$A$2:$A$401,$A47,'Player Rounds'!$B$2:$B$401,$B47,'Player Rounds'!$C$2:$C$401,$D47)-_xlfn.MINIFS('Player Rounds'!$AJ$2:$AJ$401,'Player Rounds'!$A$2:$A$401,$A47,'Player Rounds'!$B$2:$B$401,$B47,'Player Rounds'!$C$2:$C$401,$C47))))</f>
      </c>
      <c r="W47" t="e">
        <f>IF($A47="","",IF(COUNTIFS('Player Rounds'!$A$2:$A$401,$A47,'Player Rounds'!$B$2:$B$401,$B47,'Player Rounds'!$Q$2:$Q$401,"&gt;0")=0,"",SIGN(_xlfn.MINIFS('Player Rounds'!$AK$2:$AK$401,'Player Rounds'!$A$2:$A$401,$A47,'Player Rounds'!$B$2:$B$401,$B47,'Player Rounds'!$C$2:$C$401,$D47)-_xlfn.MINIFS('Player Rounds'!$AK$2:$AK$401,'Player Rounds'!$A$2:$A$401,$A47,'Player Rounds'!$B$2:$B$401,$B47,'Player Rounds'!$C$2:$C$401,$C47))))</f>
      </c>
      <c r="X47" t="e">
        <f>IF($A47="","",IF(COUNTIFS('Player Rounds'!$A$2:$A$401,$A47,'Player Rounds'!$B$2:$B$401,$B47,'Player Rounds'!$R$2:$R$401,"&gt;0")=0,"",SIGN(_xlfn.MINIFS('Player Rounds'!$AL$2:$AL$401,'Player Rounds'!$A$2:$A$401,$A47,'Player Rounds'!$B$2:$B$401,$B47,'Player Rounds'!$C$2:$C$401,$D47)-_xlfn.MINIFS('Player Rounds'!$AL$2:$AL$401,'Player Rounds'!$A$2:$A$401,$A47,'Player Rounds'!$B$2:$B$401,$B47,'Player Rounds'!$C$2:$C$401,$C47))))</f>
      </c>
      <c r="Y47" t="e">
        <f>IF($A47="","",IF(COUNTIFS('Player Rounds'!$A$2:$A$401,$A47,'Player Rounds'!$B$2:$B$401,$B47,'Player Rounds'!$S$2:$S$401,"&gt;0")=0,"",SIGN(_xlfn.MINIFS('Player Rounds'!$AM$2:$AM$401,'Player Rounds'!$A$2:$A$401,$A47,'Player Rounds'!$B$2:$B$401,$B47,'Player Rounds'!$C$2:$C$401,$D47)-_xlfn.MINIFS('Player Rounds'!$AM$2:$AM$401,'Player Rounds'!$A$2:$A$401,$A47,'Player Rounds'!$B$2:$B$401,$B47,'Player Rounds'!$C$2:$C$401,$C47))))</f>
      </c>
      <c r="Z47" t="e">
        <f>IF($A47="","",IF(COUNTIFS('Player Rounds'!$A$2:$A$401,$A47,'Player Rounds'!$B$2:$B$401,$B47,'Player Rounds'!$T$2:$T$401,"&gt;0")=0,"",SIGN(_xlfn.MINIFS('Player Rounds'!$AN$2:$AN$401,'Player Rounds'!$A$2:$A$401,$A47,'Player Rounds'!$B$2:$B$401,$B47,'Player Rounds'!$C$2:$C$401,$D47)-_xlfn.MINIFS('Player Rounds'!$AN$2:$AN$401,'Player Rounds'!$A$2:$A$401,$A47,'Player Rounds'!$B$2:$B$401,$B47,'Player Rounds'!$C$2:$C$401,$C47))))</f>
      </c>
      <c r="AA47" t="e">
        <f>IF($A47="","",IF(COUNTIFS('Player Rounds'!$A$2:$A$401,$A47,'Player Rounds'!$B$2:$B$401,$B47,'Player Rounds'!$U$2:$U$401,"&gt;0")=0,"",SIGN(_xlfn.MINIFS('Player Rounds'!$AO$2:$AO$401,'Player Rounds'!$A$2:$A$401,$A47,'Player Rounds'!$B$2:$B$401,$B47,'Player Rounds'!$C$2:$C$401,$D47)-_xlfn.MINIFS('Player Rounds'!$AO$2:$AO$401,'Player Rounds'!$A$2:$A$401,$A47,'Player Rounds'!$B$2:$B$401,$B47,'Player Rounds'!$C$2:$C$401,$C47))))</f>
      </c>
      <c r="AB47" t="e">
        <f>IF($A47="","",IF(COUNTIFS('Player Rounds'!$A$2:$A$401,$A47,'Player Rounds'!$B$2:$B$401,$B47,'Player Rounds'!$V$2:$V$401,"&gt;0")=0,"",SIGN(_xlfn.MINIFS('Player Rounds'!$AP$2:$AP$401,'Player Rounds'!$A$2:$A$401,$A47,'Player Rounds'!$B$2:$B$401,$B47,'Player Rounds'!$C$2:$C$401,$D47)-_xlfn.MINIFS('Player Rounds'!$AP$2:$AP$401,'Player Rounds'!$A$2:$A$401,$A47,'Player Rounds'!$B$2:$B$401,$B47,'Player Rounds'!$C$2:$C$401,$C47))))</f>
      </c>
      <c r="AC47" t="e">
        <f>IF($A47="","",IF(COUNTIFS('Player Rounds'!$A$2:$A$401,$A47,'Player Rounds'!$B$2:$B$401,$B47,'Player Rounds'!$W$2:$W$401,"&gt;0")=0,"",SIGN(_xlfn.MINIFS('Player Rounds'!$AQ$2:$AQ$401,'Player Rounds'!$A$2:$A$401,$A47,'Player Rounds'!$B$2:$B$401,$B47,'Player Rounds'!$C$2:$C$401,$D47)-_xlfn.MINIFS('Player Rounds'!$AQ$2:$AQ$401,'Player Rounds'!$A$2:$A$401,$A47,'Player Rounds'!$B$2:$B$401,$B47,'Player Rounds'!$C$2:$C$401,$C47))))</f>
      </c>
      <c r="AD47" t="e">
        <f>IF($A47="","",SUM($L47:L47))</f>
      </c>
      <c r="AE47" t="e">
        <f>IF($A47="","",SUM($L47:M47))</f>
      </c>
      <c r="AF47" t="e">
        <f>IF($A47="","",SUM($L47:N47))</f>
      </c>
      <c r="AG47" t="e">
        <f>IF($A47="","",SUM($L47:O47))</f>
      </c>
      <c r="AH47" t="e">
        <f>IF($A47="","",SUM($L47:P47))</f>
      </c>
      <c r="AI47" t="e">
        <f>IF($A47="","",SUM($L47:Q47))</f>
      </c>
      <c r="AJ47" t="e">
        <f>IF($A47="","",SUM($L47:R47))</f>
      </c>
      <c r="AK47" t="e">
        <f>IF($A47="","",SUM($L47:S47))</f>
      </c>
      <c r="AL47" t="e">
        <f>IF($A47="","",SUM($L47:T47))</f>
      </c>
      <c r="AM47" t="e">
        <f>IF($A47="","",SUM($L47:U47))</f>
      </c>
      <c r="AN47" t="e">
        <f>IF($A47="","",SUM($L47:V47))</f>
      </c>
      <c r="AO47" t="e">
        <f>IF($A47="","",SUM($L47:W47))</f>
      </c>
      <c r="AP47" t="e">
        <f>IF($A47="","",SUM($L47:X47))</f>
      </c>
      <c r="AQ47" t="e">
        <f>IF($A47="","",SUM($L47:Y47))</f>
      </c>
      <c r="AR47" t="e">
        <f>IF($A47="","",SUM($L47:Z47))</f>
      </c>
      <c r="AS47" t="e">
        <f>IF($A47="","",SUM($L47:AA47))</f>
      </c>
      <c r="AT47" t="e">
        <f>IF($A47="","",SUM($L47:AB47))</f>
      </c>
      <c r="AU47" t="e">
        <f>IF($A47="","",SUM($L47:AC47))</f>
      </c>
      <c r="AV47" t="e">
        <f>IF(OR($A47="",L47=""),"",IF(ABS(AD47)&gt;17,1,""))</f>
      </c>
      <c r="AW47" t="e">
        <f>IF(OR($A47="",M47=""),"",IF(ABS(AE47)&gt;16,2,""))</f>
      </c>
      <c r="AX47" t="e">
        <f>IF(OR($A47="",N47=""),"",IF(ABS(AF47)&gt;15,3,""))</f>
      </c>
      <c r="AY47" t="e">
        <f>IF(OR($A47="",O47=""),"",IF(ABS(AG47)&gt;14,4,""))</f>
      </c>
      <c r="AZ47" t="e">
        <f>IF(OR($A47="",P47=""),"",IF(ABS(AH47)&gt;13,5,""))</f>
      </c>
      <c r="BA47" t="e">
        <f>IF(OR($A47="",Q47=""),"",IF(ABS(AI47)&gt;12,6,""))</f>
      </c>
      <c r="BB47" t="e">
        <f>IF(OR($A47="",R47=""),"",IF(ABS(AJ47)&gt;11,7,""))</f>
      </c>
      <c r="BC47" t="e">
        <f>IF(OR($A47="",S47=""),"",IF(ABS(AK47)&gt;10,8,""))</f>
      </c>
      <c r="BD47" t="e">
        <f>IF(OR($A47="",T47=""),"",IF(ABS(AL47)&gt;9,9,""))</f>
      </c>
      <c r="BE47" t="e">
        <f>IF(OR($A47="",U47=""),"",IF(ABS(AM47)&gt;8,10,""))</f>
      </c>
      <c r="BF47" t="e">
        <f>IF(OR($A47="",V47=""),"",IF(ABS(AN47)&gt;7,11,""))</f>
      </c>
      <c r="BG47" t="e">
        <f>IF(OR($A47="",W47=""),"",IF(ABS(AO47)&gt;6,12,""))</f>
      </c>
      <c r="BH47" t="e">
        <f>IF(OR($A47="",X47=""),"",IF(ABS(AP47)&gt;5,13,""))</f>
      </c>
      <c r="BI47" t="e">
        <f>IF(OR($A47="",Y47=""),"",IF(ABS(AQ47)&gt;4,14,""))</f>
      </c>
      <c r="BJ47" t="e">
        <f>IF(OR($A47="",Z47=""),"",IF(ABS(AR47)&gt;3,15,""))</f>
      </c>
      <c r="BK47" t="e">
        <f>IF(OR($A47="",AA47=""),"",IF(ABS(AS47)&gt;2,16,""))</f>
      </c>
      <c r="BL47" t="e">
        <f>IF(OR($A47="",AB47=""),"",IF(ABS(AT47)&gt;1,17,""))</f>
      </c>
      <c r="BM47" t="e">
        <f>IF(OR($A47="",AC47=""),"",IF(ABS(AU47)&gt;0,18,""))</f>
      </c>
    </row>
    <row r="48">
      <c r="C48" t="str">
        <f>IF($A48="","",INDEX('Tournament Setup'!$J:$J,MATCH($A48,'Tournament Setup'!$A:$A,0)))</f>
        <v/>
      </c>
      <c r="D48" t="str">
        <f>IF($A48="","",INDEX('Tournament Setup'!$K:$K,MATCH($A48,'Tournament Setup'!$A:$A,0)))</f>
        <v/>
      </c>
      <c r="E48" t="str">
        <f>IF($A48="","",IF(COUNT(L48:AC48)=0,"Not played",IF(AND($K48&gt;0,$K48&lt;18),IF(INDEX(AD48:AU48,1,$K48)&gt;0,$C48,$D48)&amp;" "&amp;ABS(INDEX(AD48:AU48,1,$K48))&amp;"&amp;"&amp;(18-$K48),IF($J48=0,"Halved (AS)",IF($J48&gt;0,$C48,$D48)&amp;" "&amp;ABS($J48)&amp;" UP"))))</f>
        <v/>
      </c>
      <c r="F48" t="e">
        <f>IF(OR($A48="",COUNT(L48:AC48)=0),"",INDEX('Tournament Setup'!$I:$I,MATCH($A48,'Tournament Setup'!$A:$A,0))*IF(INDEX('Tournament Setup'!$H:$H,MATCH($A48,'Tournament Setup'!$A:$A,0))="Yes",IF($H48&gt;0,1,IF($H48=0,0.5,0))+IF($I48&gt;0,1,IF($I48=0,0.5,0))+IF($J48&gt;0,1,IF($J48=0,0.5,0)),IF(IF(AND($K48&gt;0,$K48&lt;18),INDEX(AD48:AU48,1,$K48),$J48)&gt;0,1,IF(IF(AND($K48&gt;0,$K48&lt;18),INDEX(AD48:AU48,1,$K48),$J48)=0,0.5,0))))</f>
      </c>
      <c r="G48" t="e">
        <f>IF(OR($A48="",COUNT(L48:AC48)=0),"",INDEX('Tournament Setup'!$I:$I,MATCH($A48,'Tournament Setup'!$A:$A,0))*IF(INDEX('Tournament Setup'!$H:$H,MATCH($A48,'Tournament Setup'!$A:$A,0))="Yes",IF($H48&lt;0,1,IF($H48=0,0.5,0))+IF($I48&lt;0,1,IF($I48=0,0.5,0))+IF($J48&lt;0,1,IF($J48=0,0.5,0)),IF(IF(AND($K48&gt;0,$K48&lt;18),INDEX(AD48:AU48,1,$K48),$J48)&lt;0,1,IF(IF(AND($K48&gt;0,$K48&lt;18),INDEX(AD48:AU48,1,$K48),$J48)=0,0.5,0))))</f>
      </c>
      <c r="H48" t="e">
        <f>IF($A48="","",SUM(L48:T48))</f>
      </c>
      <c r="I48" t="e">
        <f>IF($A48="","",SUM(U48:AC48))</f>
      </c>
      <c r="J48" t="e">
        <f>IF($A48="","",SUM(L48:AC48))</f>
      </c>
      <c r="K48" t="e">
        <f>IF($A48="","",MIN(AV48:BM48))</f>
      </c>
      <c r="L48" t="e">
        <f>IF($A48="","",IF(COUNTIFS('Player Rounds'!$A$2:$A$401,$A48,'Player Rounds'!$B$2:$B$401,$B48,'Player Rounds'!$F$2:$F$401,"&gt;0")=0,"",SIGN(_xlfn.MINIFS('Player Rounds'!$Z$2:$Z$401,'Player Rounds'!$A$2:$A$401,$A48,'Player Rounds'!$B$2:$B$401,$B48,'Player Rounds'!$C$2:$C$401,$D48)-_xlfn.MINIFS('Player Rounds'!$Z$2:$Z$401,'Player Rounds'!$A$2:$A$401,$A48,'Player Rounds'!$B$2:$B$401,$B48,'Player Rounds'!$C$2:$C$401,$C48))))</f>
      </c>
      <c r="M48" t="e">
        <f>IF($A48="","",IF(COUNTIFS('Player Rounds'!$A$2:$A$401,$A48,'Player Rounds'!$B$2:$B$401,$B48,'Player Rounds'!$G$2:$G$401,"&gt;0")=0,"",SIGN(_xlfn.MINIFS('Player Rounds'!$AA$2:$AA$401,'Player Rounds'!$A$2:$A$401,$A48,'Player Rounds'!$B$2:$B$401,$B48,'Player Rounds'!$C$2:$C$401,$D48)-_xlfn.MINIFS('Player Rounds'!$AA$2:$AA$401,'Player Rounds'!$A$2:$A$401,$A48,'Player Rounds'!$B$2:$B$401,$B48,'Player Rounds'!$C$2:$C$401,$C48))))</f>
      </c>
      <c r="N48" t="e">
        <f>IF($A48="","",IF(COUNTIFS('Player Rounds'!$A$2:$A$401,$A48,'Player Rounds'!$B$2:$B$401,$B48,'Player Rounds'!$H$2:$H$401,"&gt;0")=0,"",SIGN(_xlfn.MINIFS('Player Rounds'!$AB$2:$AB$401,'Player Rounds'!$A$2:$A$401,$A48,'Player Rounds'!$B$2:$B$401,$B48,'Player Rounds'!$C$2:$C$401,$D48)-_xlfn.MINIFS('Player Rounds'!$AB$2:$AB$401,'Player Rounds'!$A$2:$A$401,$A48,'Player Rounds'!$B$2:$B$401,$B48,'Player Rounds'!$C$2:$C$401,$C48))))</f>
      </c>
      <c r="O48" t="e">
        <f>IF($A48="","",IF(COUNTIFS('Player Rounds'!$A$2:$A$401,$A48,'Player Rounds'!$B$2:$B$401,$B48,'Player Rounds'!$I$2:$I$401,"&gt;0")=0,"",SIGN(_xlfn.MINIFS('Player Rounds'!$AC$2:$AC$401,'Player Rounds'!$A$2:$A$401,$A48,'Player Rounds'!$B$2:$B$401,$B48,'Player Rounds'!$C$2:$C$401,$D48)-_xlfn.MINIFS('Player Rounds'!$AC$2:$AC$401,'Player Rounds'!$A$2:$A$401,$A48,'Player Rounds'!$B$2:$B$401,$B48,'Player Rounds'!$C$2:$C$401,$C48))))</f>
      </c>
      <c r="P48" t="e">
        <f>IF($A48="","",IF(COUNTIFS('Player Rounds'!$A$2:$A$401,$A48,'Player Rounds'!$B$2:$B$401,$B48,'Player Rounds'!$J$2:$J$401,"&gt;0")=0,"",SIGN(_xlfn.MINIFS('Player Rounds'!$AD$2:$AD$401,'Player Rounds'!$A$2:$A$401,$A48,'Player Rounds'!$B$2:$B$401,$B48,'Player Rounds'!$C$2:$C$401,$D48)-_xlfn.MINIFS('Player Rounds'!$AD$2:$AD$401,'Player Rounds'!$A$2:$A$401,$A48,'Player Rounds'!$B$2:$B$401,$B48,'Player Rounds'!$C$2:$C$401,$C48))))</f>
      </c>
      <c r="Q48" t="e">
        <f>IF($A48="","",IF(COUNTIFS('Player Rounds'!$A$2:$A$401,$A48,'Player Rounds'!$B$2:$B$401,$B48,'Player Rounds'!$K$2:$K$401,"&gt;0")=0,"",SIGN(_xlfn.MINIFS('Player Rounds'!$AE$2:$AE$401,'Player Rounds'!$A$2:$A$401,$A48,'Player Rounds'!$B$2:$B$401,$B48,'Player Rounds'!$C$2:$C$401,$D48)-_xlfn.MINIFS('Player Rounds'!$AE$2:$AE$401,'Player Rounds'!$A$2:$A$401,$A48,'Player Rounds'!$B$2:$B$401,$B48,'Player Rounds'!$C$2:$C$401,$C48))))</f>
      </c>
      <c r="R48" t="e">
        <f>IF($A48="","",IF(COUNTIFS('Player Rounds'!$A$2:$A$401,$A48,'Player Rounds'!$B$2:$B$401,$B48,'Player Rounds'!$L$2:$L$401,"&gt;0")=0,"",SIGN(_xlfn.MINIFS('Player Rounds'!$AF$2:$AF$401,'Player Rounds'!$A$2:$A$401,$A48,'Player Rounds'!$B$2:$B$401,$B48,'Player Rounds'!$C$2:$C$401,$D48)-_xlfn.MINIFS('Player Rounds'!$AF$2:$AF$401,'Player Rounds'!$A$2:$A$401,$A48,'Player Rounds'!$B$2:$B$401,$B48,'Player Rounds'!$C$2:$C$401,$C48))))</f>
      </c>
      <c r="S48" t="e">
        <f>IF($A48="","",IF(COUNTIFS('Player Rounds'!$A$2:$A$401,$A48,'Player Rounds'!$B$2:$B$401,$B48,'Player Rounds'!$M$2:$M$401,"&gt;0")=0,"",SIGN(_xlfn.MINIFS('Player Rounds'!$AG$2:$AG$401,'Player Rounds'!$A$2:$A$401,$A48,'Player Rounds'!$B$2:$B$401,$B48,'Player Rounds'!$C$2:$C$401,$D48)-_xlfn.MINIFS('Player Rounds'!$AG$2:$AG$401,'Player Rounds'!$A$2:$A$401,$A48,'Player Rounds'!$B$2:$B$401,$B48,'Player Rounds'!$C$2:$C$401,$C48))))</f>
      </c>
      <c r="T48" t="e">
        <f>IF($A48="","",IF(COUNTIFS('Player Rounds'!$A$2:$A$401,$A48,'Player Rounds'!$B$2:$B$401,$B48,'Player Rounds'!$N$2:$N$401,"&gt;0")=0,"",SIGN(_xlfn.MINIFS('Player Rounds'!$AH$2:$AH$401,'Player Rounds'!$A$2:$A$401,$A48,'Player Rounds'!$B$2:$B$401,$B48,'Player Rounds'!$C$2:$C$401,$D48)-_xlfn.MINIFS('Player Rounds'!$AH$2:$AH$401,'Player Rounds'!$A$2:$A$401,$A48,'Player Rounds'!$B$2:$B$401,$B48,'Player Rounds'!$C$2:$C$401,$C48))))</f>
      </c>
      <c r="U48" t="e">
        <f>IF($A48="","",IF(COUNTIFS('Player Rounds'!$A$2:$A$401,$A48,'Player Rounds'!$B$2:$B$401,$B48,'Player Rounds'!$O$2:$O$401,"&gt;0")=0,"",SIGN(_xlfn.MINIFS('Player Rounds'!$AI$2:$AI$401,'Player Rounds'!$A$2:$A$401,$A48,'Player Rounds'!$B$2:$B$401,$B48,'Player Rounds'!$C$2:$C$401,$D48)-_xlfn.MINIFS('Player Rounds'!$AI$2:$AI$401,'Player Rounds'!$A$2:$A$401,$A48,'Player Rounds'!$B$2:$B$401,$B48,'Player Rounds'!$C$2:$C$401,$C48))))</f>
      </c>
      <c r="V48" t="e">
        <f>IF($A48="","",IF(COUNTIFS('Player Rounds'!$A$2:$A$401,$A48,'Player Rounds'!$B$2:$B$401,$B48,'Player Rounds'!$P$2:$P$401,"&gt;0")=0,"",SIGN(_xlfn.MINIFS('Player Rounds'!$AJ$2:$AJ$401,'Player Rounds'!$A$2:$A$401,$A48,'Player Rounds'!$B$2:$B$401,$B48,'Player Rounds'!$C$2:$C$401,$D48)-_xlfn.MINIFS('Player Rounds'!$AJ$2:$AJ$401,'Player Rounds'!$A$2:$A$401,$A48,'Player Rounds'!$B$2:$B$401,$B48,'Player Rounds'!$C$2:$C$401,$C48))))</f>
      </c>
      <c r="W48" t="e">
        <f>IF($A48="","",IF(COUNTIFS('Player Rounds'!$A$2:$A$401,$A48,'Player Rounds'!$B$2:$B$401,$B48,'Player Rounds'!$Q$2:$Q$401,"&gt;0")=0,"",SIGN(_xlfn.MINIFS('Player Rounds'!$AK$2:$AK$401,'Player Rounds'!$A$2:$A$401,$A48,'Player Rounds'!$B$2:$B$401,$B48,'Player Rounds'!$C$2:$C$401,$D48)-_xlfn.MINIFS('Player Rounds'!$AK$2:$AK$401,'Player Rounds'!$A$2:$A$401,$A48,'Player Rounds'!$B$2:$B$401,$B48,'Player Rounds'!$C$2:$C$401,$C48))))</f>
      </c>
      <c r="X48" t="e">
        <f>IF($A48="","",IF(COUNTIFS('Player Rounds'!$A$2:$A$401,$A48,'Player Rounds'!$B$2:$B$401,$B48,'Player Rounds'!$R$2:$R$401,"&gt;0")=0,"",SIGN(_xlfn.MINIFS('Player Rounds'!$AL$2:$AL$401,'Player Rounds'!$A$2:$A$401,$A48,'Player Rounds'!$B$2:$B$401,$B48,'Player Rounds'!$C$2:$C$401,$D48)-_xlfn.MINIFS('Player Rounds'!$AL$2:$AL$401,'Player Rounds'!$A$2:$A$401,$A48,'Player Rounds'!$B$2:$B$401,$B48,'Player Rounds'!$C$2:$C$401,$C48))))</f>
      </c>
      <c r="Y48" t="e">
        <f>IF($A48="","",IF(COUNTIFS('Player Rounds'!$A$2:$A$401,$A48,'Player Rounds'!$B$2:$B$401,$B48,'Player Rounds'!$S$2:$S$401,"&gt;0")=0,"",SIGN(_xlfn.MINIFS('Player Rounds'!$AM$2:$AM$401,'Player Rounds'!$A$2:$A$401,$A48,'Player Rounds'!$B$2:$B$401,$B48,'Player Rounds'!$C$2:$C$401,$D48)-_xlfn.MINIFS('Player Rounds'!$AM$2:$AM$401,'Player Rounds'!$A$2:$A$401,$A48,'Player Rounds'!$B$2:$B$401,$B48,'Player Rounds'!$C$2:$C$401,$C48))))</f>
      </c>
      <c r="Z48" t="e">
        <f>IF($A48="","",IF(COUNTIFS('Player Rounds'!$A$2:$A$401,$A48,'Player Rounds'!$B$2:$B$401,$B48,'Player Rounds'!$T$2:$T$401,"&gt;0")=0,"",SIGN(_xlfn.MINIFS('Player Rounds'!$AN$2:$AN$401,'Player Rounds'!$A$2:$A$401,$A48,'Player Rounds'!$B$2:$B$401,$B48,'Player Rounds'!$C$2:$C$401,$D48)-_xlfn.MINIFS('Player Rounds'!$AN$2:$AN$401,'Player Rounds'!$A$2:$A$401,$A48,'Player Rounds'!$B$2:$B$401,$B48,'Player Rounds'!$C$2:$C$401,$C48))))</f>
      </c>
      <c r="AA48" t="e">
        <f>IF($A48="","",IF(COUNTIFS('Player Rounds'!$A$2:$A$401,$A48,'Player Rounds'!$B$2:$B$401,$B48,'Player Rounds'!$U$2:$U$401,"&gt;0")=0,"",SIGN(_xlfn.MINIFS('Player Rounds'!$AO$2:$AO$401,'Player Rounds'!$A$2:$A$401,$A48,'Player Rounds'!$B$2:$B$401,$B48,'Player Rounds'!$C$2:$C$401,$D48)-_xlfn.MINIFS('Player Rounds'!$AO$2:$AO$401,'Player Rounds'!$A$2:$A$401,$A48,'Player Rounds'!$B$2:$B$401,$B48,'Player Rounds'!$C$2:$C$401,$C48))))</f>
      </c>
      <c r="AB48" t="e">
        <f>IF($A48="","",IF(COUNTIFS('Player Rounds'!$A$2:$A$401,$A48,'Player Rounds'!$B$2:$B$401,$B48,'Player Rounds'!$V$2:$V$401,"&gt;0")=0,"",SIGN(_xlfn.MINIFS('Player Rounds'!$AP$2:$AP$401,'Player Rounds'!$A$2:$A$401,$A48,'Player Rounds'!$B$2:$B$401,$B48,'Player Rounds'!$C$2:$C$401,$D48)-_xlfn.MINIFS('Player Rounds'!$AP$2:$AP$401,'Player Rounds'!$A$2:$A$401,$A48,'Player Rounds'!$B$2:$B$401,$B48,'Player Rounds'!$C$2:$C$401,$C48))))</f>
      </c>
      <c r="AC48" t="e">
        <f>IF($A48="","",IF(COUNTIFS('Player Rounds'!$A$2:$A$401,$A48,'Player Rounds'!$B$2:$B$401,$B48,'Player Rounds'!$W$2:$W$401,"&gt;0")=0,"",SIGN(_xlfn.MINIFS('Player Rounds'!$AQ$2:$AQ$401,'Player Rounds'!$A$2:$A$401,$A48,'Player Rounds'!$B$2:$B$401,$B48,'Player Rounds'!$C$2:$C$401,$D48)-_xlfn.MINIFS('Player Rounds'!$AQ$2:$AQ$401,'Player Rounds'!$A$2:$A$401,$A48,'Player Rounds'!$B$2:$B$401,$B48,'Player Rounds'!$C$2:$C$401,$C48))))</f>
      </c>
      <c r="AD48" t="e">
        <f>IF($A48="","",SUM($L48:L48))</f>
      </c>
      <c r="AE48" t="e">
        <f>IF($A48="","",SUM($L48:M48))</f>
      </c>
      <c r="AF48" t="e">
        <f>IF($A48="","",SUM($L48:N48))</f>
      </c>
      <c r="AG48" t="e">
        <f>IF($A48="","",SUM($L48:O48))</f>
      </c>
      <c r="AH48" t="e">
        <f>IF($A48="","",SUM($L48:P48))</f>
      </c>
      <c r="AI48" t="e">
        <f>IF($A48="","",SUM($L48:Q48))</f>
      </c>
      <c r="AJ48" t="e">
        <f>IF($A48="","",SUM($L48:R48))</f>
      </c>
      <c r="AK48" t="e">
        <f>IF($A48="","",SUM($L48:S48))</f>
      </c>
      <c r="AL48" t="e">
        <f>IF($A48="","",SUM($L48:T48))</f>
      </c>
      <c r="AM48" t="e">
        <f>IF($A48="","",SUM($L48:U48))</f>
      </c>
      <c r="AN48" t="e">
        <f>IF($A48="","",SUM($L48:V48))</f>
      </c>
      <c r="AO48" t="e">
        <f>IF($A48="","",SUM($L48:W48))</f>
      </c>
      <c r="AP48" t="e">
        <f>IF($A48="","",SUM($L48:X48))</f>
      </c>
      <c r="AQ48" t="e">
        <f>IF($A48="","",SUM($L48:Y48))</f>
      </c>
      <c r="AR48" t="e">
        <f>IF($A48="","",SUM($L48:Z48))</f>
      </c>
      <c r="AS48" t="e">
        <f>IF($A48="","",SUM($L48:AA48))</f>
      </c>
      <c r="AT48" t="e">
        <f>IF($A48="","",SUM($L48:AB48))</f>
      </c>
      <c r="AU48" t="e">
        <f>IF($A48="","",SUM($L48:AC48))</f>
      </c>
      <c r="AV48" t="e">
        <f>IF(OR($A48="",L48=""),"",IF(ABS(AD48)&gt;17,1,""))</f>
      </c>
      <c r="AW48" t="e">
        <f>IF(OR($A48="",M48=""),"",IF(ABS(AE48)&gt;16,2,""))</f>
      </c>
      <c r="AX48" t="e">
        <f>IF(OR($A48="",N48=""),"",IF(ABS(AF48)&gt;15,3,""))</f>
      </c>
      <c r="AY48" t="e">
        <f>IF(OR($A48="",O48=""),"",IF(ABS(AG48)&gt;14,4,""))</f>
      </c>
      <c r="AZ48" t="e">
        <f>IF(OR($A48="",P48=""),"",IF(ABS(AH48)&gt;13,5,""))</f>
      </c>
      <c r="BA48" t="e">
        <f>IF(OR($A48="",Q48=""),"",IF(ABS(AI48)&gt;12,6,""))</f>
      </c>
      <c r="BB48" t="e">
        <f>IF(OR($A48="",R48=""),"",IF(ABS(AJ48)&gt;11,7,""))</f>
      </c>
      <c r="BC48" t="e">
        <f>IF(OR($A48="",S48=""),"",IF(ABS(AK48)&gt;10,8,""))</f>
      </c>
      <c r="BD48" t="e">
        <f>IF(OR($A48="",T48=""),"",IF(ABS(AL48)&gt;9,9,""))</f>
      </c>
      <c r="BE48" t="e">
        <f>IF(OR($A48="",U48=""),"",IF(ABS(AM48)&gt;8,10,""))</f>
      </c>
      <c r="BF48" t="e">
        <f>IF(OR($A48="",V48=""),"",IF(ABS(AN48)&gt;7,11,""))</f>
      </c>
      <c r="BG48" t="e">
        <f>IF(OR($A48="",W48=""),"",IF(ABS(AO48)&gt;6,12,""))</f>
      </c>
      <c r="BH48" t="e">
        <f>IF(OR($A48="",X48=""),"",IF(ABS(AP48)&gt;5,13,""))</f>
      </c>
      <c r="BI48" t="e">
        <f>IF(OR($A48="",Y48=""),"",IF(ABS(AQ48)&gt;4,14,""))</f>
      </c>
      <c r="BJ48" t="e">
        <f>IF(OR($A48="",Z48=""),"",IF(ABS(AR48)&gt;3,15,""))</f>
      </c>
      <c r="BK48" t="e">
        <f>IF(OR($A48="",AA48=""),"",IF(ABS(AS48)&gt;2,16,""))</f>
      </c>
      <c r="BL48" t="e">
        <f>IF(OR($A48="",AB48=""),"",IF(ABS(AT48)&gt;1,17,""))</f>
      </c>
      <c r="BM48" t="e">
        <f>IF(OR($A48="",AC48=""),"",IF(ABS(AU48)&gt;0,18,""))</f>
      </c>
    </row>
    <row r="49">
      <c r="C49" t="str">
        <f>IF($A49="","",INDEX('Tournament Setup'!$J:$J,MATCH($A49,'Tournament Setup'!$A:$A,0)))</f>
        <v/>
      </c>
      <c r="D49" t="str">
        <f>IF($A49="","",INDEX('Tournament Setup'!$K:$K,MATCH($A49,'Tournament Setup'!$A:$A,0)))</f>
        <v/>
      </c>
      <c r="E49" t="str">
        <f>IF($A49="","",IF(COUNT(L49:AC49)=0,"Not played",IF(AND($K49&gt;0,$K49&lt;18),IF(INDEX(AD49:AU49,1,$K49)&gt;0,$C49,$D49)&amp;" "&amp;ABS(INDEX(AD49:AU49,1,$K49))&amp;"&amp;"&amp;(18-$K49),IF($J49=0,"Halved (AS)",IF($J49&gt;0,$C49,$D49)&amp;" "&amp;ABS($J49)&amp;" UP"))))</f>
        <v/>
      </c>
      <c r="F49" t="e">
        <f>IF(OR($A49="",COUNT(L49:AC49)=0),"",INDEX('Tournament Setup'!$I:$I,MATCH($A49,'Tournament Setup'!$A:$A,0))*IF(INDEX('Tournament Setup'!$H:$H,MATCH($A49,'Tournament Setup'!$A:$A,0))="Yes",IF($H49&gt;0,1,IF($H49=0,0.5,0))+IF($I49&gt;0,1,IF($I49=0,0.5,0))+IF($J49&gt;0,1,IF($J49=0,0.5,0)),IF(IF(AND($K49&gt;0,$K49&lt;18),INDEX(AD49:AU49,1,$K49),$J49)&gt;0,1,IF(IF(AND($K49&gt;0,$K49&lt;18),INDEX(AD49:AU49,1,$K49),$J49)=0,0.5,0))))</f>
      </c>
      <c r="G49" t="e">
        <f>IF(OR($A49="",COUNT(L49:AC49)=0),"",INDEX('Tournament Setup'!$I:$I,MATCH($A49,'Tournament Setup'!$A:$A,0))*IF(INDEX('Tournament Setup'!$H:$H,MATCH($A49,'Tournament Setup'!$A:$A,0))="Yes",IF($H49&lt;0,1,IF($H49=0,0.5,0))+IF($I49&lt;0,1,IF($I49=0,0.5,0))+IF($J49&lt;0,1,IF($J49=0,0.5,0)),IF(IF(AND($K49&gt;0,$K49&lt;18),INDEX(AD49:AU49,1,$K49),$J49)&lt;0,1,IF(IF(AND($K49&gt;0,$K49&lt;18),INDEX(AD49:AU49,1,$K49),$J49)=0,0.5,0))))</f>
      </c>
      <c r="H49" t="e">
        <f>IF($A49="","",SUM(L49:T49))</f>
      </c>
      <c r="I49" t="e">
        <f>IF($A49="","",SUM(U49:AC49))</f>
      </c>
      <c r="J49" t="e">
        <f>IF($A49="","",SUM(L49:AC49))</f>
      </c>
      <c r="K49" t="e">
        <f>IF($A49="","",MIN(AV49:BM49))</f>
      </c>
      <c r="L49" t="e">
        <f>IF($A49="","",IF(COUNTIFS('Player Rounds'!$A$2:$A$401,$A49,'Player Rounds'!$B$2:$B$401,$B49,'Player Rounds'!$F$2:$F$401,"&gt;0")=0,"",SIGN(_xlfn.MINIFS('Player Rounds'!$Z$2:$Z$401,'Player Rounds'!$A$2:$A$401,$A49,'Player Rounds'!$B$2:$B$401,$B49,'Player Rounds'!$C$2:$C$401,$D49)-_xlfn.MINIFS('Player Rounds'!$Z$2:$Z$401,'Player Rounds'!$A$2:$A$401,$A49,'Player Rounds'!$B$2:$B$401,$B49,'Player Rounds'!$C$2:$C$401,$C49))))</f>
      </c>
      <c r="M49" t="e">
        <f>IF($A49="","",IF(COUNTIFS('Player Rounds'!$A$2:$A$401,$A49,'Player Rounds'!$B$2:$B$401,$B49,'Player Rounds'!$G$2:$G$401,"&gt;0")=0,"",SIGN(_xlfn.MINIFS('Player Rounds'!$AA$2:$AA$401,'Player Rounds'!$A$2:$A$401,$A49,'Player Rounds'!$B$2:$B$401,$B49,'Player Rounds'!$C$2:$C$401,$D49)-_xlfn.MINIFS('Player Rounds'!$AA$2:$AA$401,'Player Rounds'!$A$2:$A$401,$A49,'Player Rounds'!$B$2:$B$401,$B49,'Player Rounds'!$C$2:$C$401,$C49))))</f>
      </c>
      <c r="N49" t="e">
        <f>IF($A49="","",IF(COUNTIFS('Player Rounds'!$A$2:$A$401,$A49,'Player Rounds'!$B$2:$B$401,$B49,'Player Rounds'!$H$2:$H$401,"&gt;0")=0,"",SIGN(_xlfn.MINIFS('Player Rounds'!$AB$2:$AB$401,'Player Rounds'!$A$2:$A$401,$A49,'Player Rounds'!$B$2:$B$401,$B49,'Player Rounds'!$C$2:$C$401,$D49)-_xlfn.MINIFS('Player Rounds'!$AB$2:$AB$401,'Player Rounds'!$A$2:$A$401,$A49,'Player Rounds'!$B$2:$B$401,$B49,'Player Rounds'!$C$2:$C$401,$C49))))</f>
      </c>
      <c r="O49" t="e">
        <f>IF($A49="","",IF(COUNTIFS('Player Rounds'!$A$2:$A$401,$A49,'Player Rounds'!$B$2:$B$401,$B49,'Player Rounds'!$I$2:$I$401,"&gt;0")=0,"",SIGN(_xlfn.MINIFS('Player Rounds'!$AC$2:$AC$401,'Player Rounds'!$A$2:$A$401,$A49,'Player Rounds'!$B$2:$B$401,$B49,'Player Rounds'!$C$2:$C$401,$D49)-_xlfn.MINIFS('Player Rounds'!$AC$2:$AC$401,'Player Rounds'!$A$2:$A$401,$A49,'Player Rounds'!$B$2:$B$401,$B49,'Player Rounds'!$C$2:$C$401,$C49))))</f>
      </c>
      <c r="P49" t="e">
        <f>IF($A49="","",IF(COUNTIFS('Player Rounds'!$A$2:$A$401,$A49,'Player Rounds'!$B$2:$B$401,$B49,'Player Rounds'!$J$2:$J$401,"&gt;0")=0,"",SIGN(_xlfn.MINIFS('Player Rounds'!$AD$2:$AD$401,'Player Rounds'!$A$2:$A$401,$A49,'Player Rounds'!$B$2:$B$401,$B49,'Player Rounds'!$C$2:$C$401,$D49)-_xlfn.MINIFS('Player Rounds'!$AD$2:$AD$401,'Player Rounds'!$A$2:$A$401,$A49,'Player Rounds'!$B$2:$B$401,$B49,'Player Rounds'!$C$2:$C$401,$C49))))</f>
      </c>
      <c r="Q49" t="e">
        <f>IF($A49="","",IF(COUNTIFS('Player Rounds'!$A$2:$A$401,$A49,'Player Rounds'!$B$2:$B$401,$B49,'Player Rounds'!$K$2:$K$401,"&gt;0")=0,"",SIGN(_xlfn.MINIFS('Player Rounds'!$AE$2:$AE$401,'Player Rounds'!$A$2:$A$401,$A49,'Player Rounds'!$B$2:$B$401,$B49,'Player Rounds'!$C$2:$C$401,$D49)-_xlfn.MINIFS('Player Rounds'!$AE$2:$AE$401,'Player Rounds'!$A$2:$A$401,$A49,'Player Rounds'!$B$2:$B$401,$B49,'Player Rounds'!$C$2:$C$401,$C49))))</f>
      </c>
      <c r="R49" t="e">
        <f>IF($A49="","",IF(COUNTIFS('Player Rounds'!$A$2:$A$401,$A49,'Player Rounds'!$B$2:$B$401,$B49,'Player Rounds'!$L$2:$L$401,"&gt;0")=0,"",SIGN(_xlfn.MINIFS('Player Rounds'!$AF$2:$AF$401,'Player Rounds'!$A$2:$A$401,$A49,'Player Rounds'!$B$2:$B$401,$B49,'Player Rounds'!$C$2:$C$401,$D49)-_xlfn.MINIFS('Player Rounds'!$AF$2:$AF$401,'Player Rounds'!$A$2:$A$401,$A49,'Player Rounds'!$B$2:$B$401,$B49,'Player Rounds'!$C$2:$C$401,$C49))))</f>
      </c>
      <c r="S49" t="e">
        <f>IF($A49="","",IF(COUNTIFS('Player Rounds'!$A$2:$A$401,$A49,'Player Rounds'!$B$2:$B$401,$B49,'Player Rounds'!$M$2:$M$401,"&gt;0")=0,"",SIGN(_xlfn.MINIFS('Player Rounds'!$AG$2:$AG$401,'Player Rounds'!$A$2:$A$401,$A49,'Player Rounds'!$B$2:$B$401,$B49,'Player Rounds'!$C$2:$C$401,$D49)-_xlfn.MINIFS('Player Rounds'!$AG$2:$AG$401,'Player Rounds'!$A$2:$A$401,$A49,'Player Rounds'!$B$2:$B$401,$B49,'Player Rounds'!$C$2:$C$401,$C49))))</f>
      </c>
      <c r="T49" t="e">
        <f>IF($A49="","",IF(COUNTIFS('Player Rounds'!$A$2:$A$401,$A49,'Player Rounds'!$B$2:$B$401,$B49,'Player Rounds'!$N$2:$N$401,"&gt;0")=0,"",SIGN(_xlfn.MINIFS('Player Rounds'!$AH$2:$AH$401,'Player Rounds'!$A$2:$A$401,$A49,'Player Rounds'!$B$2:$B$401,$B49,'Player Rounds'!$C$2:$C$401,$D49)-_xlfn.MINIFS('Player Rounds'!$AH$2:$AH$401,'Player Rounds'!$A$2:$A$401,$A49,'Player Rounds'!$B$2:$B$401,$B49,'Player Rounds'!$C$2:$C$401,$C49))))</f>
      </c>
      <c r="U49" t="e">
        <f>IF($A49="","",IF(COUNTIFS('Player Rounds'!$A$2:$A$401,$A49,'Player Rounds'!$B$2:$B$401,$B49,'Player Rounds'!$O$2:$O$401,"&gt;0")=0,"",SIGN(_xlfn.MINIFS('Player Rounds'!$AI$2:$AI$401,'Player Rounds'!$A$2:$A$401,$A49,'Player Rounds'!$B$2:$B$401,$B49,'Player Rounds'!$C$2:$C$401,$D49)-_xlfn.MINIFS('Player Rounds'!$AI$2:$AI$401,'Player Rounds'!$A$2:$A$401,$A49,'Player Rounds'!$B$2:$B$401,$B49,'Player Rounds'!$C$2:$C$401,$C49))))</f>
      </c>
      <c r="V49" t="e">
        <f>IF($A49="","",IF(COUNTIFS('Player Rounds'!$A$2:$A$401,$A49,'Player Rounds'!$B$2:$B$401,$B49,'Player Rounds'!$P$2:$P$401,"&gt;0")=0,"",SIGN(_xlfn.MINIFS('Player Rounds'!$AJ$2:$AJ$401,'Player Rounds'!$A$2:$A$401,$A49,'Player Rounds'!$B$2:$B$401,$B49,'Player Rounds'!$C$2:$C$401,$D49)-_xlfn.MINIFS('Player Rounds'!$AJ$2:$AJ$401,'Player Rounds'!$A$2:$A$401,$A49,'Player Rounds'!$B$2:$B$401,$B49,'Player Rounds'!$C$2:$C$401,$C49))))</f>
      </c>
      <c r="W49" t="e">
        <f>IF($A49="","",IF(COUNTIFS('Player Rounds'!$A$2:$A$401,$A49,'Player Rounds'!$B$2:$B$401,$B49,'Player Rounds'!$Q$2:$Q$401,"&gt;0")=0,"",SIGN(_xlfn.MINIFS('Player Rounds'!$AK$2:$AK$401,'Player Rounds'!$A$2:$A$401,$A49,'Player Rounds'!$B$2:$B$401,$B49,'Player Rounds'!$C$2:$C$401,$D49)-_xlfn.MINIFS('Player Rounds'!$AK$2:$AK$401,'Player Rounds'!$A$2:$A$401,$A49,'Player Rounds'!$B$2:$B$401,$B49,'Player Rounds'!$C$2:$C$401,$C49))))</f>
      </c>
      <c r="X49" t="e">
        <f>IF($A49="","",IF(COUNTIFS('Player Rounds'!$A$2:$A$401,$A49,'Player Rounds'!$B$2:$B$401,$B49,'Player Rounds'!$R$2:$R$401,"&gt;0")=0,"",SIGN(_xlfn.MINIFS('Player Rounds'!$AL$2:$AL$401,'Player Rounds'!$A$2:$A$401,$A49,'Player Rounds'!$B$2:$B$401,$B49,'Player Rounds'!$C$2:$C$401,$D49)-_xlfn.MINIFS('Player Rounds'!$AL$2:$AL$401,'Player Rounds'!$A$2:$A$401,$A49,'Player Rounds'!$B$2:$B$401,$B49,'Player Rounds'!$C$2:$C$401,$C49))))</f>
      </c>
      <c r="Y49" t="e">
        <f>IF($A49="","",IF(COUNTIFS('Player Rounds'!$A$2:$A$401,$A49,'Player Rounds'!$B$2:$B$401,$B49,'Player Rounds'!$S$2:$S$401,"&gt;0")=0,"",SIGN(_xlfn.MINIFS('Player Rounds'!$AM$2:$AM$401,'Player Rounds'!$A$2:$A$401,$A49,'Player Rounds'!$B$2:$B$401,$B49,'Player Rounds'!$C$2:$C$401,$D49)-_xlfn.MINIFS('Player Rounds'!$AM$2:$AM$401,'Player Rounds'!$A$2:$A$401,$A49,'Player Rounds'!$B$2:$B$401,$B49,'Player Rounds'!$C$2:$C$401,$C49))))</f>
      </c>
      <c r="Z49" t="e">
        <f>IF($A49="","",IF(COUNTIFS('Player Rounds'!$A$2:$A$401,$A49,'Player Rounds'!$B$2:$B$401,$B49,'Player Rounds'!$T$2:$T$401,"&gt;0")=0,"",SIGN(_xlfn.MINIFS('Player Rounds'!$AN$2:$AN$401,'Player Rounds'!$A$2:$A$401,$A49,'Player Rounds'!$B$2:$B$401,$B49,'Player Rounds'!$C$2:$C$401,$D49)-_xlfn.MINIFS('Player Rounds'!$AN$2:$AN$401,'Player Rounds'!$A$2:$A$401,$A49,'Player Rounds'!$B$2:$B$401,$B49,'Player Rounds'!$C$2:$C$401,$C49))))</f>
      </c>
      <c r="AA49" t="e">
        <f>IF($A49="","",IF(COUNTIFS('Player Rounds'!$A$2:$A$401,$A49,'Player Rounds'!$B$2:$B$401,$B49,'Player Rounds'!$U$2:$U$401,"&gt;0")=0,"",SIGN(_xlfn.MINIFS('Player Rounds'!$AO$2:$AO$401,'Player Rounds'!$A$2:$A$401,$A49,'Player Rounds'!$B$2:$B$401,$B49,'Player Rounds'!$C$2:$C$401,$D49)-_xlfn.MINIFS('Player Rounds'!$AO$2:$AO$401,'Player Rounds'!$A$2:$A$401,$A49,'Player Rounds'!$B$2:$B$401,$B49,'Player Rounds'!$C$2:$C$401,$C49))))</f>
      </c>
      <c r="AB49" t="e">
        <f>IF($A49="","",IF(COUNTIFS('Player Rounds'!$A$2:$A$401,$A49,'Player Rounds'!$B$2:$B$401,$B49,'Player Rounds'!$V$2:$V$401,"&gt;0")=0,"",SIGN(_xlfn.MINIFS('Player Rounds'!$AP$2:$AP$401,'Player Rounds'!$A$2:$A$401,$A49,'Player Rounds'!$B$2:$B$401,$B49,'Player Rounds'!$C$2:$C$401,$D49)-_xlfn.MINIFS('Player Rounds'!$AP$2:$AP$401,'Player Rounds'!$A$2:$A$401,$A49,'Player Rounds'!$B$2:$B$401,$B49,'Player Rounds'!$C$2:$C$401,$C49))))</f>
      </c>
      <c r="AC49" t="e">
        <f>IF($A49="","",IF(COUNTIFS('Player Rounds'!$A$2:$A$401,$A49,'Player Rounds'!$B$2:$B$401,$B49,'Player Rounds'!$W$2:$W$401,"&gt;0")=0,"",SIGN(_xlfn.MINIFS('Player Rounds'!$AQ$2:$AQ$401,'Player Rounds'!$A$2:$A$401,$A49,'Player Rounds'!$B$2:$B$401,$B49,'Player Rounds'!$C$2:$C$401,$D49)-_xlfn.MINIFS('Player Rounds'!$AQ$2:$AQ$401,'Player Rounds'!$A$2:$A$401,$A49,'Player Rounds'!$B$2:$B$401,$B49,'Player Rounds'!$C$2:$C$401,$C49))))</f>
      </c>
      <c r="AD49" t="e">
        <f>IF($A49="","",SUM($L49:L49))</f>
      </c>
      <c r="AE49" t="e">
        <f>IF($A49="","",SUM($L49:M49))</f>
      </c>
      <c r="AF49" t="e">
        <f>IF($A49="","",SUM($L49:N49))</f>
      </c>
      <c r="AG49" t="e">
        <f>IF($A49="","",SUM($L49:O49))</f>
      </c>
      <c r="AH49" t="e">
        <f>IF($A49="","",SUM($L49:P49))</f>
      </c>
      <c r="AI49" t="e">
        <f>IF($A49="","",SUM($L49:Q49))</f>
      </c>
      <c r="AJ49" t="e">
        <f>IF($A49="","",SUM($L49:R49))</f>
      </c>
      <c r="AK49" t="e">
        <f>IF($A49="","",SUM($L49:S49))</f>
      </c>
      <c r="AL49" t="e">
        <f>IF($A49="","",SUM($L49:T49))</f>
      </c>
      <c r="AM49" t="e">
        <f>IF($A49="","",SUM($L49:U49))</f>
      </c>
      <c r="AN49" t="e">
        <f>IF($A49="","",SUM($L49:V49))</f>
      </c>
      <c r="AO49" t="e">
        <f>IF($A49="","",SUM($L49:W49))</f>
      </c>
      <c r="AP49" t="e">
        <f>IF($A49="","",SUM($L49:X49))</f>
      </c>
      <c r="AQ49" t="e">
        <f>IF($A49="","",SUM($L49:Y49))</f>
      </c>
      <c r="AR49" t="e">
        <f>IF($A49="","",SUM($L49:Z49))</f>
      </c>
      <c r="AS49" t="e">
        <f>IF($A49="","",SUM($L49:AA49))</f>
      </c>
      <c r="AT49" t="e">
        <f>IF($A49="","",SUM($L49:AB49))</f>
      </c>
      <c r="AU49" t="e">
        <f>IF($A49="","",SUM($L49:AC49))</f>
      </c>
      <c r="AV49" t="e">
        <f>IF(OR($A49="",L49=""),"",IF(ABS(AD49)&gt;17,1,""))</f>
      </c>
      <c r="AW49" t="e">
        <f>IF(OR($A49="",M49=""),"",IF(ABS(AE49)&gt;16,2,""))</f>
      </c>
      <c r="AX49" t="e">
        <f>IF(OR($A49="",N49=""),"",IF(ABS(AF49)&gt;15,3,""))</f>
      </c>
      <c r="AY49" t="e">
        <f>IF(OR($A49="",O49=""),"",IF(ABS(AG49)&gt;14,4,""))</f>
      </c>
      <c r="AZ49" t="e">
        <f>IF(OR($A49="",P49=""),"",IF(ABS(AH49)&gt;13,5,""))</f>
      </c>
      <c r="BA49" t="e">
        <f>IF(OR($A49="",Q49=""),"",IF(ABS(AI49)&gt;12,6,""))</f>
      </c>
      <c r="BB49" t="e">
        <f>IF(OR($A49="",R49=""),"",IF(ABS(AJ49)&gt;11,7,""))</f>
      </c>
      <c r="BC49" t="e">
        <f>IF(OR($A49="",S49=""),"",IF(ABS(AK49)&gt;10,8,""))</f>
      </c>
      <c r="BD49" t="e">
        <f>IF(OR($A49="",T49=""),"",IF(ABS(AL49)&gt;9,9,""))</f>
      </c>
      <c r="BE49" t="e">
        <f>IF(OR($A49="",U49=""),"",IF(ABS(AM49)&gt;8,10,""))</f>
      </c>
      <c r="BF49" t="e">
        <f>IF(OR($A49="",V49=""),"",IF(ABS(AN49)&gt;7,11,""))</f>
      </c>
      <c r="BG49" t="e">
        <f>IF(OR($A49="",W49=""),"",IF(ABS(AO49)&gt;6,12,""))</f>
      </c>
      <c r="BH49" t="e">
        <f>IF(OR($A49="",X49=""),"",IF(ABS(AP49)&gt;5,13,""))</f>
      </c>
      <c r="BI49" t="e">
        <f>IF(OR($A49="",Y49=""),"",IF(ABS(AQ49)&gt;4,14,""))</f>
      </c>
      <c r="BJ49" t="e">
        <f>IF(OR($A49="",Z49=""),"",IF(ABS(AR49)&gt;3,15,""))</f>
      </c>
      <c r="BK49" t="e">
        <f>IF(OR($A49="",AA49=""),"",IF(ABS(AS49)&gt;2,16,""))</f>
      </c>
      <c r="BL49" t="e">
        <f>IF(OR($A49="",AB49=""),"",IF(ABS(AT49)&gt;1,17,""))</f>
      </c>
      <c r="BM49" t="e">
        <f>IF(OR($A49="",AC49=""),"",IF(ABS(AU49)&gt;0,18,""))</f>
      </c>
    </row>
    <row r="50">
      <c r="C50" t="str">
        <f>IF($A50="","",INDEX('Tournament Setup'!$J:$J,MATCH($A50,'Tournament Setup'!$A:$A,0)))</f>
        <v/>
      </c>
      <c r="D50" t="str">
        <f>IF($A50="","",INDEX('Tournament Setup'!$K:$K,MATCH($A50,'Tournament Setup'!$A:$A,0)))</f>
        <v/>
      </c>
      <c r="E50" t="str">
        <f>IF($A50="","",IF(COUNT(L50:AC50)=0,"Not played",IF(AND($K50&gt;0,$K50&lt;18),IF(INDEX(AD50:AU50,1,$K50)&gt;0,$C50,$D50)&amp;" "&amp;ABS(INDEX(AD50:AU50,1,$K50))&amp;"&amp;"&amp;(18-$K50),IF($J50=0,"Halved (AS)",IF($J50&gt;0,$C50,$D50)&amp;" "&amp;ABS($J50)&amp;" UP"))))</f>
        <v/>
      </c>
      <c r="F50" t="e">
        <f>IF(OR($A50="",COUNT(L50:AC50)=0),"",INDEX('Tournament Setup'!$I:$I,MATCH($A50,'Tournament Setup'!$A:$A,0))*IF(INDEX('Tournament Setup'!$H:$H,MATCH($A50,'Tournament Setup'!$A:$A,0))="Yes",IF($H50&gt;0,1,IF($H50=0,0.5,0))+IF($I50&gt;0,1,IF($I50=0,0.5,0))+IF($J50&gt;0,1,IF($J50=0,0.5,0)),IF(IF(AND($K50&gt;0,$K50&lt;18),INDEX(AD50:AU50,1,$K50),$J50)&gt;0,1,IF(IF(AND($K50&gt;0,$K50&lt;18),INDEX(AD50:AU50,1,$K50),$J50)=0,0.5,0))))</f>
      </c>
      <c r="G50" t="e">
        <f>IF(OR($A50="",COUNT(L50:AC50)=0),"",INDEX('Tournament Setup'!$I:$I,MATCH($A50,'Tournament Setup'!$A:$A,0))*IF(INDEX('Tournament Setup'!$H:$H,MATCH($A50,'Tournament Setup'!$A:$A,0))="Yes",IF($H50&lt;0,1,IF($H50=0,0.5,0))+IF($I50&lt;0,1,IF($I50=0,0.5,0))+IF($J50&lt;0,1,IF($J50=0,0.5,0)),IF(IF(AND($K50&gt;0,$K50&lt;18),INDEX(AD50:AU50,1,$K50),$J50)&lt;0,1,IF(IF(AND($K50&gt;0,$K50&lt;18),INDEX(AD50:AU50,1,$K50),$J50)=0,0.5,0))))</f>
      </c>
      <c r="H50" t="e">
        <f>IF($A50="","",SUM(L50:T50))</f>
      </c>
      <c r="I50" t="e">
        <f>IF($A50="","",SUM(U50:AC50))</f>
      </c>
      <c r="J50" t="e">
        <f>IF($A50="","",SUM(L50:AC50))</f>
      </c>
      <c r="K50" t="e">
        <f>IF($A50="","",MIN(AV50:BM50))</f>
      </c>
      <c r="L50" t="e">
        <f>IF($A50="","",IF(COUNTIFS('Player Rounds'!$A$2:$A$401,$A50,'Player Rounds'!$B$2:$B$401,$B50,'Player Rounds'!$F$2:$F$401,"&gt;0")=0,"",SIGN(_xlfn.MINIFS('Player Rounds'!$Z$2:$Z$401,'Player Rounds'!$A$2:$A$401,$A50,'Player Rounds'!$B$2:$B$401,$B50,'Player Rounds'!$C$2:$C$401,$D50)-_xlfn.MINIFS('Player Rounds'!$Z$2:$Z$401,'Player Rounds'!$A$2:$A$401,$A50,'Player Rounds'!$B$2:$B$401,$B50,'Player Rounds'!$C$2:$C$401,$C50))))</f>
      </c>
      <c r="M50" t="e">
        <f>IF($A50="","",IF(COUNTIFS('Player Rounds'!$A$2:$A$401,$A50,'Player Rounds'!$B$2:$B$401,$B50,'Player Rounds'!$G$2:$G$401,"&gt;0")=0,"",SIGN(_xlfn.MINIFS('Player Rounds'!$AA$2:$AA$401,'Player Rounds'!$A$2:$A$401,$A50,'Player Rounds'!$B$2:$B$401,$B50,'Player Rounds'!$C$2:$C$401,$D50)-_xlfn.MINIFS('Player Rounds'!$AA$2:$AA$401,'Player Rounds'!$A$2:$A$401,$A50,'Player Rounds'!$B$2:$B$401,$B50,'Player Rounds'!$C$2:$C$401,$C50))))</f>
      </c>
      <c r="N50" t="e">
        <f>IF($A50="","",IF(COUNTIFS('Player Rounds'!$A$2:$A$401,$A50,'Player Rounds'!$B$2:$B$401,$B50,'Player Rounds'!$H$2:$H$401,"&gt;0")=0,"",SIGN(_xlfn.MINIFS('Player Rounds'!$AB$2:$AB$401,'Player Rounds'!$A$2:$A$401,$A50,'Player Rounds'!$B$2:$B$401,$B50,'Player Rounds'!$C$2:$C$401,$D50)-_xlfn.MINIFS('Player Rounds'!$AB$2:$AB$401,'Player Rounds'!$A$2:$A$401,$A50,'Player Rounds'!$B$2:$B$401,$B50,'Player Rounds'!$C$2:$C$401,$C50))))</f>
      </c>
      <c r="O50" t="e">
        <f>IF($A50="","",IF(COUNTIFS('Player Rounds'!$A$2:$A$401,$A50,'Player Rounds'!$B$2:$B$401,$B50,'Player Rounds'!$I$2:$I$401,"&gt;0")=0,"",SIGN(_xlfn.MINIFS('Player Rounds'!$AC$2:$AC$401,'Player Rounds'!$A$2:$A$401,$A50,'Player Rounds'!$B$2:$B$401,$B50,'Player Rounds'!$C$2:$C$401,$D50)-_xlfn.MINIFS('Player Rounds'!$AC$2:$AC$401,'Player Rounds'!$A$2:$A$401,$A50,'Player Rounds'!$B$2:$B$401,$B50,'Player Rounds'!$C$2:$C$401,$C50))))</f>
      </c>
      <c r="P50" t="e">
        <f>IF($A50="","",IF(COUNTIFS('Player Rounds'!$A$2:$A$401,$A50,'Player Rounds'!$B$2:$B$401,$B50,'Player Rounds'!$J$2:$J$401,"&gt;0")=0,"",SIGN(_xlfn.MINIFS('Player Rounds'!$AD$2:$AD$401,'Player Rounds'!$A$2:$A$401,$A50,'Player Rounds'!$B$2:$B$401,$B50,'Player Rounds'!$C$2:$C$401,$D50)-_xlfn.MINIFS('Player Rounds'!$AD$2:$AD$401,'Player Rounds'!$A$2:$A$401,$A50,'Player Rounds'!$B$2:$B$401,$B50,'Player Rounds'!$C$2:$C$401,$C50))))</f>
      </c>
      <c r="Q50" t="e">
        <f>IF($A50="","",IF(COUNTIFS('Player Rounds'!$A$2:$A$401,$A50,'Player Rounds'!$B$2:$B$401,$B50,'Player Rounds'!$K$2:$K$401,"&gt;0")=0,"",SIGN(_xlfn.MINIFS('Player Rounds'!$AE$2:$AE$401,'Player Rounds'!$A$2:$A$401,$A50,'Player Rounds'!$B$2:$B$401,$B50,'Player Rounds'!$C$2:$C$401,$D50)-_xlfn.MINIFS('Player Rounds'!$AE$2:$AE$401,'Player Rounds'!$A$2:$A$401,$A50,'Player Rounds'!$B$2:$B$401,$B50,'Player Rounds'!$C$2:$C$401,$C50))))</f>
      </c>
      <c r="R50" t="e">
        <f>IF($A50="","",IF(COUNTIFS('Player Rounds'!$A$2:$A$401,$A50,'Player Rounds'!$B$2:$B$401,$B50,'Player Rounds'!$L$2:$L$401,"&gt;0")=0,"",SIGN(_xlfn.MINIFS('Player Rounds'!$AF$2:$AF$401,'Player Rounds'!$A$2:$A$401,$A50,'Player Rounds'!$B$2:$B$401,$B50,'Player Rounds'!$C$2:$C$401,$D50)-_xlfn.MINIFS('Player Rounds'!$AF$2:$AF$401,'Player Rounds'!$A$2:$A$401,$A50,'Player Rounds'!$B$2:$B$401,$B50,'Player Rounds'!$C$2:$C$401,$C50))))</f>
      </c>
      <c r="S50" t="e">
        <f>IF($A50="","",IF(COUNTIFS('Player Rounds'!$A$2:$A$401,$A50,'Player Rounds'!$B$2:$B$401,$B50,'Player Rounds'!$M$2:$M$401,"&gt;0")=0,"",SIGN(_xlfn.MINIFS('Player Rounds'!$AG$2:$AG$401,'Player Rounds'!$A$2:$A$401,$A50,'Player Rounds'!$B$2:$B$401,$B50,'Player Rounds'!$C$2:$C$401,$D50)-_xlfn.MINIFS('Player Rounds'!$AG$2:$AG$401,'Player Rounds'!$A$2:$A$401,$A50,'Player Rounds'!$B$2:$B$401,$B50,'Player Rounds'!$C$2:$C$401,$C50))))</f>
      </c>
      <c r="T50" t="e">
        <f>IF($A50="","",IF(COUNTIFS('Player Rounds'!$A$2:$A$401,$A50,'Player Rounds'!$B$2:$B$401,$B50,'Player Rounds'!$N$2:$N$401,"&gt;0")=0,"",SIGN(_xlfn.MINIFS('Player Rounds'!$AH$2:$AH$401,'Player Rounds'!$A$2:$A$401,$A50,'Player Rounds'!$B$2:$B$401,$B50,'Player Rounds'!$C$2:$C$401,$D50)-_xlfn.MINIFS('Player Rounds'!$AH$2:$AH$401,'Player Rounds'!$A$2:$A$401,$A50,'Player Rounds'!$B$2:$B$401,$B50,'Player Rounds'!$C$2:$C$401,$C50))))</f>
      </c>
      <c r="U50" t="e">
        <f>IF($A50="","",IF(COUNTIFS('Player Rounds'!$A$2:$A$401,$A50,'Player Rounds'!$B$2:$B$401,$B50,'Player Rounds'!$O$2:$O$401,"&gt;0")=0,"",SIGN(_xlfn.MINIFS('Player Rounds'!$AI$2:$AI$401,'Player Rounds'!$A$2:$A$401,$A50,'Player Rounds'!$B$2:$B$401,$B50,'Player Rounds'!$C$2:$C$401,$D50)-_xlfn.MINIFS('Player Rounds'!$AI$2:$AI$401,'Player Rounds'!$A$2:$A$401,$A50,'Player Rounds'!$B$2:$B$401,$B50,'Player Rounds'!$C$2:$C$401,$C50))))</f>
      </c>
      <c r="V50" t="e">
        <f>IF($A50="","",IF(COUNTIFS('Player Rounds'!$A$2:$A$401,$A50,'Player Rounds'!$B$2:$B$401,$B50,'Player Rounds'!$P$2:$P$401,"&gt;0")=0,"",SIGN(_xlfn.MINIFS('Player Rounds'!$AJ$2:$AJ$401,'Player Rounds'!$A$2:$A$401,$A50,'Player Rounds'!$B$2:$B$401,$B50,'Player Rounds'!$C$2:$C$401,$D50)-_xlfn.MINIFS('Player Rounds'!$AJ$2:$AJ$401,'Player Rounds'!$A$2:$A$401,$A50,'Player Rounds'!$B$2:$B$401,$B50,'Player Rounds'!$C$2:$C$401,$C50))))</f>
      </c>
      <c r="W50" t="e">
        <f>IF($A50="","",IF(COUNTIFS('Player Rounds'!$A$2:$A$401,$A50,'Player Rounds'!$B$2:$B$401,$B50,'Player Rounds'!$Q$2:$Q$401,"&gt;0")=0,"",SIGN(_xlfn.MINIFS('Player Rounds'!$AK$2:$AK$401,'Player Rounds'!$A$2:$A$401,$A50,'Player Rounds'!$B$2:$B$401,$B50,'Player Rounds'!$C$2:$C$401,$D50)-_xlfn.MINIFS('Player Rounds'!$AK$2:$AK$401,'Player Rounds'!$A$2:$A$401,$A50,'Player Rounds'!$B$2:$B$401,$B50,'Player Rounds'!$C$2:$C$401,$C50))))</f>
      </c>
      <c r="X50" t="e">
        <f>IF($A50="","",IF(COUNTIFS('Player Rounds'!$A$2:$A$401,$A50,'Player Rounds'!$B$2:$B$401,$B50,'Player Rounds'!$R$2:$R$401,"&gt;0")=0,"",SIGN(_xlfn.MINIFS('Player Rounds'!$AL$2:$AL$401,'Player Rounds'!$A$2:$A$401,$A50,'Player Rounds'!$B$2:$B$401,$B50,'Player Rounds'!$C$2:$C$401,$D50)-_xlfn.MINIFS('Player Rounds'!$AL$2:$AL$401,'Player Rounds'!$A$2:$A$401,$A50,'Player Rounds'!$B$2:$B$401,$B50,'Player Rounds'!$C$2:$C$401,$C50))))</f>
      </c>
      <c r="Y50" t="e">
        <f>IF($A50="","",IF(COUNTIFS('Player Rounds'!$A$2:$A$401,$A50,'Player Rounds'!$B$2:$B$401,$B50,'Player Rounds'!$S$2:$S$401,"&gt;0")=0,"",SIGN(_xlfn.MINIFS('Player Rounds'!$AM$2:$AM$401,'Player Rounds'!$A$2:$A$401,$A50,'Player Rounds'!$B$2:$B$401,$B50,'Player Rounds'!$C$2:$C$401,$D50)-_xlfn.MINIFS('Player Rounds'!$AM$2:$AM$401,'Player Rounds'!$A$2:$A$401,$A50,'Player Rounds'!$B$2:$B$401,$B50,'Player Rounds'!$C$2:$C$401,$C50))))</f>
      </c>
      <c r="Z50" t="e">
        <f>IF($A50="","",IF(COUNTIFS('Player Rounds'!$A$2:$A$401,$A50,'Player Rounds'!$B$2:$B$401,$B50,'Player Rounds'!$T$2:$T$401,"&gt;0")=0,"",SIGN(_xlfn.MINIFS('Player Rounds'!$AN$2:$AN$401,'Player Rounds'!$A$2:$A$401,$A50,'Player Rounds'!$B$2:$B$401,$B50,'Player Rounds'!$C$2:$C$401,$D50)-_xlfn.MINIFS('Player Rounds'!$AN$2:$AN$401,'Player Rounds'!$A$2:$A$401,$A50,'Player Rounds'!$B$2:$B$401,$B50,'Player Rounds'!$C$2:$C$401,$C50))))</f>
      </c>
      <c r="AA50" t="e">
        <f>IF($A50="","",IF(COUNTIFS('Player Rounds'!$A$2:$A$401,$A50,'Player Rounds'!$B$2:$B$401,$B50,'Player Rounds'!$U$2:$U$401,"&gt;0")=0,"",SIGN(_xlfn.MINIFS('Player Rounds'!$AO$2:$AO$401,'Player Rounds'!$A$2:$A$401,$A50,'Player Rounds'!$B$2:$B$401,$B50,'Player Rounds'!$C$2:$C$401,$D50)-_xlfn.MINIFS('Player Rounds'!$AO$2:$AO$401,'Player Rounds'!$A$2:$A$401,$A50,'Player Rounds'!$B$2:$B$401,$B50,'Player Rounds'!$C$2:$C$401,$C50))))</f>
      </c>
      <c r="AB50" t="e">
        <f>IF($A50="","",IF(COUNTIFS('Player Rounds'!$A$2:$A$401,$A50,'Player Rounds'!$B$2:$B$401,$B50,'Player Rounds'!$V$2:$V$401,"&gt;0")=0,"",SIGN(_xlfn.MINIFS('Player Rounds'!$AP$2:$AP$401,'Player Rounds'!$A$2:$A$401,$A50,'Player Rounds'!$B$2:$B$401,$B50,'Player Rounds'!$C$2:$C$401,$D50)-_xlfn.MINIFS('Player Rounds'!$AP$2:$AP$401,'Player Rounds'!$A$2:$A$401,$A50,'Player Rounds'!$B$2:$B$401,$B50,'Player Rounds'!$C$2:$C$401,$C50))))</f>
      </c>
      <c r="AC50" t="e">
        <f>IF($A50="","",IF(COUNTIFS('Player Rounds'!$A$2:$A$401,$A50,'Player Rounds'!$B$2:$B$401,$B50,'Player Rounds'!$W$2:$W$401,"&gt;0")=0,"",SIGN(_xlfn.MINIFS('Player Rounds'!$AQ$2:$AQ$401,'Player Rounds'!$A$2:$A$401,$A50,'Player Rounds'!$B$2:$B$401,$B50,'Player Rounds'!$C$2:$C$401,$D50)-_xlfn.MINIFS('Player Rounds'!$AQ$2:$AQ$401,'Player Rounds'!$A$2:$A$401,$A50,'Player Rounds'!$B$2:$B$401,$B50,'Player Rounds'!$C$2:$C$401,$C50))))</f>
      </c>
      <c r="AD50" t="e">
        <f>IF($A50="","",SUM($L50:L50))</f>
      </c>
      <c r="AE50" t="e">
        <f>IF($A50="","",SUM($L50:M50))</f>
      </c>
      <c r="AF50" t="e">
        <f>IF($A50="","",SUM($L50:N50))</f>
      </c>
      <c r="AG50" t="e">
        <f>IF($A50="","",SUM($L50:O50))</f>
      </c>
      <c r="AH50" t="e">
        <f>IF($A50="","",SUM($L50:P50))</f>
      </c>
      <c r="AI50" t="e">
        <f>IF($A50="","",SUM($L50:Q50))</f>
      </c>
      <c r="AJ50" t="e">
        <f>IF($A50="","",SUM($L50:R50))</f>
      </c>
      <c r="AK50" t="e">
        <f>IF($A50="","",SUM($L50:S50))</f>
      </c>
      <c r="AL50" t="e">
        <f>IF($A50="","",SUM($L50:T50))</f>
      </c>
      <c r="AM50" t="e">
        <f>IF($A50="","",SUM($L50:U50))</f>
      </c>
      <c r="AN50" t="e">
        <f>IF($A50="","",SUM($L50:V50))</f>
      </c>
      <c r="AO50" t="e">
        <f>IF($A50="","",SUM($L50:W50))</f>
      </c>
      <c r="AP50" t="e">
        <f>IF($A50="","",SUM($L50:X50))</f>
      </c>
      <c r="AQ50" t="e">
        <f>IF($A50="","",SUM($L50:Y50))</f>
      </c>
      <c r="AR50" t="e">
        <f>IF($A50="","",SUM($L50:Z50))</f>
      </c>
      <c r="AS50" t="e">
        <f>IF($A50="","",SUM($L50:AA50))</f>
      </c>
      <c r="AT50" t="e">
        <f>IF($A50="","",SUM($L50:AB50))</f>
      </c>
      <c r="AU50" t="e">
        <f>IF($A50="","",SUM($L50:AC50))</f>
      </c>
      <c r="AV50" t="e">
        <f>IF(OR($A50="",L50=""),"",IF(ABS(AD50)&gt;17,1,""))</f>
      </c>
      <c r="AW50" t="e">
        <f>IF(OR($A50="",M50=""),"",IF(ABS(AE50)&gt;16,2,""))</f>
      </c>
      <c r="AX50" t="e">
        <f>IF(OR($A50="",N50=""),"",IF(ABS(AF50)&gt;15,3,""))</f>
      </c>
      <c r="AY50" t="e">
        <f>IF(OR($A50="",O50=""),"",IF(ABS(AG50)&gt;14,4,""))</f>
      </c>
      <c r="AZ50" t="e">
        <f>IF(OR($A50="",P50=""),"",IF(ABS(AH50)&gt;13,5,""))</f>
      </c>
      <c r="BA50" t="e">
        <f>IF(OR($A50="",Q50=""),"",IF(ABS(AI50)&gt;12,6,""))</f>
      </c>
      <c r="BB50" t="e">
        <f>IF(OR($A50="",R50=""),"",IF(ABS(AJ50)&gt;11,7,""))</f>
      </c>
      <c r="BC50" t="e">
        <f>IF(OR($A50="",S50=""),"",IF(ABS(AK50)&gt;10,8,""))</f>
      </c>
      <c r="BD50" t="e">
        <f>IF(OR($A50="",T50=""),"",IF(ABS(AL50)&gt;9,9,""))</f>
      </c>
      <c r="BE50" t="e">
        <f>IF(OR($A50="",U50=""),"",IF(ABS(AM50)&gt;8,10,""))</f>
      </c>
      <c r="BF50" t="e">
        <f>IF(OR($A50="",V50=""),"",IF(ABS(AN50)&gt;7,11,""))</f>
      </c>
      <c r="BG50" t="e">
        <f>IF(OR($A50="",W50=""),"",IF(ABS(AO50)&gt;6,12,""))</f>
      </c>
      <c r="BH50" t="e">
        <f>IF(OR($A50="",X50=""),"",IF(ABS(AP50)&gt;5,13,""))</f>
      </c>
      <c r="BI50" t="e">
        <f>IF(OR($A50="",Y50=""),"",IF(ABS(AQ50)&gt;4,14,""))</f>
      </c>
      <c r="BJ50" t="e">
        <f>IF(OR($A50="",Z50=""),"",IF(ABS(AR50)&gt;3,15,""))</f>
      </c>
      <c r="BK50" t="e">
        <f>IF(OR($A50="",AA50=""),"",IF(ABS(AS50)&gt;2,16,""))</f>
      </c>
      <c r="BL50" t="e">
        <f>IF(OR($A50="",AB50=""),"",IF(ABS(AT50)&gt;1,17,""))</f>
      </c>
      <c r="BM50" t="e">
        <f>IF(OR($A50="",AC50=""),"",IF(ABS(AU50)&gt;0,18,""))</f>
      </c>
    </row>
    <row r="51">
      <c r="C51" t="str">
        <f>IF($A51="","",INDEX('Tournament Setup'!$J:$J,MATCH($A51,'Tournament Setup'!$A:$A,0)))</f>
        <v/>
      </c>
      <c r="D51" t="str">
        <f>IF($A51="","",INDEX('Tournament Setup'!$K:$K,MATCH($A51,'Tournament Setup'!$A:$A,0)))</f>
        <v/>
      </c>
      <c r="E51" t="str">
        <f>IF($A51="","",IF(COUNT(L51:AC51)=0,"Not played",IF(AND($K51&gt;0,$K51&lt;18),IF(INDEX(AD51:AU51,1,$K51)&gt;0,$C51,$D51)&amp;" "&amp;ABS(INDEX(AD51:AU51,1,$K51))&amp;"&amp;"&amp;(18-$K51),IF($J51=0,"Halved (AS)",IF($J51&gt;0,$C51,$D51)&amp;" "&amp;ABS($J51)&amp;" UP"))))</f>
        <v/>
      </c>
      <c r="F51" t="e">
        <f>IF(OR($A51="",COUNT(L51:AC51)=0),"",INDEX('Tournament Setup'!$I:$I,MATCH($A51,'Tournament Setup'!$A:$A,0))*IF(INDEX('Tournament Setup'!$H:$H,MATCH($A51,'Tournament Setup'!$A:$A,0))="Yes",IF($H51&gt;0,1,IF($H51=0,0.5,0))+IF($I51&gt;0,1,IF($I51=0,0.5,0))+IF($J51&gt;0,1,IF($J51=0,0.5,0)),IF(IF(AND($K51&gt;0,$K51&lt;18),INDEX(AD51:AU51,1,$K51),$J51)&gt;0,1,IF(IF(AND($K51&gt;0,$K51&lt;18),INDEX(AD51:AU51,1,$K51),$J51)=0,0.5,0))))</f>
      </c>
      <c r="G51" t="e">
        <f>IF(OR($A51="",COUNT(L51:AC51)=0),"",INDEX('Tournament Setup'!$I:$I,MATCH($A51,'Tournament Setup'!$A:$A,0))*IF(INDEX('Tournament Setup'!$H:$H,MATCH($A51,'Tournament Setup'!$A:$A,0))="Yes",IF($H51&lt;0,1,IF($H51=0,0.5,0))+IF($I51&lt;0,1,IF($I51=0,0.5,0))+IF($J51&lt;0,1,IF($J51=0,0.5,0)),IF(IF(AND($K51&gt;0,$K51&lt;18),INDEX(AD51:AU51,1,$K51),$J51)&lt;0,1,IF(IF(AND($K51&gt;0,$K51&lt;18),INDEX(AD51:AU51,1,$K51),$J51)=0,0.5,0))))</f>
      </c>
      <c r="H51" t="e">
        <f>IF($A51="","",SUM(L51:T51))</f>
      </c>
      <c r="I51" t="e">
        <f>IF($A51="","",SUM(U51:AC51))</f>
      </c>
      <c r="J51" t="e">
        <f>IF($A51="","",SUM(L51:AC51))</f>
      </c>
      <c r="K51" t="e">
        <f>IF($A51="","",MIN(AV51:BM51))</f>
      </c>
      <c r="L51" t="e">
        <f>IF($A51="","",IF(COUNTIFS('Player Rounds'!$A$2:$A$401,$A51,'Player Rounds'!$B$2:$B$401,$B51,'Player Rounds'!$F$2:$F$401,"&gt;0")=0,"",SIGN(_xlfn.MINIFS('Player Rounds'!$Z$2:$Z$401,'Player Rounds'!$A$2:$A$401,$A51,'Player Rounds'!$B$2:$B$401,$B51,'Player Rounds'!$C$2:$C$401,$D51)-_xlfn.MINIFS('Player Rounds'!$Z$2:$Z$401,'Player Rounds'!$A$2:$A$401,$A51,'Player Rounds'!$B$2:$B$401,$B51,'Player Rounds'!$C$2:$C$401,$C51))))</f>
      </c>
      <c r="M51" t="e">
        <f>IF($A51="","",IF(COUNTIFS('Player Rounds'!$A$2:$A$401,$A51,'Player Rounds'!$B$2:$B$401,$B51,'Player Rounds'!$G$2:$G$401,"&gt;0")=0,"",SIGN(_xlfn.MINIFS('Player Rounds'!$AA$2:$AA$401,'Player Rounds'!$A$2:$A$401,$A51,'Player Rounds'!$B$2:$B$401,$B51,'Player Rounds'!$C$2:$C$401,$D51)-_xlfn.MINIFS('Player Rounds'!$AA$2:$AA$401,'Player Rounds'!$A$2:$A$401,$A51,'Player Rounds'!$B$2:$B$401,$B51,'Player Rounds'!$C$2:$C$401,$C51))))</f>
      </c>
      <c r="N51" t="e">
        <f>IF($A51="","",IF(COUNTIFS('Player Rounds'!$A$2:$A$401,$A51,'Player Rounds'!$B$2:$B$401,$B51,'Player Rounds'!$H$2:$H$401,"&gt;0")=0,"",SIGN(_xlfn.MINIFS('Player Rounds'!$AB$2:$AB$401,'Player Rounds'!$A$2:$A$401,$A51,'Player Rounds'!$B$2:$B$401,$B51,'Player Rounds'!$C$2:$C$401,$D51)-_xlfn.MINIFS('Player Rounds'!$AB$2:$AB$401,'Player Rounds'!$A$2:$A$401,$A51,'Player Rounds'!$B$2:$B$401,$B51,'Player Rounds'!$C$2:$C$401,$C51))))</f>
      </c>
      <c r="O51" t="e">
        <f>IF($A51="","",IF(COUNTIFS('Player Rounds'!$A$2:$A$401,$A51,'Player Rounds'!$B$2:$B$401,$B51,'Player Rounds'!$I$2:$I$401,"&gt;0")=0,"",SIGN(_xlfn.MINIFS('Player Rounds'!$AC$2:$AC$401,'Player Rounds'!$A$2:$A$401,$A51,'Player Rounds'!$B$2:$B$401,$B51,'Player Rounds'!$C$2:$C$401,$D51)-_xlfn.MINIFS('Player Rounds'!$AC$2:$AC$401,'Player Rounds'!$A$2:$A$401,$A51,'Player Rounds'!$B$2:$B$401,$B51,'Player Rounds'!$C$2:$C$401,$C51))))</f>
      </c>
      <c r="P51" t="e">
        <f>IF($A51="","",IF(COUNTIFS('Player Rounds'!$A$2:$A$401,$A51,'Player Rounds'!$B$2:$B$401,$B51,'Player Rounds'!$J$2:$J$401,"&gt;0")=0,"",SIGN(_xlfn.MINIFS('Player Rounds'!$AD$2:$AD$401,'Player Rounds'!$A$2:$A$401,$A51,'Player Rounds'!$B$2:$B$401,$B51,'Player Rounds'!$C$2:$C$401,$D51)-_xlfn.MINIFS('Player Rounds'!$AD$2:$AD$401,'Player Rounds'!$A$2:$A$401,$A51,'Player Rounds'!$B$2:$B$401,$B51,'Player Rounds'!$C$2:$C$401,$C51))))</f>
      </c>
      <c r="Q51" t="e">
        <f>IF($A51="","",IF(COUNTIFS('Player Rounds'!$A$2:$A$401,$A51,'Player Rounds'!$B$2:$B$401,$B51,'Player Rounds'!$K$2:$K$401,"&gt;0")=0,"",SIGN(_xlfn.MINIFS('Player Rounds'!$AE$2:$AE$401,'Player Rounds'!$A$2:$A$401,$A51,'Player Rounds'!$B$2:$B$401,$B51,'Player Rounds'!$C$2:$C$401,$D51)-_xlfn.MINIFS('Player Rounds'!$AE$2:$AE$401,'Player Rounds'!$A$2:$A$401,$A51,'Player Rounds'!$B$2:$B$401,$B51,'Player Rounds'!$C$2:$C$401,$C51))))</f>
      </c>
      <c r="R51" t="e">
        <f>IF($A51="","",IF(COUNTIFS('Player Rounds'!$A$2:$A$401,$A51,'Player Rounds'!$B$2:$B$401,$B51,'Player Rounds'!$L$2:$L$401,"&gt;0")=0,"",SIGN(_xlfn.MINIFS('Player Rounds'!$AF$2:$AF$401,'Player Rounds'!$A$2:$A$401,$A51,'Player Rounds'!$B$2:$B$401,$B51,'Player Rounds'!$C$2:$C$401,$D51)-_xlfn.MINIFS('Player Rounds'!$AF$2:$AF$401,'Player Rounds'!$A$2:$A$401,$A51,'Player Rounds'!$B$2:$B$401,$B51,'Player Rounds'!$C$2:$C$401,$C51))))</f>
      </c>
      <c r="S51" t="e">
        <f>IF($A51="","",IF(COUNTIFS('Player Rounds'!$A$2:$A$401,$A51,'Player Rounds'!$B$2:$B$401,$B51,'Player Rounds'!$M$2:$M$401,"&gt;0")=0,"",SIGN(_xlfn.MINIFS('Player Rounds'!$AG$2:$AG$401,'Player Rounds'!$A$2:$A$401,$A51,'Player Rounds'!$B$2:$B$401,$B51,'Player Rounds'!$C$2:$C$401,$D51)-_xlfn.MINIFS('Player Rounds'!$AG$2:$AG$401,'Player Rounds'!$A$2:$A$401,$A51,'Player Rounds'!$B$2:$B$401,$B51,'Player Rounds'!$C$2:$C$401,$C51))))</f>
      </c>
      <c r="T51" t="e">
        <f>IF($A51="","",IF(COUNTIFS('Player Rounds'!$A$2:$A$401,$A51,'Player Rounds'!$B$2:$B$401,$B51,'Player Rounds'!$N$2:$N$401,"&gt;0")=0,"",SIGN(_xlfn.MINIFS('Player Rounds'!$AH$2:$AH$401,'Player Rounds'!$A$2:$A$401,$A51,'Player Rounds'!$B$2:$B$401,$B51,'Player Rounds'!$C$2:$C$401,$D51)-_xlfn.MINIFS('Player Rounds'!$AH$2:$AH$401,'Player Rounds'!$A$2:$A$401,$A51,'Player Rounds'!$B$2:$B$401,$B51,'Player Rounds'!$C$2:$C$401,$C51))))</f>
      </c>
      <c r="U51" t="e">
        <f>IF($A51="","",IF(COUNTIFS('Player Rounds'!$A$2:$A$401,$A51,'Player Rounds'!$B$2:$B$401,$B51,'Player Rounds'!$O$2:$O$401,"&gt;0")=0,"",SIGN(_xlfn.MINIFS('Player Rounds'!$AI$2:$AI$401,'Player Rounds'!$A$2:$A$401,$A51,'Player Rounds'!$B$2:$B$401,$B51,'Player Rounds'!$C$2:$C$401,$D51)-_xlfn.MINIFS('Player Rounds'!$AI$2:$AI$401,'Player Rounds'!$A$2:$A$401,$A51,'Player Rounds'!$B$2:$B$401,$B51,'Player Rounds'!$C$2:$C$401,$C51))))</f>
      </c>
      <c r="V51" t="e">
        <f>IF($A51="","",IF(COUNTIFS('Player Rounds'!$A$2:$A$401,$A51,'Player Rounds'!$B$2:$B$401,$B51,'Player Rounds'!$P$2:$P$401,"&gt;0")=0,"",SIGN(_xlfn.MINIFS('Player Rounds'!$AJ$2:$AJ$401,'Player Rounds'!$A$2:$A$401,$A51,'Player Rounds'!$B$2:$B$401,$B51,'Player Rounds'!$C$2:$C$401,$D51)-_xlfn.MINIFS('Player Rounds'!$AJ$2:$AJ$401,'Player Rounds'!$A$2:$A$401,$A51,'Player Rounds'!$B$2:$B$401,$B51,'Player Rounds'!$C$2:$C$401,$C51))))</f>
      </c>
      <c r="W51" t="e">
        <f>IF($A51="","",IF(COUNTIFS('Player Rounds'!$A$2:$A$401,$A51,'Player Rounds'!$B$2:$B$401,$B51,'Player Rounds'!$Q$2:$Q$401,"&gt;0")=0,"",SIGN(_xlfn.MINIFS('Player Rounds'!$AK$2:$AK$401,'Player Rounds'!$A$2:$A$401,$A51,'Player Rounds'!$B$2:$B$401,$B51,'Player Rounds'!$C$2:$C$401,$D51)-_xlfn.MINIFS('Player Rounds'!$AK$2:$AK$401,'Player Rounds'!$A$2:$A$401,$A51,'Player Rounds'!$B$2:$B$401,$B51,'Player Rounds'!$C$2:$C$401,$C51))))</f>
      </c>
      <c r="X51" t="e">
        <f>IF($A51="","",IF(COUNTIFS('Player Rounds'!$A$2:$A$401,$A51,'Player Rounds'!$B$2:$B$401,$B51,'Player Rounds'!$R$2:$R$401,"&gt;0")=0,"",SIGN(_xlfn.MINIFS('Player Rounds'!$AL$2:$AL$401,'Player Rounds'!$A$2:$A$401,$A51,'Player Rounds'!$B$2:$B$401,$B51,'Player Rounds'!$C$2:$C$401,$D51)-_xlfn.MINIFS('Player Rounds'!$AL$2:$AL$401,'Player Rounds'!$A$2:$A$401,$A51,'Player Rounds'!$B$2:$B$401,$B51,'Player Rounds'!$C$2:$C$401,$C51))))</f>
      </c>
      <c r="Y51" t="e">
        <f>IF($A51="","",IF(COUNTIFS('Player Rounds'!$A$2:$A$401,$A51,'Player Rounds'!$B$2:$B$401,$B51,'Player Rounds'!$S$2:$S$401,"&gt;0")=0,"",SIGN(_xlfn.MINIFS('Player Rounds'!$AM$2:$AM$401,'Player Rounds'!$A$2:$A$401,$A51,'Player Rounds'!$B$2:$B$401,$B51,'Player Rounds'!$C$2:$C$401,$D51)-_xlfn.MINIFS('Player Rounds'!$AM$2:$AM$401,'Player Rounds'!$A$2:$A$401,$A51,'Player Rounds'!$B$2:$B$401,$B51,'Player Rounds'!$C$2:$C$401,$C51))))</f>
      </c>
      <c r="Z51" t="e">
        <f>IF($A51="","",IF(COUNTIFS('Player Rounds'!$A$2:$A$401,$A51,'Player Rounds'!$B$2:$B$401,$B51,'Player Rounds'!$T$2:$T$401,"&gt;0")=0,"",SIGN(_xlfn.MINIFS('Player Rounds'!$AN$2:$AN$401,'Player Rounds'!$A$2:$A$401,$A51,'Player Rounds'!$B$2:$B$401,$B51,'Player Rounds'!$C$2:$C$401,$D51)-_xlfn.MINIFS('Player Rounds'!$AN$2:$AN$401,'Player Rounds'!$A$2:$A$401,$A51,'Player Rounds'!$B$2:$B$401,$B51,'Player Rounds'!$C$2:$C$401,$C51))))</f>
      </c>
      <c r="AA51" t="e">
        <f>IF($A51="","",IF(COUNTIFS('Player Rounds'!$A$2:$A$401,$A51,'Player Rounds'!$B$2:$B$401,$B51,'Player Rounds'!$U$2:$U$401,"&gt;0")=0,"",SIGN(_xlfn.MINIFS('Player Rounds'!$AO$2:$AO$401,'Player Rounds'!$A$2:$A$401,$A51,'Player Rounds'!$B$2:$B$401,$B51,'Player Rounds'!$C$2:$C$401,$D51)-_xlfn.MINIFS('Player Rounds'!$AO$2:$AO$401,'Player Rounds'!$A$2:$A$401,$A51,'Player Rounds'!$B$2:$B$401,$B51,'Player Rounds'!$C$2:$C$401,$C51))))</f>
      </c>
      <c r="AB51" t="e">
        <f>IF($A51="","",IF(COUNTIFS('Player Rounds'!$A$2:$A$401,$A51,'Player Rounds'!$B$2:$B$401,$B51,'Player Rounds'!$V$2:$V$401,"&gt;0")=0,"",SIGN(_xlfn.MINIFS('Player Rounds'!$AP$2:$AP$401,'Player Rounds'!$A$2:$A$401,$A51,'Player Rounds'!$B$2:$B$401,$B51,'Player Rounds'!$C$2:$C$401,$D51)-_xlfn.MINIFS('Player Rounds'!$AP$2:$AP$401,'Player Rounds'!$A$2:$A$401,$A51,'Player Rounds'!$B$2:$B$401,$B51,'Player Rounds'!$C$2:$C$401,$C51))))</f>
      </c>
      <c r="AC51" t="e">
        <f>IF($A51="","",IF(COUNTIFS('Player Rounds'!$A$2:$A$401,$A51,'Player Rounds'!$B$2:$B$401,$B51,'Player Rounds'!$W$2:$W$401,"&gt;0")=0,"",SIGN(_xlfn.MINIFS('Player Rounds'!$AQ$2:$AQ$401,'Player Rounds'!$A$2:$A$401,$A51,'Player Rounds'!$B$2:$B$401,$B51,'Player Rounds'!$C$2:$C$401,$D51)-_xlfn.MINIFS('Player Rounds'!$AQ$2:$AQ$401,'Player Rounds'!$A$2:$A$401,$A51,'Player Rounds'!$B$2:$B$401,$B51,'Player Rounds'!$C$2:$C$401,$C51))))</f>
      </c>
      <c r="AD51" t="e">
        <f>IF($A51="","",SUM($L51:L51))</f>
      </c>
      <c r="AE51" t="e">
        <f>IF($A51="","",SUM($L51:M51))</f>
      </c>
      <c r="AF51" t="e">
        <f>IF($A51="","",SUM($L51:N51))</f>
      </c>
      <c r="AG51" t="e">
        <f>IF($A51="","",SUM($L51:O51))</f>
      </c>
      <c r="AH51" t="e">
        <f>IF($A51="","",SUM($L51:P51))</f>
      </c>
      <c r="AI51" t="e">
        <f>IF($A51="","",SUM($L51:Q51))</f>
      </c>
      <c r="AJ51" t="e">
        <f>IF($A51="","",SUM($L51:R51))</f>
      </c>
      <c r="AK51" t="e">
        <f>IF($A51="","",SUM($L51:S51))</f>
      </c>
      <c r="AL51" t="e">
        <f>IF($A51="","",SUM($L51:T51))</f>
      </c>
      <c r="AM51" t="e">
        <f>IF($A51="","",SUM($L51:U51))</f>
      </c>
      <c r="AN51" t="e">
        <f>IF($A51="","",SUM($L51:V51))</f>
      </c>
      <c r="AO51" t="e">
        <f>IF($A51="","",SUM($L51:W51))</f>
      </c>
      <c r="AP51" t="e">
        <f>IF($A51="","",SUM($L51:X51))</f>
      </c>
      <c r="AQ51" t="e">
        <f>IF($A51="","",SUM($L51:Y51))</f>
      </c>
      <c r="AR51" t="e">
        <f>IF($A51="","",SUM($L51:Z51))</f>
      </c>
      <c r="AS51" t="e">
        <f>IF($A51="","",SUM($L51:AA51))</f>
      </c>
      <c r="AT51" t="e">
        <f>IF($A51="","",SUM($L51:AB51))</f>
      </c>
      <c r="AU51" t="e">
        <f>IF($A51="","",SUM($L51:AC51))</f>
      </c>
      <c r="AV51" t="e">
        <f>IF(OR($A51="",L51=""),"",IF(ABS(AD51)&gt;17,1,""))</f>
      </c>
      <c r="AW51" t="e">
        <f>IF(OR($A51="",M51=""),"",IF(ABS(AE51)&gt;16,2,""))</f>
      </c>
      <c r="AX51" t="e">
        <f>IF(OR($A51="",N51=""),"",IF(ABS(AF51)&gt;15,3,""))</f>
      </c>
      <c r="AY51" t="e">
        <f>IF(OR($A51="",O51=""),"",IF(ABS(AG51)&gt;14,4,""))</f>
      </c>
      <c r="AZ51" t="e">
        <f>IF(OR($A51="",P51=""),"",IF(ABS(AH51)&gt;13,5,""))</f>
      </c>
      <c r="BA51" t="e">
        <f>IF(OR($A51="",Q51=""),"",IF(ABS(AI51)&gt;12,6,""))</f>
      </c>
      <c r="BB51" t="e">
        <f>IF(OR($A51="",R51=""),"",IF(ABS(AJ51)&gt;11,7,""))</f>
      </c>
      <c r="BC51" t="e">
        <f>IF(OR($A51="",S51=""),"",IF(ABS(AK51)&gt;10,8,""))</f>
      </c>
      <c r="BD51" t="e">
        <f>IF(OR($A51="",T51=""),"",IF(ABS(AL51)&gt;9,9,""))</f>
      </c>
      <c r="BE51" t="e">
        <f>IF(OR($A51="",U51=""),"",IF(ABS(AM51)&gt;8,10,""))</f>
      </c>
      <c r="BF51" t="e">
        <f>IF(OR($A51="",V51=""),"",IF(ABS(AN51)&gt;7,11,""))</f>
      </c>
      <c r="BG51" t="e">
        <f>IF(OR($A51="",W51=""),"",IF(ABS(AO51)&gt;6,12,""))</f>
      </c>
      <c r="BH51" t="e">
        <f>IF(OR($A51="",X51=""),"",IF(ABS(AP51)&gt;5,13,""))</f>
      </c>
      <c r="BI51" t="e">
        <f>IF(OR($A51="",Y51=""),"",IF(ABS(AQ51)&gt;4,14,""))</f>
      </c>
      <c r="BJ51" t="e">
        <f>IF(OR($A51="",Z51=""),"",IF(ABS(AR51)&gt;3,15,""))</f>
      </c>
      <c r="BK51" t="e">
        <f>IF(OR($A51="",AA51=""),"",IF(ABS(AS51)&gt;2,16,""))</f>
      </c>
      <c r="BL51" t="e">
        <f>IF(OR($A51="",AB51=""),"",IF(ABS(AT51)&gt;1,17,""))</f>
      </c>
      <c r="BM51" t="e">
        <f>IF(OR($A51="",AC51=""),"",IF(ABS(AU51)&gt;0,18,""))</f>
      </c>
    </row>
    <row r="52">
      <c r="C52" t="str">
        <f>IF($A52="","",INDEX('Tournament Setup'!$J:$J,MATCH($A52,'Tournament Setup'!$A:$A,0)))</f>
        <v/>
      </c>
      <c r="D52" t="str">
        <f>IF($A52="","",INDEX('Tournament Setup'!$K:$K,MATCH($A52,'Tournament Setup'!$A:$A,0)))</f>
        <v/>
      </c>
      <c r="E52" t="str">
        <f>IF($A52="","",IF(COUNT(L52:AC52)=0,"Not played",IF(AND($K52&gt;0,$K52&lt;18),IF(INDEX(AD52:AU52,1,$K52)&gt;0,$C52,$D52)&amp;" "&amp;ABS(INDEX(AD52:AU52,1,$K52))&amp;"&amp;"&amp;(18-$K52),IF($J52=0,"Halved (AS)",IF($J52&gt;0,$C52,$D52)&amp;" "&amp;ABS($J52)&amp;" UP"))))</f>
        <v/>
      </c>
      <c r="F52" t="e">
        <f>IF(OR($A52="",COUNT(L52:AC52)=0),"",INDEX('Tournament Setup'!$I:$I,MATCH($A52,'Tournament Setup'!$A:$A,0))*IF(INDEX('Tournament Setup'!$H:$H,MATCH($A52,'Tournament Setup'!$A:$A,0))="Yes",IF($H52&gt;0,1,IF($H52=0,0.5,0))+IF($I52&gt;0,1,IF($I52=0,0.5,0))+IF($J52&gt;0,1,IF($J52=0,0.5,0)),IF(IF(AND($K52&gt;0,$K52&lt;18),INDEX(AD52:AU52,1,$K52),$J52)&gt;0,1,IF(IF(AND($K52&gt;0,$K52&lt;18),INDEX(AD52:AU52,1,$K52),$J52)=0,0.5,0))))</f>
      </c>
      <c r="G52" t="e">
        <f>IF(OR($A52="",COUNT(L52:AC52)=0),"",INDEX('Tournament Setup'!$I:$I,MATCH($A52,'Tournament Setup'!$A:$A,0))*IF(INDEX('Tournament Setup'!$H:$H,MATCH($A52,'Tournament Setup'!$A:$A,0))="Yes",IF($H52&lt;0,1,IF($H52=0,0.5,0))+IF($I52&lt;0,1,IF($I52=0,0.5,0))+IF($J52&lt;0,1,IF($J52=0,0.5,0)),IF(IF(AND($K52&gt;0,$K52&lt;18),INDEX(AD52:AU52,1,$K52),$J52)&lt;0,1,IF(IF(AND($K52&gt;0,$K52&lt;18),INDEX(AD52:AU52,1,$K52),$J52)=0,0.5,0))))</f>
      </c>
      <c r="H52" t="e">
        <f>IF($A52="","",SUM(L52:T52))</f>
      </c>
      <c r="I52" t="e">
        <f>IF($A52="","",SUM(U52:AC52))</f>
      </c>
      <c r="J52" t="e">
        <f>IF($A52="","",SUM(L52:AC52))</f>
      </c>
      <c r="K52" t="e">
        <f>IF($A52="","",MIN(AV52:BM52))</f>
      </c>
      <c r="L52" t="e">
        <f>IF($A52="","",IF(COUNTIFS('Player Rounds'!$A$2:$A$401,$A52,'Player Rounds'!$B$2:$B$401,$B52,'Player Rounds'!$F$2:$F$401,"&gt;0")=0,"",SIGN(_xlfn.MINIFS('Player Rounds'!$Z$2:$Z$401,'Player Rounds'!$A$2:$A$401,$A52,'Player Rounds'!$B$2:$B$401,$B52,'Player Rounds'!$C$2:$C$401,$D52)-_xlfn.MINIFS('Player Rounds'!$Z$2:$Z$401,'Player Rounds'!$A$2:$A$401,$A52,'Player Rounds'!$B$2:$B$401,$B52,'Player Rounds'!$C$2:$C$401,$C52))))</f>
      </c>
      <c r="M52" t="e">
        <f>IF($A52="","",IF(COUNTIFS('Player Rounds'!$A$2:$A$401,$A52,'Player Rounds'!$B$2:$B$401,$B52,'Player Rounds'!$G$2:$G$401,"&gt;0")=0,"",SIGN(_xlfn.MINIFS('Player Rounds'!$AA$2:$AA$401,'Player Rounds'!$A$2:$A$401,$A52,'Player Rounds'!$B$2:$B$401,$B52,'Player Rounds'!$C$2:$C$401,$D52)-_xlfn.MINIFS('Player Rounds'!$AA$2:$AA$401,'Player Rounds'!$A$2:$A$401,$A52,'Player Rounds'!$B$2:$B$401,$B52,'Player Rounds'!$C$2:$C$401,$C52))))</f>
      </c>
      <c r="N52" t="e">
        <f>IF($A52="","",IF(COUNTIFS('Player Rounds'!$A$2:$A$401,$A52,'Player Rounds'!$B$2:$B$401,$B52,'Player Rounds'!$H$2:$H$401,"&gt;0")=0,"",SIGN(_xlfn.MINIFS('Player Rounds'!$AB$2:$AB$401,'Player Rounds'!$A$2:$A$401,$A52,'Player Rounds'!$B$2:$B$401,$B52,'Player Rounds'!$C$2:$C$401,$D52)-_xlfn.MINIFS('Player Rounds'!$AB$2:$AB$401,'Player Rounds'!$A$2:$A$401,$A52,'Player Rounds'!$B$2:$B$401,$B52,'Player Rounds'!$C$2:$C$401,$C52))))</f>
      </c>
      <c r="O52" t="e">
        <f>IF($A52="","",IF(COUNTIFS('Player Rounds'!$A$2:$A$401,$A52,'Player Rounds'!$B$2:$B$401,$B52,'Player Rounds'!$I$2:$I$401,"&gt;0")=0,"",SIGN(_xlfn.MINIFS('Player Rounds'!$AC$2:$AC$401,'Player Rounds'!$A$2:$A$401,$A52,'Player Rounds'!$B$2:$B$401,$B52,'Player Rounds'!$C$2:$C$401,$D52)-_xlfn.MINIFS('Player Rounds'!$AC$2:$AC$401,'Player Rounds'!$A$2:$A$401,$A52,'Player Rounds'!$B$2:$B$401,$B52,'Player Rounds'!$C$2:$C$401,$C52))))</f>
      </c>
      <c r="P52" t="e">
        <f>IF($A52="","",IF(COUNTIFS('Player Rounds'!$A$2:$A$401,$A52,'Player Rounds'!$B$2:$B$401,$B52,'Player Rounds'!$J$2:$J$401,"&gt;0")=0,"",SIGN(_xlfn.MINIFS('Player Rounds'!$AD$2:$AD$401,'Player Rounds'!$A$2:$A$401,$A52,'Player Rounds'!$B$2:$B$401,$B52,'Player Rounds'!$C$2:$C$401,$D52)-_xlfn.MINIFS('Player Rounds'!$AD$2:$AD$401,'Player Rounds'!$A$2:$A$401,$A52,'Player Rounds'!$B$2:$B$401,$B52,'Player Rounds'!$C$2:$C$401,$C52))))</f>
      </c>
      <c r="Q52" t="e">
        <f>IF($A52="","",IF(COUNTIFS('Player Rounds'!$A$2:$A$401,$A52,'Player Rounds'!$B$2:$B$401,$B52,'Player Rounds'!$K$2:$K$401,"&gt;0")=0,"",SIGN(_xlfn.MINIFS('Player Rounds'!$AE$2:$AE$401,'Player Rounds'!$A$2:$A$401,$A52,'Player Rounds'!$B$2:$B$401,$B52,'Player Rounds'!$C$2:$C$401,$D52)-_xlfn.MINIFS('Player Rounds'!$AE$2:$AE$401,'Player Rounds'!$A$2:$A$401,$A52,'Player Rounds'!$B$2:$B$401,$B52,'Player Rounds'!$C$2:$C$401,$C52))))</f>
      </c>
      <c r="R52" t="e">
        <f>IF($A52="","",IF(COUNTIFS('Player Rounds'!$A$2:$A$401,$A52,'Player Rounds'!$B$2:$B$401,$B52,'Player Rounds'!$L$2:$L$401,"&gt;0")=0,"",SIGN(_xlfn.MINIFS('Player Rounds'!$AF$2:$AF$401,'Player Rounds'!$A$2:$A$401,$A52,'Player Rounds'!$B$2:$B$401,$B52,'Player Rounds'!$C$2:$C$401,$D52)-_xlfn.MINIFS('Player Rounds'!$AF$2:$AF$401,'Player Rounds'!$A$2:$A$401,$A52,'Player Rounds'!$B$2:$B$401,$B52,'Player Rounds'!$C$2:$C$401,$C52))))</f>
      </c>
      <c r="S52" t="e">
        <f>IF($A52="","",IF(COUNTIFS('Player Rounds'!$A$2:$A$401,$A52,'Player Rounds'!$B$2:$B$401,$B52,'Player Rounds'!$M$2:$M$401,"&gt;0")=0,"",SIGN(_xlfn.MINIFS('Player Rounds'!$AG$2:$AG$401,'Player Rounds'!$A$2:$A$401,$A52,'Player Rounds'!$B$2:$B$401,$B52,'Player Rounds'!$C$2:$C$401,$D52)-_xlfn.MINIFS('Player Rounds'!$AG$2:$AG$401,'Player Rounds'!$A$2:$A$401,$A52,'Player Rounds'!$B$2:$B$401,$B52,'Player Rounds'!$C$2:$C$401,$C52))))</f>
      </c>
      <c r="T52" t="e">
        <f>IF($A52="","",IF(COUNTIFS('Player Rounds'!$A$2:$A$401,$A52,'Player Rounds'!$B$2:$B$401,$B52,'Player Rounds'!$N$2:$N$401,"&gt;0")=0,"",SIGN(_xlfn.MINIFS('Player Rounds'!$AH$2:$AH$401,'Player Rounds'!$A$2:$A$401,$A52,'Player Rounds'!$B$2:$B$401,$B52,'Player Rounds'!$C$2:$C$401,$D52)-_xlfn.MINIFS('Player Rounds'!$AH$2:$AH$401,'Player Rounds'!$A$2:$A$401,$A52,'Player Rounds'!$B$2:$B$401,$B52,'Player Rounds'!$C$2:$C$401,$C52))))</f>
      </c>
      <c r="U52" t="e">
        <f>IF($A52="","",IF(COUNTIFS('Player Rounds'!$A$2:$A$401,$A52,'Player Rounds'!$B$2:$B$401,$B52,'Player Rounds'!$O$2:$O$401,"&gt;0")=0,"",SIGN(_xlfn.MINIFS('Player Rounds'!$AI$2:$AI$401,'Player Rounds'!$A$2:$A$401,$A52,'Player Rounds'!$B$2:$B$401,$B52,'Player Rounds'!$C$2:$C$401,$D52)-_xlfn.MINIFS('Player Rounds'!$AI$2:$AI$401,'Player Rounds'!$A$2:$A$401,$A52,'Player Rounds'!$B$2:$B$401,$B52,'Player Rounds'!$C$2:$C$401,$C52))))</f>
      </c>
      <c r="V52" t="e">
        <f>IF($A52="","",IF(COUNTIFS('Player Rounds'!$A$2:$A$401,$A52,'Player Rounds'!$B$2:$B$401,$B52,'Player Rounds'!$P$2:$P$401,"&gt;0")=0,"",SIGN(_xlfn.MINIFS('Player Rounds'!$AJ$2:$AJ$401,'Player Rounds'!$A$2:$A$401,$A52,'Player Rounds'!$B$2:$B$401,$B52,'Player Rounds'!$C$2:$C$401,$D52)-_xlfn.MINIFS('Player Rounds'!$AJ$2:$AJ$401,'Player Rounds'!$A$2:$A$401,$A52,'Player Rounds'!$B$2:$B$401,$B52,'Player Rounds'!$C$2:$C$401,$C52))))</f>
      </c>
      <c r="W52" t="e">
        <f>IF($A52="","",IF(COUNTIFS('Player Rounds'!$A$2:$A$401,$A52,'Player Rounds'!$B$2:$B$401,$B52,'Player Rounds'!$Q$2:$Q$401,"&gt;0")=0,"",SIGN(_xlfn.MINIFS('Player Rounds'!$AK$2:$AK$401,'Player Rounds'!$A$2:$A$401,$A52,'Player Rounds'!$B$2:$B$401,$B52,'Player Rounds'!$C$2:$C$401,$D52)-_xlfn.MINIFS('Player Rounds'!$AK$2:$AK$401,'Player Rounds'!$A$2:$A$401,$A52,'Player Rounds'!$B$2:$B$401,$B52,'Player Rounds'!$C$2:$C$401,$C52))))</f>
      </c>
      <c r="X52" t="e">
        <f>IF($A52="","",IF(COUNTIFS('Player Rounds'!$A$2:$A$401,$A52,'Player Rounds'!$B$2:$B$401,$B52,'Player Rounds'!$R$2:$R$401,"&gt;0")=0,"",SIGN(_xlfn.MINIFS('Player Rounds'!$AL$2:$AL$401,'Player Rounds'!$A$2:$A$401,$A52,'Player Rounds'!$B$2:$B$401,$B52,'Player Rounds'!$C$2:$C$401,$D52)-_xlfn.MINIFS('Player Rounds'!$AL$2:$AL$401,'Player Rounds'!$A$2:$A$401,$A52,'Player Rounds'!$B$2:$B$401,$B52,'Player Rounds'!$C$2:$C$401,$C52))))</f>
      </c>
      <c r="Y52" t="e">
        <f>IF($A52="","",IF(COUNTIFS('Player Rounds'!$A$2:$A$401,$A52,'Player Rounds'!$B$2:$B$401,$B52,'Player Rounds'!$S$2:$S$401,"&gt;0")=0,"",SIGN(_xlfn.MINIFS('Player Rounds'!$AM$2:$AM$401,'Player Rounds'!$A$2:$A$401,$A52,'Player Rounds'!$B$2:$B$401,$B52,'Player Rounds'!$C$2:$C$401,$D52)-_xlfn.MINIFS('Player Rounds'!$AM$2:$AM$401,'Player Rounds'!$A$2:$A$401,$A52,'Player Rounds'!$B$2:$B$401,$B52,'Player Rounds'!$C$2:$C$401,$C52))))</f>
      </c>
      <c r="Z52" t="e">
        <f>IF($A52="","",IF(COUNTIFS('Player Rounds'!$A$2:$A$401,$A52,'Player Rounds'!$B$2:$B$401,$B52,'Player Rounds'!$T$2:$T$401,"&gt;0")=0,"",SIGN(_xlfn.MINIFS('Player Rounds'!$AN$2:$AN$401,'Player Rounds'!$A$2:$A$401,$A52,'Player Rounds'!$B$2:$B$401,$B52,'Player Rounds'!$C$2:$C$401,$D52)-_xlfn.MINIFS('Player Rounds'!$AN$2:$AN$401,'Player Rounds'!$A$2:$A$401,$A52,'Player Rounds'!$B$2:$B$401,$B52,'Player Rounds'!$C$2:$C$401,$C52))))</f>
      </c>
      <c r="AA52" t="e">
        <f>IF($A52="","",IF(COUNTIFS('Player Rounds'!$A$2:$A$401,$A52,'Player Rounds'!$B$2:$B$401,$B52,'Player Rounds'!$U$2:$U$401,"&gt;0")=0,"",SIGN(_xlfn.MINIFS('Player Rounds'!$AO$2:$AO$401,'Player Rounds'!$A$2:$A$401,$A52,'Player Rounds'!$B$2:$B$401,$B52,'Player Rounds'!$C$2:$C$401,$D52)-_xlfn.MINIFS('Player Rounds'!$AO$2:$AO$401,'Player Rounds'!$A$2:$A$401,$A52,'Player Rounds'!$B$2:$B$401,$B52,'Player Rounds'!$C$2:$C$401,$C52))))</f>
      </c>
      <c r="AB52" t="e">
        <f>IF($A52="","",IF(COUNTIFS('Player Rounds'!$A$2:$A$401,$A52,'Player Rounds'!$B$2:$B$401,$B52,'Player Rounds'!$V$2:$V$401,"&gt;0")=0,"",SIGN(_xlfn.MINIFS('Player Rounds'!$AP$2:$AP$401,'Player Rounds'!$A$2:$A$401,$A52,'Player Rounds'!$B$2:$B$401,$B52,'Player Rounds'!$C$2:$C$401,$D52)-_xlfn.MINIFS('Player Rounds'!$AP$2:$AP$401,'Player Rounds'!$A$2:$A$401,$A52,'Player Rounds'!$B$2:$B$401,$B52,'Player Rounds'!$C$2:$C$401,$C52))))</f>
      </c>
      <c r="AC52" t="e">
        <f>IF($A52="","",IF(COUNTIFS('Player Rounds'!$A$2:$A$401,$A52,'Player Rounds'!$B$2:$B$401,$B52,'Player Rounds'!$W$2:$W$401,"&gt;0")=0,"",SIGN(_xlfn.MINIFS('Player Rounds'!$AQ$2:$AQ$401,'Player Rounds'!$A$2:$A$401,$A52,'Player Rounds'!$B$2:$B$401,$B52,'Player Rounds'!$C$2:$C$401,$D52)-_xlfn.MINIFS('Player Rounds'!$AQ$2:$AQ$401,'Player Rounds'!$A$2:$A$401,$A52,'Player Rounds'!$B$2:$B$401,$B52,'Player Rounds'!$C$2:$C$401,$C52))))</f>
      </c>
      <c r="AD52" t="e">
        <f>IF($A52="","",SUM($L52:L52))</f>
      </c>
      <c r="AE52" t="e">
        <f>IF($A52="","",SUM($L52:M52))</f>
      </c>
      <c r="AF52" t="e">
        <f>IF($A52="","",SUM($L52:N52))</f>
      </c>
      <c r="AG52" t="e">
        <f>IF($A52="","",SUM($L52:O52))</f>
      </c>
      <c r="AH52" t="e">
        <f>IF($A52="","",SUM($L52:P52))</f>
      </c>
      <c r="AI52" t="e">
        <f>IF($A52="","",SUM($L52:Q52))</f>
      </c>
      <c r="AJ52" t="e">
        <f>IF($A52="","",SUM($L52:R52))</f>
      </c>
      <c r="AK52" t="e">
        <f>IF($A52="","",SUM($L52:S52))</f>
      </c>
      <c r="AL52" t="e">
        <f>IF($A52="","",SUM($L52:T52))</f>
      </c>
      <c r="AM52" t="e">
        <f>IF($A52="","",SUM($L52:U52))</f>
      </c>
      <c r="AN52" t="e">
        <f>IF($A52="","",SUM($L52:V52))</f>
      </c>
      <c r="AO52" t="e">
        <f>IF($A52="","",SUM($L52:W52))</f>
      </c>
      <c r="AP52" t="e">
        <f>IF($A52="","",SUM($L52:X52))</f>
      </c>
      <c r="AQ52" t="e">
        <f>IF($A52="","",SUM($L52:Y52))</f>
      </c>
      <c r="AR52" t="e">
        <f>IF($A52="","",SUM($L52:Z52))</f>
      </c>
      <c r="AS52" t="e">
        <f>IF($A52="","",SUM($L52:AA52))</f>
      </c>
      <c r="AT52" t="e">
        <f>IF($A52="","",SUM($L52:AB52))</f>
      </c>
      <c r="AU52" t="e">
        <f>IF($A52="","",SUM($L52:AC52))</f>
      </c>
      <c r="AV52" t="e">
        <f>IF(OR($A52="",L52=""),"",IF(ABS(AD52)&gt;17,1,""))</f>
      </c>
      <c r="AW52" t="e">
        <f>IF(OR($A52="",M52=""),"",IF(ABS(AE52)&gt;16,2,""))</f>
      </c>
      <c r="AX52" t="e">
        <f>IF(OR($A52="",N52=""),"",IF(ABS(AF52)&gt;15,3,""))</f>
      </c>
      <c r="AY52" t="e">
        <f>IF(OR($A52="",O52=""),"",IF(ABS(AG52)&gt;14,4,""))</f>
      </c>
      <c r="AZ52" t="e">
        <f>IF(OR($A52="",P52=""),"",IF(ABS(AH52)&gt;13,5,""))</f>
      </c>
      <c r="BA52" t="e">
        <f>IF(OR($A52="",Q52=""),"",IF(ABS(AI52)&gt;12,6,""))</f>
      </c>
      <c r="BB52" t="e">
        <f>IF(OR($A52="",R52=""),"",IF(ABS(AJ52)&gt;11,7,""))</f>
      </c>
      <c r="BC52" t="e">
        <f>IF(OR($A52="",S52=""),"",IF(ABS(AK52)&gt;10,8,""))</f>
      </c>
      <c r="BD52" t="e">
        <f>IF(OR($A52="",T52=""),"",IF(ABS(AL52)&gt;9,9,""))</f>
      </c>
      <c r="BE52" t="e">
        <f>IF(OR($A52="",U52=""),"",IF(ABS(AM52)&gt;8,10,""))</f>
      </c>
      <c r="BF52" t="e">
        <f>IF(OR($A52="",V52=""),"",IF(ABS(AN52)&gt;7,11,""))</f>
      </c>
      <c r="BG52" t="e">
        <f>IF(OR($A52="",W52=""),"",IF(ABS(AO52)&gt;6,12,""))</f>
      </c>
      <c r="BH52" t="e">
        <f>IF(OR($A52="",X52=""),"",IF(ABS(AP52)&gt;5,13,""))</f>
      </c>
      <c r="BI52" t="e">
        <f>IF(OR($A52="",Y52=""),"",IF(ABS(AQ52)&gt;4,14,""))</f>
      </c>
      <c r="BJ52" t="e">
        <f>IF(OR($A52="",Z52=""),"",IF(ABS(AR52)&gt;3,15,""))</f>
      </c>
      <c r="BK52" t="e">
        <f>IF(OR($A52="",AA52=""),"",IF(ABS(AS52)&gt;2,16,""))</f>
      </c>
      <c r="BL52" t="e">
        <f>IF(OR($A52="",AB52=""),"",IF(ABS(AT52)&gt;1,17,""))</f>
      </c>
      <c r="BM52" t="e">
        <f>IF(OR($A52="",AC52=""),"",IF(ABS(AU52)&gt;0,18,""))</f>
      </c>
    </row>
    <row r="53">
      <c r="C53" t="str">
        <f>IF($A53="","",INDEX('Tournament Setup'!$J:$J,MATCH($A53,'Tournament Setup'!$A:$A,0)))</f>
        <v/>
      </c>
      <c r="D53" t="str">
        <f>IF($A53="","",INDEX('Tournament Setup'!$K:$K,MATCH($A53,'Tournament Setup'!$A:$A,0)))</f>
        <v/>
      </c>
      <c r="E53" t="str">
        <f>IF($A53="","",IF(COUNT(L53:AC53)=0,"Not played",IF(AND($K53&gt;0,$K53&lt;18),IF(INDEX(AD53:AU53,1,$K53)&gt;0,$C53,$D53)&amp;" "&amp;ABS(INDEX(AD53:AU53,1,$K53))&amp;"&amp;"&amp;(18-$K53),IF($J53=0,"Halved (AS)",IF($J53&gt;0,$C53,$D53)&amp;" "&amp;ABS($J53)&amp;" UP"))))</f>
        <v/>
      </c>
      <c r="F53" t="e">
        <f>IF(OR($A53="",COUNT(L53:AC53)=0),"",INDEX('Tournament Setup'!$I:$I,MATCH($A53,'Tournament Setup'!$A:$A,0))*IF(INDEX('Tournament Setup'!$H:$H,MATCH($A53,'Tournament Setup'!$A:$A,0))="Yes",IF($H53&gt;0,1,IF($H53=0,0.5,0))+IF($I53&gt;0,1,IF($I53=0,0.5,0))+IF($J53&gt;0,1,IF($J53=0,0.5,0)),IF(IF(AND($K53&gt;0,$K53&lt;18),INDEX(AD53:AU53,1,$K53),$J53)&gt;0,1,IF(IF(AND($K53&gt;0,$K53&lt;18),INDEX(AD53:AU53,1,$K53),$J53)=0,0.5,0))))</f>
      </c>
      <c r="G53" t="e">
        <f>IF(OR($A53="",COUNT(L53:AC53)=0),"",INDEX('Tournament Setup'!$I:$I,MATCH($A53,'Tournament Setup'!$A:$A,0))*IF(INDEX('Tournament Setup'!$H:$H,MATCH($A53,'Tournament Setup'!$A:$A,0))="Yes",IF($H53&lt;0,1,IF($H53=0,0.5,0))+IF($I53&lt;0,1,IF($I53=0,0.5,0))+IF($J53&lt;0,1,IF($J53=0,0.5,0)),IF(IF(AND($K53&gt;0,$K53&lt;18),INDEX(AD53:AU53,1,$K53),$J53)&lt;0,1,IF(IF(AND($K53&gt;0,$K53&lt;18),INDEX(AD53:AU53,1,$K53),$J53)=0,0.5,0))))</f>
      </c>
      <c r="H53" t="e">
        <f>IF($A53="","",SUM(L53:T53))</f>
      </c>
      <c r="I53" t="e">
        <f>IF($A53="","",SUM(U53:AC53))</f>
      </c>
      <c r="J53" t="e">
        <f>IF($A53="","",SUM(L53:AC53))</f>
      </c>
      <c r="K53" t="e">
        <f>IF($A53="","",MIN(AV53:BM53))</f>
      </c>
      <c r="L53" t="e">
        <f>IF($A53="","",IF(COUNTIFS('Player Rounds'!$A$2:$A$401,$A53,'Player Rounds'!$B$2:$B$401,$B53,'Player Rounds'!$F$2:$F$401,"&gt;0")=0,"",SIGN(_xlfn.MINIFS('Player Rounds'!$Z$2:$Z$401,'Player Rounds'!$A$2:$A$401,$A53,'Player Rounds'!$B$2:$B$401,$B53,'Player Rounds'!$C$2:$C$401,$D53)-_xlfn.MINIFS('Player Rounds'!$Z$2:$Z$401,'Player Rounds'!$A$2:$A$401,$A53,'Player Rounds'!$B$2:$B$401,$B53,'Player Rounds'!$C$2:$C$401,$C53))))</f>
      </c>
      <c r="M53" t="e">
        <f>IF($A53="","",IF(COUNTIFS('Player Rounds'!$A$2:$A$401,$A53,'Player Rounds'!$B$2:$B$401,$B53,'Player Rounds'!$G$2:$G$401,"&gt;0")=0,"",SIGN(_xlfn.MINIFS('Player Rounds'!$AA$2:$AA$401,'Player Rounds'!$A$2:$A$401,$A53,'Player Rounds'!$B$2:$B$401,$B53,'Player Rounds'!$C$2:$C$401,$D53)-_xlfn.MINIFS('Player Rounds'!$AA$2:$AA$401,'Player Rounds'!$A$2:$A$401,$A53,'Player Rounds'!$B$2:$B$401,$B53,'Player Rounds'!$C$2:$C$401,$C53))))</f>
      </c>
      <c r="N53" t="e">
        <f>IF($A53="","",IF(COUNTIFS('Player Rounds'!$A$2:$A$401,$A53,'Player Rounds'!$B$2:$B$401,$B53,'Player Rounds'!$H$2:$H$401,"&gt;0")=0,"",SIGN(_xlfn.MINIFS('Player Rounds'!$AB$2:$AB$401,'Player Rounds'!$A$2:$A$401,$A53,'Player Rounds'!$B$2:$B$401,$B53,'Player Rounds'!$C$2:$C$401,$D53)-_xlfn.MINIFS('Player Rounds'!$AB$2:$AB$401,'Player Rounds'!$A$2:$A$401,$A53,'Player Rounds'!$B$2:$B$401,$B53,'Player Rounds'!$C$2:$C$401,$C53))))</f>
      </c>
      <c r="O53" t="e">
        <f>IF($A53="","",IF(COUNTIFS('Player Rounds'!$A$2:$A$401,$A53,'Player Rounds'!$B$2:$B$401,$B53,'Player Rounds'!$I$2:$I$401,"&gt;0")=0,"",SIGN(_xlfn.MINIFS('Player Rounds'!$AC$2:$AC$401,'Player Rounds'!$A$2:$A$401,$A53,'Player Rounds'!$B$2:$B$401,$B53,'Player Rounds'!$C$2:$C$401,$D53)-_xlfn.MINIFS('Player Rounds'!$AC$2:$AC$401,'Player Rounds'!$A$2:$A$401,$A53,'Player Rounds'!$B$2:$B$401,$B53,'Player Rounds'!$C$2:$C$401,$C53))))</f>
      </c>
      <c r="P53" t="e">
        <f>IF($A53="","",IF(COUNTIFS('Player Rounds'!$A$2:$A$401,$A53,'Player Rounds'!$B$2:$B$401,$B53,'Player Rounds'!$J$2:$J$401,"&gt;0")=0,"",SIGN(_xlfn.MINIFS('Player Rounds'!$AD$2:$AD$401,'Player Rounds'!$A$2:$A$401,$A53,'Player Rounds'!$B$2:$B$401,$B53,'Player Rounds'!$C$2:$C$401,$D53)-_xlfn.MINIFS('Player Rounds'!$AD$2:$AD$401,'Player Rounds'!$A$2:$A$401,$A53,'Player Rounds'!$B$2:$B$401,$B53,'Player Rounds'!$C$2:$C$401,$C53))))</f>
      </c>
      <c r="Q53" t="e">
        <f>IF($A53="","",IF(COUNTIFS('Player Rounds'!$A$2:$A$401,$A53,'Player Rounds'!$B$2:$B$401,$B53,'Player Rounds'!$K$2:$K$401,"&gt;0")=0,"",SIGN(_xlfn.MINIFS('Player Rounds'!$AE$2:$AE$401,'Player Rounds'!$A$2:$A$401,$A53,'Player Rounds'!$B$2:$B$401,$B53,'Player Rounds'!$C$2:$C$401,$D53)-_xlfn.MINIFS('Player Rounds'!$AE$2:$AE$401,'Player Rounds'!$A$2:$A$401,$A53,'Player Rounds'!$B$2:$B$401,$B53,'Player Rounds'!$C$2:$C$401,$C53))))</f>
      </c>
      <c r="R53" t="e">
        <f>IF($A53="","",IF(COUNTIFS('Player Rounds'!$A$2:$A$401,$A53,'Player Rounds'!$B$2:$B$401,$B53,'Player Rounds'!$L$2:$L$401,"&gt;0")=0,"",SIGN(_xlfn.MINIFS('Player Rounds'!$AF$2:$AF$401,'Player Rounds'!$A$2:$A$401,$A53,'Player Rounds'!$B$2:$B$401,$B53,'Player Rounds'!$C$2:$C$401,$D53)-_xlfn.MINIFS('Player Rounds'!$AF$2:$AF$401,'Player Rounds'!$A$2:$A$401,$A53,'Player Rounds'!$B$2:$B$401,$B53,'Player Rounds'!$C$2:$C$401,$C53))))</f>
      </c>
      <c r="S53" t="e">
        <f>IF($A53="","",IF(COUNTIFS('Player Rounds'!$A$2:$A$401,$A53,'Player Rounds'!$B$2:$B$401,$B53,'Player Rounds'!$M$2:$M$401,"&gt;0")=0,"",SIGN(_xlfn.MINIFS('Player Rounds'!$AG$2:$AG$401,'Player Rounds'!$A$2:$A$401,$A53,'Player Rounds'!$B$2:$B$401,$B53,'Player Rounds'!$C$2:$C$401,$D53)-_xlfn.MINIFS('Player Rounds'!$AG$2:$AG$401,'Player Rounds'!$A$2:$A$401,$A53,'Player Rounds'!$B$2:$B$401,$B53,'Player Rounds'!$C$2:$C$401,$C53))))</f>
      </c>
      <c r="T53" t="e">
        <f>IF($A53="","",IF(COUNTIFS('Player Rounds'!$A$2:$A$401,$A53,'Player Rounds'!$B$2:$B$401,$B53,'Player Rounds'!$N$2:$N$401,"&gt;0")=0,"",SIGN(_xlfn.MINIFS('Player Rounds'!$AH$2:$AH$401,'Player Rounds'!$A$2:$A$401,$A53,'Player Rounds'!$B$2:$B$401,$B53,'Player Rounds'!$C$2:$C$401,$D53)-_xlfn.MINIFS('Player Rounds'!$AH$2:$AH$401,'Player Rounds'!$A$2:$A$401,$A53,'Player Rounds'!$B$2:$B$401,$B53,'Player Rounds'!$C$2:$C$401,$C53))))</f>
      </c>
      <c r="U53" t="e">
        <f>IF($A53="","",IF(COUNTIFS('Player Rounds'!$A$2:$A$401,$A53,'Player Rounds'!$B$2:$B$401,$B53,'Player Rounds'!$O$2:$O$401,"&gt;0")=0,"",SIGN(_xlfn.MINIFS('Player Rounds'!$AI$2:$AI$401,'Player Rounds'!$A$2:$A$401,$A53,'Player Rounds'!$B$2:$B$401,$B53,'Player Rounds'!$C$2:$C$401,$D53)-_xlfn.MINIFS('Player Rounds'!$AI$2:$AI$401,'Player Rounds'!$A$2:$A$401,$A53,'Player Rounds'!$B$2:$B$401,$B53,'Player Rounds'!$C$2:$C$401,$C53))))</f>
      </c>
      <c r="V53" t="e">
        <f>IF($A53="","",IF(COUNTIFS('Player Rounds'!$A$2:$A$401,$A53,'Player Rounds'!$B$2:$B$401,$B53,'Player Rounds'!$P$2:$P$401,"&gt;0")=0,"",SIGN(_xlfn.MINIFS('Player Rounds'!$AJ$2:$AJ$401,'Player Rounds'!$A$2:$A$401,$A53,'Player Rounds'!$B$2:$B$401,$B53,'Player Rounds'!$C$2:$C$401,$D53)-_xlfn.MINIFS('Player Rounds'!$AJ$2:$AJ$401,'Player Rounds'!$A$2:$A$401,$A53,'Player Rounds'!$B$2:$B$401,$B53,'Player Rounds'!$C$2:$C$401,$C53))))</f>
      </c>
      <c r="W53" t="e">
        <f>IF($A53="","",IF(COUNTIFS('Player Rounds'!$A$2:$A$401,$A53,'Player Rounds'!$B$2:$B$401,$B53,'Player Rounds'!$Q$2:$Q$401,"&gt;0")=0,"",SIGN(_xlfn.MINIFS('Player Rounds'!$AK$2:$AK$401,'Player Rounds'!$A$2:$A$401,$A53,'Player Rounds'!$B$2:$B$401,$B53,'Player Rounds'!$C$2:$C$401,$D53)-_xlfn.MINIFS('Player Rounds'!$AK$2:$AK$401,'Player Rounds'!$A$2:$A$401,$A53,'Player Rounds'!$B$2:$B$401,$B53,'Player Rounds'!$C$2:$C$401,$C53))))</f>
      </c>
      <c r="X53" t="e">
        <f>IF($A53="","",IF(COUNTIFS('Player Rounds'!$A$2:$A$401,$A53,'Player Rounds'!$B$2:$B$401,$B53,'Player Rounds'!$R$2:$R$401,"&gt;0")=0,"",SIGN(_xlfn.MINIFS('Player Rounds'!$AL$2:$AL$401,'Player Rounds'!$A$2:$A$401,$A53,'Player Rounds'!$B$2:$B$401,$B53,'Player Rounds'!$C$2:$C$401,$D53)-_xlfn.MINIFS('Player Rounds'!$AL$2:$AL$401,'Player Rounds'!$A$2:$A$401,$A53,'Player Rounds'!$B$2:$B$401,$B53,'Player Rounds'!$C$2:$C$401,$C53))))</f>
      </c>
      <c r="Y53" t="e">
        <f>IF($A53="","",IF(COUNTIFS('Player Rounds'!$A$2:$A$401,$A53,'Player Rounds'!$B$2:$B$401,$B53,'Player Rounds'!$S$2:$S$401,"&gt;0")=0,"",SIGN(_xlfn.MINIFS('Player Rounds'!$AM$2:$AM$401,'Player Rounds'!$A$2:$A$401,$A53,'Player Rounds'!$B$2:$B$401,$B53,'Player Rounds'!$C$2:$C$401,$D53)-_xlfn.MINIFS('Player Rounds'!$AM$2:$AM$401,'Player Rounds'!$A$2:$A$401,$A53,'Player Rounds'!$B$2:$B$401,$B53,'Player Rounds'!$C$2:$C$401,$C53))))</f>
      </c>
      <c r="Z53" t="e">
        <f>IF($A53="","",IF(COUNTIFS('Player Rounds'!$A$2:$A$401,$A53,'Player Rounds'!$B$2:$B$401,$B53,'Player Rounds'!$T$2:$T$401,"&gt;0")=0,"",SIGN(_xlfn.MINIFS('Player Rounds'!$AN$2:$AN$401,'Player Rounds'!$A$2:$A$401,$A53,'Player Rounds'!$B$2:$B$401,$B53,'Player Rounds'!$C$2:$C$401,$D53)-_xlfn.MINIFS('Player Rounds'!$AN$2:$AN$401,'Player Rounds'!$A$2:$A$401,$A53,'Player Rounds'!$B$2:$B$401,$B53,'Player Rounds'!$C$2:$C$401,$C53))))</f>
      </c>
      <c r="AA53" t="e">
        <f>IF($A53="","",IF(COUNTIFS('Player Rounds'!$A$2:$A$401,$A53,'Player Rounds'!$B$2:$B$401,$B53,'Player Rounds'!$U$2:$U$401,"&gt;0")=0,"",SIGN(_xlfn.MINIFS('Player Rounds'!$AO$2:$AO$401,'Player Rounds'!$A$2:$A$401,$A53,'Player Rounds'!$B$2:$B$401,$B53,'Player Rounds'!$C$2:$C$401,$D53)-_xlfn.MINIFS('Player Rounds'!$AO$2:$AO$401,'Player Rounds'!$A$2:$A$401,$A53,'Player Rounds'!$B$2:$B$401,$B53,'Player Rounds'!$C$2:$C$401,$C53))))</f>
      </c>
      <c r="AB53" t="e">
        <f>IF($A53="","",IF(COUNTIFS('Player Rounds'!$A$2:$A$401,$A53,'Player Rounds'!$B$2:$B$401,$B53,'Player Rounds'!$V$2:$V$401,"&gt;0")=0,"",SIGN(_xlfn.MINIFS('Player Rounds'!$AP$2:$AP$401,'Player Rounds'!$A$2:$A$401,$A53,'Player Rounds'!$B$2:$B$401,$B53,'Player Rounds'!$C$2:$C$401,$D53)-_xlfn.MINIFS('Player Rounds'!$AP$2:$AP$401,'Player Rounds'!$A$2:$A$401,$A53,'Player Rounds'!$B$2:$B$401,$B53,'Player Rounds'!$C$2:$C$401,$C53))))</f>
      </c>
      <c r="AC53" t="e">
        <f>IF($A53="","",IF(COUNTIFS('Player Rounds'!$A$2:$A$401,$A53,'Player Rounds'!$B$2:$B$401,$B53,'Player Rounds'!$W$2:$W$401,"&gt;0")=0,"",SIGN(_xlfn.MINIFS('Player Rounds'!$AQ$2:$AQ$401,'Player Rounds'!$A$2:$A$401,$A53,'Player Rounds'!$B$2:$B$401,$B53,'Player Rounds'!$C$2:$C$401,$D53)-_xlfn.MINIFS('Player Rounds'!$AQ$2:$AQ$401,'Player Rounds'!$A$2:$A$401,$A53,'Player Rounds'!$B$2:$B$401,$B53,'Player Rounds'!$C$2:$C$401,$C53))))</f>
      </c>
      <c r="AD53" t="e">
        <f>IF($A53="","",SUM($L53:L53))</f>
      </c>
      <c r="AE53" t="e">
        <f>IF($A53="","",SUM($L53:M53))</f>
      </c>
      <c r="AF53" t="e">
        <f>IF($A53="","",SUM($L53:N53))</f>
      </c>
      <c r="AG53" t="e">
        <f>IF($A53="","",SUM($L53:O53))</f>
      </c>
      <c r="AH53" t="e">
        <f>IF($A53="","",SUM($L53:P53))</f>
      </c>
      <c r="AI53" t="e">
        <f>IF($A53="","",SUM($L53:Q53))</f>
      </c>
      <c r="AJ53" t="e">
        <f>IF($A53="","",SUM($L53:R53))</f>
      </c>
      <c r="AK53" t="e">
        <f>IF($A53="","",SUM($L53:S53))</f>
      </c>
      <c r="AL53" t="e">
        <f>IF($A53="","",SUM($L53:T53))</f>
      </c>
      <c r="AM53" t="e">
        <f>IF($A53="","",SUM($L53:U53))</f>
      </c>
      <c r="AN53" t="e">
        <f>IF($A53="","",SUM($L53:V53))</f>
      </c>
      <c r="AO53" t="e">
        <f>IF($A53="","",SUM($L53:W53))</f>
      </c>
      <c r="AP53" t="e">
        <f>IF($A53="","",SUM($L53:X53))</f>
      </c>
      <c r="AQ53" t="e">
        <f>IF($A53="","",SUM($L53:Y53))</f>
      </c>
      <c r="AR53" t="e">
        <f>IF($A53="","",SUM($L53:Z53))</f>
      </c>
      <c r="AS53" t="e">
        <f>IF($A53="","",SUM($L53:AA53))</f>
      </c>
      <c r="AT53" t="e">
        <f>IF($A53="","",SUM($L53:AB53))</f>
      </c>
      <c r="AU53" t="e">
        <f>IF($A53="","",SUM($L53:AC53))</f>
      </c>
      <c r="AV53" t="e">
        <f>IF(OR($A53="",L53=""),"",IF(ABS(AD53)&gt;17,1,""))</f>
      </c>
      <c r="AW53" t="e">
        <f>IF(OR($A53="",M53=""),"",IF(ABS(AE53)&gt;16,2,""))</f>
      </c>
      <c r="AX53" t="e">
        <f>IF(OR($A53="",N53=""),"",IF(ABS(AF53)&gt;15,3,""))</f>
      </c>
      <c r="AY53" t="e">
        <f>IF(OR($A53="",O53=""),"",IF(ABS(AG53)&gt;14,4,""))</f>
      </c>
      <c r="AZ53" t="e">
        <f>IF(OR($A53="",P53=""),"",IF(ABS(AH53)&gt;13,5,""))</f>
      </c>
      <c r="BA53" t="e">
        <f>IF(OR($A53="",Q53=""),"",IF(ABS(AI53)&gt;12,6,""))</f>
      </c>
      <c r="BB53" t="e">
        <f>IF(OR($A53="",R53=""),"",IF(ABS(AJ53)&gt;11,7,""))</f>
      </c>
      <c r="BC53" t="e">
        <f>IF(OR($A53="",S53=""),"",IF(ABS(AK53)&gt;10,8,""))</f>
      </c>
      <c r="BD53" t="e">
        <f>IF(OR($A53="",T53=""),"",IF(ABS(AL53)&gt;9,9,""))</f>
      </c>
      <c r="BE53" t="e">
        <f>IF(OR($A53="",U53=""),"",IF(ABS(AM53)&gt;8,10,""))</f>
      </c>
      <c r="BF53" t="e">
        <f>IF(OR($A53="",V53=""),"",IF(ABS(AN53)&gt;7,11,""))</f>
      </c>
      <c r="BG53" t="e">
        <f>IF(OR($A53="",W53=""),"",IF(ABS(AO53)&gt;6,12,""))</f>
      </c>
      <c r="BH53" t="e">
        <f>IF(OR($A53="",X53=""),"",IF(ABS(AP53)&gt;5,13,""))</f>
      </c>
      <c r="BI53" t="e">
        <f>IF(OR($A53="",Y53=""),"",IF(ABS(AQ53)&gt;4,14,""))</f>
      </c>
      <c r="BJ53" t="e">
        <f>IF(OR($A53="",Z53=""),"",IF(ABS(AR53)&gt;3,15,""))</f>
      </c>
      <c r="BK53" t="e">
        <f>IF(OR($A53="",AA53=""),"",IF(ABS(AS53)&gt;2,16,""))</f>
      </c>
      <c r="BL53" t="e">
        <f>IF(OR($A53="",AB53=""),"",IF(ABS(AT53)&gt;1,17,""))</f>
      </c>
      <c r="BM53" t="e">
        <f>IF(OR($A53="",AC53=""),"",IF(ABS(AU53)&gt;0,18,""))</f>
      </c>
    </row>
    <row r="54">
      <c r="C54" t="str">
        <f>IF($A54="","",INDEX('Tournament Setup'!$J:$J,MATCH($A54,'Tournament Setup'!$A:$A,0)))</f>
        <v/>
      </c>
      <c r="D54" t="str">
        <f>IF($A54="","",INDEX('Tournament Setup'!$K:$K,MATCH($A54,'Tournament Setup'!$A:$A,0)))</f>
        <v/>
      </c>
      <c r="E54" t="str">
        <f>IF($A54="","",IF(COUNT(L54:AC54)=0,"Not played",IF(AND($K54&gt;0,$K54&lt;18),IF(INDEX(AD54:AU54,1,$K54)&gt;0,$C54,$D54)&amp;" "&amp;ABS(INDEX(AD54:AU54,1,$K54))&amp;"&amp;"&amp;(18-$K54),IF($J54=0,"Halved (AS)",IF($J54&gt;0,$C54,$D54)&amp;" "&amp;ABS($J54)&amp;" UP"))))</f>
        <v/>
      </c>
      <c r="F54" t="e">
        <f>IF(OR($A54="",COUNT(L54:AC54)=0),"",INDEX('Tournament Setup'!$I:$I,MATCH($A54,'Tournament Setup'!$A:$A,0))*IF(INDEX('Tournament Setup'!$H:$H,MATCH($A54,'Tournament Setup'!$A:$A,0))="Yes",IF($H54&gt;0,1,IF($H54=0,0.5,0))+IF($I54&gt;0,1,IF($I54=0,0.5,0))+IF($J54&gt;0,1,IF($J54=0,0.5,0)),IF(IF(AND($K54&gt;0,$K54&lt;18),INDEX(AD54:AU54,1,$K54),$J54)&gt;0,1,IF(IF(AND($K54&gt;0,$K54&lt;18),INDEX(AD54:AU54,1,$K54),$J54)=0,0.5,0))))</f>
      </c>
      <c r="G54" t="e">
        <f>IF(OR($A54="",COUNT(L54:AC54)=0),"",INDEX('Tournament Setup'!$I:$I,MATCH($A54,'Tournament Setup'!$A:$A,0))*IF(INDEX('Tournament Setup'!$H:$H,MATCH($A54,'Tournament Setup'!$A:$A,0))="Yes",IF($H54&lt;0,1,IF($H54=0,0.5,0))+IF($I54&lt;0,1,IF($I54=0,0.5,0))+IF($J54&lt;0,1,IF($J54=0,0.5,0)),IF(IF(AND($K54&gt;0,$K54&lt;18),INDEX(AD54:AU54,1,$K54),$J54)&lt;0,1,IF(IF(AND($K54&gt;0,$K54&lt;18),INDEX(AD54:AU54,1,$K54),$J54)=0,0.5,0))))</f>
      </c>
      <c r="H54" t="e">
        <f>IF($A54="","",SUM(L54:T54))</f>
      </c>
      <c r="I54" t="e">
        <f>IF($A54="","",SUM(U54:AC54))</f>
      </c>
      <c r="J54" t="e">
        <f>IF($A54="","",SUM(L54:AC54))</f>
      </c>
      <c r="K54" t="e">
        <f>IF($A54="","",MIN(AV54:BM54))</f>
      </c>
      <c r="L54" t="e">
        <f>IF($A54="","",IF(COUNTIFS('Player Rounds'!$A$2:$A$401,$A54,'Player Rounds'!$B$2:$B$401,$B54,'Player Rounds'!$F$2:$F$401,"&gt;0")=0,"",SIGN(_xlfn.MINIFS('Player Rounds'!$Z$2:$Z$401,'Player Rounds'!$A$2:$A$401,$A54,'Player Rounds'!$B$2:$B$401,$B54,'Player Rounds'!$C$2:$C$401,$D54)-_xlfn.MINIFS('Player Rounds'!$Z$2:$Z$401,'Player Rounds'!$A$2:$A$401,$A54,'Player Rounds'!$B$2:$B$401,$B54,'Player Rounds'!$C$2:$C$401,$C54))))</f>
      </c>
      <c r="M54" t="e">
        <f>IF($A54="","",IF(COUNTIFS('Player Rounds'!$A$2:$A$401,$A54,'Player Rounds'!$B$2:$B$401,$B54,'Player Rounds'!$G$2:$G$401,"&gt;0")=0,"",SIGN(_xlfn.MINIFS('Player Rounds'!$AA$2:$AA$401,'Player Rounds'!$A$2:$A$401,$A54,'Player Rounds'!$B$2:$B$401,$B54,'Player Rounds'!$C$2:$C$401,$D54)-_xlfn.MINIFS('Player Rounds'!$AA$2:$AA$401,'Player Rounds'!$A$2:$A$401,$A54,'Player Rounds'!$B$2:$B$401,$B54,'Player Rounds'!$C$2:$C$401,$C54))))</f>
      </c>
      <c r="N54" t="e">
        <f>IF($A54="","",IF(COUNTIFS('Player Rounds'!$A$2:$A$401,$A54,'Player Rounds'!$B$2:$B$401,$B54,'Player Rounds'!$H$2:$H$401,"&gt;0")=0,"",SIGN(_xlfn.MINIFS('Player Rounds'!$AB$2:$AB$401,'Player Rounds'!$A$2:$A$401,$A54,'Player Rounds'!$B$2:$B$401,$B54,'Player Rounds'!$C$2:$C$401,$D54)-_xlfn.MINIFS('Player Rounds'!$AB$2:$AB$401,'Player Rounds'!$A$2:$A$401,$A54,'Player Rounds'!$B$2:$B$401,$B54,'Player Rounds'!$C$2:$C$401,$C54))))</f>
      </c>
      <c r="O54" t="e">
        <f>IF($A54="","",IF(COUNTIFS('Player Rounds'!$A$2:$A$401,$A54,'Player Rounds'!$B$2:$B$401,$B54,'Player Rounds'!$I$2:$I$401,"&gt;0")=0,"",SIGN(_xlfn.MINIFS('Player Rounds'!$AC$2:$AC$401,'Player Rounds'!$A$2:$A$401,$A54,'Player Rounds'!$B$2:$B$401,$B54,'Player Rounds'!$C$2:$C$401,$D54)-_xlfn.MINIFS('Player Rounds'!$AC$2:$AC$401,'Player Rounds'!$A$2:$A$401,$A54,'Player Rounds'!$B$2:$B$401,$B54,'Player Rounds'!$C$2:$C$401,$C54))))</f>
      </c>
      <c r="P54" t="e">
        <f>IF($A54="","",IF(COUNTIFS('Player Rounds'!$A$2:$A$401,$A54,'Player Rounds'!$B$2:$B$401,$B54,'Player Rounds'!$J$2:$J$401,"&gt;0")=0,"",SIGN(_xlfn.MINIFS('Player Rounds'!$AD$2:$AD$401,'Player Rounds'!$A$2:$A$401,$A54,'Player Rounds'!$B$2:$B$401,$B54,'Player Rounds'!$C$2:$C$401,$D54)-_xlfn.MINIFS('Player Rounds'!$AD$2:$AD$401,'Player Rounds'!$A$2:$A$401,$A54,'Player Rounds'!$B$2:$B$401,$B54,'Player Rounds'!$C$2:$C$401,$C54))))</f>
      </c>
      <c r="Q54" t="e">
        <f>IF($A54="","",IF(COUNTIFS('Player Rounds'!$A$2:$A$401,$A54,'Player Rounds'!$B$2:$B$401,$B54,'Player Rounds'!$K$2:$K$401,"&gt;0")=0,"",SIGN(_xlfn.MINIFS('Player Rounds'!$AE$2:$AE$401,'Player Rounds'!$A$2:$A$401,$A54,'Player Rounds'!$B$2:$B$401,$B54,'Player Rounds'!$C$2:$C$401,$D54)-_xlfn.MINIFS('Player Rounds'!$AE$2:$AE$401,'Player Rounds'!$A$2:$A$401,$A54,'Player Rounds'!$B$2:$B$401,$B54,'Player Rounds'!$C$2:$C$401,$C54))))</f>
      </c>
      <c r="R54" t="e">
        <f>IF($A54="","",IF(COUNTIFS('Player Rounds'!$A$2:$A$401,$A54,'Player Rounds'!$B$2:$B$401,$B54,'Player Rounds'!$L$2:$L$401,"&gt;0")=0,"",SIGN(_xlfn.MINIFS('Player Rounds'!$AF$2:$AF$401,'Player Rounds'!$A$2:$A$401,$A54,'Player Rounds'!$B$2:$B$401,$B54,'Player Rounds'!$C$2:$C$401,$D54)-_xlfn.MINIFS('Player Rounds'!$AF$2:$AF$401,'Player Rounds'!$A$2:$A$401,$A54,'Player Rounds'!$B$2:$B$401,$B54,'Player Rounds'!$C$2:$C$401,$C54))))</f>
      </c>
      <c r="S54" t="e">
        <f>IF($A54="","",IF(COUNTIFS('Player Rounds'!$A$2:$A$401,$A54,'Player Rounds'!$B$2:$B$401,$B54,'Player Rounds'!$M$2:$M$401,"&gt;0")=0,"",SIGN(_xlfn.MINIFS('Player Rounds'!$AG$2:$AG$401,'Player Rounds'!$A$2:$A$401,$A54,'Player Rounds'!$B$2:$B$401,$B54,'Player Rounds'!$C$2:$C$401,$D54)-_xlfn.MINIFS('Player Rounds'!$AG$2:$AG$401,'Player Rounds'!$A$2:$A$401,$A54,'Player Rounds'!$B$2:$B$401,$B54,'Player Rounds'!$C$2:$C$401,$C54))))</f>
      </c>
      <c r="T54" t="e">
        <f>IF($A54="","",IF(COUNTIFS('Player Rounds'!$A$2:$A$401,$A54,'Player Rounds'!$B$2:$B$401,$B54,'Player Rounds'!$N$2:$N$401,"&gt;0")=0,"",SIGN(_xlfn.MINIFS('Player Rounds'!$AH$2:$AH$401,'Player Rounds'!$A$2:$A$401,$A54,'Player Rounds'!$B$2:$B$401,$B54,'Player Rounds'!$C$2:$C$401,$D54)-_xlfn.MINIFS('Player Rounds'!$AH$2:$AH$401,'Player Rounds'!$A$2:$A$401,$A54,'Player Rounds'!$B$2:$B$401,$B54,'Player Rounds'!$C$2:$C$401,$C54))))</f>
      </c>
      <c r="U54" t="e">
        <f>IF($A54="","",IF(COUNTIFS('Player Rounds'!$A$2:$A$401,$A54,'Player Rounds'!$B$2:$B$401,$B54,'Player Rounds'!$O$2:$O$401,"&gt;0")=0,"",SIGN(_xlfn.MINIFS('Player Rounds'!$AI$2:$AI$401,'Player Rounds'!$A$2:$A$401,$A54,'Player Rounds'!$B$2:$B$401,$B54,'Player Rounds'!$C$2:$C$401,$D54)-_xlfn.MINIFS('Player Rounds'!$AI$2:$AI$401,'Player Rounds'!$A$2:$A$401,$A54,'Player Rounds'!$B$2:$B$401,$B54,'Player Rounds'!$C$2:$C$401,$C54))))</f>
      </c>
      <c r="V54" t="e">
        <f>IF($A54="","",IF(COUNTIFS('Player Rounds'!$A$2:$A$401,$A54,'Player Rounds'!$B$2:$B$401,$B54,'Player Rounds'!$P$2:$P$401,"&gt;0")=0,"",SIGN(_xlfn.MINIFS('Player Rounds'!$AJ$2:$AJ$401,'Player Rounds'!$A$2:$A$401,$A54,'Player Rounds'!$B$2:$B$401,$B54,'Player Rounds'!$C$2:$C$401,$D54)-_xlfn.MINIFS('Player Rounds'!$AJ$2:$AJ$401,'Player Rounds'!$A$2:$A$401,$A54,'Player Rounds'!$B$2:$B$401,$B54,'Player Rounds'!$C$2:$C$401,$C54))))</f>
      </c>
      <c r="W54" t="e">
        <f>IF($A54="","",IF(COUNTIFS('Player Rounds'!$A$2:$A$401,$A54,'Player Rounds'!$B$2:$B$401,$B54,'Player Rounds'!$Q$2:$Q$401,"&gt;0")=0,"",SIGN(_xlfn.MINIFS('Player Rounds'!$AK$2:$AK$401,'Player Rounds'!$A$2:$A$401,$A54,'Player Rounds'!$B$2:$B$401,$B54,'Player Rounds'!$C$2:$C$401,$D54)-_xlfn.MINIFS('Player Rounds'!$AK$2:$AK$401,'Player Rounds'!$A$2:$A$401,$A54,'Player Rounds'!$B$2:$B$401,$B54,'Player Rounds'!$C$2:$C$401,$C54))))</f>
      </c>
      <c r="X54" t="e">
        <f>IF($A54="","",IF(COUNTIFS('Player Rounds'!$A$2:$A$401,$A54,'Player Rounds'!$B$2:$B$401,$B54,'Player Rounds'!$R$2:$R$401,"&gt;0")=0,"",SIGN(_xlfn.MINIFS('Player Rounds'!$AL$2:$AL$401,'Player Rounds'!$A$2:$A$401,$A54,'Player Rounds'!$B$2:$B$401,$B54,'Player Rounds'!$C$2:$C$401,$D54)-_xlfn.MINIFS('Player Rounds'!$AL$2:$AL$401,'Player Rounds'!$A$2:$A$401,$A54,'Player Rounds'!$B$2:$B$401,$B54,'Player Rounds'!$C$2:$C$401,$C54))))</f>
      </c>
      <c r="Y54" t="e">
        <f>IF($A54="","",IF(COUNTIFS('Player Rounds'!$A$2:$A$401,$A54,'Player Rounds'!$B$2:$B$401,$B54,'Player Rounds'!$S$2:$S$401,"&gt;0")=0,"",SIGN(_xlfn.MINIFS('Player Rounds'!$AM$2:$AM$401,'Player Rounds'!$A$2:$A$401,$A54,'Player Rounds'!$B$2:$B$401,$B54,'Player Rounds'!$C$2:$C$401,$D54)-_xlfn.MINIFS('Player Rounds'!$AM$2:$AM$401,'Player Rounds'!$A$2:$A$401,$A54,'Player Rounds'!$B$2:$B$401,$B54,'Player Rounds'!$C$2:$C$401,$C54))))</f>
      </c>
      <c r="Z54" t="e">
        <f>IF($A54="","",IF(COUNTIFS('Player Rounds'!$A$2:$A$401,$A54,'Player Rounds'!$B$2:$B$401,$B54,'Player Rounds'!$T$2:$T$401,"&gt;0")=0,"",SIGN(_xlfn.MINIFS('Player Rounds'!$AN$2:$AN$401,'Player Rounds'!$A$2:$A$401,$A54,'Player Rounds'!$B$2:$B$401,$B54,'Player Rounds'!$C$2:$C$401,$D54)-_xlfn.MINIFS('Player Rounds'!$AN$2:$AN$401,'Player Rounds'!$A$2:$A$401,$A54,'Player Rounds'!$B$2:$B$401,$B54,'Player Rounds'!$C$2:$C$401,$C54))))</f>
      </c>
      <c r="AA54" t="e">
        <f>IF($A54="","",IF(COUNTIFS('Player Rounds'!$A$2:$A$401,$A54,'Player Rounds'!$B$2:$B$401,$B54,'Player Rounds'!$U$2:$U$401,"&gt;0")=0,"",SIGN(_xlfn.MINIFS('Player Rounds'!$AO$2:$AO$401,'Player Rounds'!$A$2:$A$401,$A54,'Player Rounds'!$B$2:$B$401,$B54,'Player Rounds'!$C$2:$C$401,$D54)-_xlfn.MINIFS('Player Rounds'!$AO$2:$AO$401,'Player Rounds'!$A$2:$A$401,$A54,'Player Rounds'!$B$2:$B$401,$B54,'Player Rounds'!$C$2:$C$401,$C54))))</f>
      </c>
      <c r="AB54" t="e">
        <f>IF($A54="","",IF(COUNTIFS('Player Rounds'!$A$2:$A$401,$A54,'Player Rounds'!$B$2:$B$401,$B54,'Player Rounds'!$V$2:$V$401,"&gt;0")=0,"",SIGN(_xlfn.MINIFS('Player Rounds'!$AP$2:$AP$401,'Player Rounds'!$A$2:$A$401,$A54,'Player Rounds'!$B$2:$B$401,$B54,'Player Rounds'!$C$2:$C$401,$D54)-_xlfn.MINIFS('Player Rounds'!$AP$2:$AP$401,'Player Rounds'!$A$2:$A$401,$A54,'Player Rounds'!$B$2:$B$401,$B54,'Player Rounds'!$C$2:$C$401,$C54))))</f>
      </c>
      <c r="AC54" t="e">
        <f>IF($A54="","",IF(COUNTIFS('Player Rounds'!$A$2:$A$401,$A54,'Player Rounds'!$B$2:$B$401,$B54,'Player Rounds'!$W$2:$W$401,"&gt;0")=0,"",SIGN(_xlfn.MINIFS('Player Rounds'!$AQ$2:$AQ$401,'Player Rounds'!$A$2:$A$401,$A54,'Player Rounds'!$B$2:$B$401,$B54,'Player Rounds'!$C$2:$C$401,$D54)-_xlfn.MINIFS('Player Rounds'!$AQ$2:$AQ$401,'Player Rounds'!$A$2:$A$401,$A54,'Player Rounds'!$B$2:$B$401,$B54,'Player Rounds'!$C$2:$C$401,$C54))))</f>
      </c>
      <c r="AD54" t="e">
        <f>IF($A54="","",SUM($L54:L54))</f>
      </c>
      <c r="AE54" t="e">
        <f>IF($A54="","",SUM($L54:M54))</f>
      </c>
      <c r="AF54" t="e">
        <f>IF($A54="","",SUM($L54:N54))</f>
      </c>
      <c r="AG54" t="e">
        <f>IF($A54="","",SUM($L54:O54))</f>
      </c>
      <c r="AH54" t="e">
        <f>IF($A54="","",SUM($L54:P54))</f>
      </c>
      <c r="AI54" t="e">
        <f>IF($A54="","",SUM($L54:Q54))</f>
      </c>
      <c r="AJ54" t="e">
        <f>IF($A54="","",SUM($L54:R54))</f>
      </c>
      <c r="AK54" t="e">
        <f>IF($A54="","",SUM($L54:S54))</f>
      </c>
      <c r="AL54" t="e">
        <f>IF($A54="","",SUM($L54:T54))</f>
      </c>
      <c r="AM54" t="e">
        <f>IF($A54="","",SUM($L54:U54))</f>
      </c>
      <c r="AN54" t="e">
        <f>IF($A54="","",SUM($L54:V54))</f>
      </c>
      <c r="AO54" t="e">
        <f>IF($A54="","",SUM($L54:W54))</f>
      </c>
      <c r="AP54" t="e">
        <f>IF($A54="","",SUM($L54:X54))</f>
      </c>
      <c r="AQ54" t="e">
        <f>IF($A54="","",SUM($L54:Y54))</f>
      </c>
      <c r="AR54" t="e">
        <f>IF($A54="","",SUM($L54:Z54))</f>
      </c>
      <c r="AS54" t="e">
        <f>IF($A54="","",SUM($L54:AA54))</f>
      </c>
      <c r="AT54" t="e">
        <f>IF($A54="","",SUM($L54:AB54))</f>
      </c>
      <c r="AU54" t="e">
        <f>IF($A54="","",SUM($L54:AC54))</f>
      </c>
      <c r="AV54" t="e">
        <f>IF(OR($A54="",L54=""),"",IF(ABS(AD54)&gt;17,1,""))</f>
      </c>
      <c r="AW54" t="e">
        <f>IF(OR($A54="",M54=""),"",IF(ABS(AE54)&gt;16,2,""))</f>
      </c>
      <c r="AX54" t="e">
        <f>IF(OR($A54="",N54=""),"",IF(ABS(AF54)&gt;15,3,""))</f>
      </c>
      <c r="AY54" t="e">
        <f>IF(OR($A54="",O54=""),"",IF(ABS(AG54)&gt;14,4,""))</f>
      </c>
      <c r="AZ54" t="e">
        <f>IF(OR($A54="",P54=""),"",IF(ABS(AH54)&gt;13,5,""))</f>
      </c>
      <c r="BA54" t="e">
        <f>IF(OR($A54="",Q54=""),"",IF(ABS(AI54)&gt;12,6,""))</f>
      </c>
      <c r="BB54" t="e">
        <f>IF(OR($A54="",R54=""),"",IF(ABS(AJ54)&gt;11,7,""))</f>
      </c>
      <c r="BC54" t="e">
        <f>IF(OR($A54="",S54=""),"",IF(ABS(AK54)&gt;10,8,""))</f>
      </c>
      <c r="BD54" t="e">
        <f>IF(OR($A54="",T54=""),"",IF(ABS(AL54)&gt;9,9,""))</f>
      </c>
      <c r="BE54" t="e">
        <f>IF(OR($A54="",U54=""),"",IF(ABS(AM54)&gt;8,10,""))</f>
      </c>
      <c r="BF54" t="e">
        <f>IF(OR($A54="",V54=""),"",IF(ABS(AN54)&gt;7,11,""))</f>
      </c>
      <c r="BG54" t="e">
        <f>IF(OR($A54="",W54=""),"",IF(ABS(AO54)&gt;6,12,""))</f>
      </c>
      <c r="BH54" t="e">
        <f>IF(OR($A54="",X54=""),"",IF(ABS(AP54)&gt;5,13,""))</f>
      </c>
      <c r="BI54" t="e">
        <f>IF(OR($A54="",Y54=""),"",IF(ABS(AQ54)&gt;4,14,""))</f>
      </c>
      <c r="BJ54" t="e">
        <f>IF(OR($A54="",Z54=""),"",IF(ABS(AR54)&gt;3,15,""))</f>
      </c>
      <c r="BK54" t="e">
        <f>IF(OR($A54="",AA54=""),"",IF(ABS(AS54)&gt;2,16,""))</f>
      </c>
      <c r="BL54" t="e">
        <f>IF(OR($A54="",AB54=""),"",IF(ABS(AT54)&gt;1,17,""))</f>
      </c>
      <c r="BM54" t="e">
        <f>IF(OR($A54="",AC54=""),"",IF(ABS(AU54)&gt;0,18,""))</f>
      </c>
    </row>
    <row r="55">
      <c r="C55" t="str">
        <f>IF($A55="","",INDEX('Tournament Setup'!$J:$J,MATCH($A55,'Tournament Setup'!$A:$A,0)))</f>
        <v/>
      </c>
      <c r="D55" t="str">
        <f>IF($A55="","",INDEX('Tournament Setup'!$K:$K,MATCH($A55,'Tournament Setup'!$A:$A,0)))</f>
        <v/>
      </c>
      <c r="E55" t="str">
        <f>IF($A55="","",IF(COUNT(L55:AC55)=0,"Not played",IF(AND($K55&gt;0,$K55&lt;18),IF(INDEX(AD55:AU55,1,$K55)&gt;0,$C55,$D55)&amp;" "&amp;ABS(INDEX(AD55:AU55,1,$K55))&amp;"&amp;"&amp;(18-$K55),IF($J55=0,"Halved (AS)",IF($J55&gt;0,$C55,$D55)&amp;" "&amp;ABS($J55)&amp;" UP"))))</f>
        <v/>
      </c>
      <c r="F55" t="e">
        <f>IF(OR($A55="",COUNT(L55:AC55)=0),"",INDEX('Tournament Setup'!$I:$I,MATCH($A55,'Tournament Setup'!$A:$A,0))*IF(INDEX('Tournament Setup'!$H:$H,MATCH($A55,'Tournament Setup'!$A:$A,0))="Yes",IF($H55&gt;0,1,IF($H55=0,0.5,0))+IF($I55&gt;0,1,IF($I55=0,0.5,0))+IF($J55&gt;0,1,IF($J55=0,0.5,0)),IF(IF(AND($K55&gt;0,$K55&lt;18),INDEX(AD55:AU55,1,$K55),$J55)&gt;0,1,IF(IF(AND($K55&gt;0,$K55&lt;18),INDEX(AD55:AU55,1,$K55),$J55)=0,0.5,0))))</f>
      </c>
      <c r="G55" t="e">
        <f>IF(OR($A55="",COUNT(L55:AC55)=0),"",INDEX('Tournament Setup'!$I:$I,MATCH($A55,'Tournament Setup'!$A:$A,0))*IF(INDEX('Tournament Setup'!$H:$H,MATCH($A55,'Tournament Setup'!$A:$A,0))="Yes",IF($H55&lt;0,1,IF($H55=0,0.5,0))+IF($I55&lt;0,1,IF($I55=0,0.5,0))+IF($J55&lt;0,1,IF($J55=0,0.5,0)),IF(IF(AND($K55&gt;0,$K55&lt;18),INDEX(AD55:AU55,1,$K55),$J55)&lt;0,1,IF(IF(AND($K55&gt;0,$K55&lt;18),INDEX(AD55:AU55,1,$K55),$J55)=0,0.5,0))))</f>
      </c>
      <c r="H55" t="e">
        <f>IF($A55="","",SUM(L55:T55))</f>
      </c>
      <c r="I55" t="e">
        <f>IF($A55="","",SUM(U55:AC55))</f>
      </c>
      <c r="J55" t="e">
        <f>IF($A55="","",SUM(L55:AC55))</f>
      </c>
      <c r="K55" t="e">
        <f>IF($A55="","",MIN(AV55:BM55))</f>
      </c>
      <c r="L55" t="e">
        <f>IF($A55="","",IF(COUNTIFS('Player Rounds'!$A$2:$A$401,$A55,'Player Rounds'!$B$2:$B$401,$B55,'Player Rounds'!$F$2:$F$401,"&gt;0")=0,"",SIGN(_xlfn.MINIFS('Player Rounds'!$Z$2:$Z$401,'Player Rounds'!$A$2:$A$401,$A55,'Player Rounds'!$B$2:$B$401,$B55,'Player Rounds'!$C$2:$C$401,$D55)-_xlfn.MINIFS('Player Rounds'!$Z$2:$Z$401,'Player Rounds'!$A$2:$A$401,$A55,'Player Rounds'!$B$2:$B$401,$B55,'Player Rounds'!$C$2:$C$401,$C55))))</f>
      </c>
      <c r="M55" t="e">
        <f>IF($A55="","",IF(COUNTIFS('Player Rounds'!$A$2:$A$401,$A55,'Player Rounds'!$B$2:$B$401,$B55,'Player Rounds'!$G$2:$G$401,"&gt;0")=0,"",SIGN(_xlfn.MINIFS('Player Rounds'!$AA$2:$AA$401,'Player Rounds'!$A$2:$A$401,$A55,'Player Rounds'!$B$2:$B$401,$B55,'Player Rounds'!$C$2:$C$401,$D55)-_xlfn.MINIFS('Player Rounds'!$AA$2:$AA$401,'Player Rounds'!$A$2:$A$401,$A55,'Player Rounds'!$B$2:$B$401,$B55,'Player Rounds'!$C$2:$C$401,$C55))))</f>
      </c>
      <c r="N55" t="e">
        <f>IF($A55="","",IF(COUNTIFS('Player Rounds'!$A$2:$A$401,$A55,'Player Rounds'!$B$2:$B$401,$B55,'Player Rounds'!$H$2:$H$401,"&gt;0")=0,"",SIGN(_xlfn.MINIFS('Player Rounds'!$AB$2:$AB$401,'Player Rounds'!$A$2:$A$401,$A55,'Player Rounds'!$B$2:$B$401,$B55,'Player Rounds'!$C$2:$C$401,$D55)-_xlfn.MINIFS('Player Rounds'!$AB$2:$AB$401,'Player Rounds'!$A$2:$A$401,$A55,'Player Rounds'!$B$2:$B$401,$B55,'Player Rounds'!$C$2:$C$401,$C55))))</f>
      </c>
      <c r="O55" t="e">
        <f>IF($A55="","",IF(COUNTIFS('Player Rounds'!$A$2:$A$401,$A55,'Player Rounds'!$B$2:$B$401,$B55,'Player Rounds'!$I$2:$I$401,"&gt;0")=0,"",SIGN(_xlfn.MINIFS('Player Rounds'!$AC$2:$AC$401,'Player Rounds'!$A$2:$A$401,$A55,'Player Rounds'!$B$2:$B$401,$B55,'Player Rounds'!$C$2:$C$401,$D55)-_xlfn.MINIFS('Player Rounds'!$AC$2:$AC$401,'Player Rounds'!$A$2:$A$401,$A55,'Player Rounds'!$B$2:$B$401,$B55,'Player Rounds'!$C$2:$C$401,$C55))))</f>
      </c>
      <c r="P55" t="e">
        <f>IF($A55="","",IF(COUNTIFS('Player Rounds'!$A$2:$A$401,$A55,'Player Rounds'!$B$2:$B$401,$B55,'Player Rounds'!$J$2:$J$401,"&gt;0")=0,"",SIGN(_xlfn.MINIFS('Player Rounds'!$AD$2:$AD$401,'Player Rounds'!$A$2:$A$401,$A55,'Player Rounds'!$B$2:$B$401,$B55,'Player Rounds'!$C$2:$C$401,$D55)-_xlfn.MINIFS('Player Rounds'!$AD$2:$AD$401,'Player Rounds'!$A$2:$A$401,$A55,'Player Rounds'!$B$2:$B$401,$B55,'Player Rounds'!$C$2:$C$401,$C55))))</f>
      </c>
      <c r="Q55" t="e">
        <f>IF($A55="","",IF(COUNTIFS('Player Rounds'!$A$2:$A$401,$A55,'Player Rounds'!$B$2:$B$401,$B55,'Player Rounds'!$K$2:$K$401,"&gt;0")=0,"",SIGN(_xlfn.MINIFS('Player Rounds'!$AE$2:$AE$401,'Player Rounds'!$A$2:$A$401,$A55,'Player Rounds'!$B$2:$B$401,$B55,'Player Rounds'!$C$2:$C$401,$D55)-_xlfn.MINIFS('Player Rounds'!$AE$2:$AE$401,'Player Rounds'!$A$2:$A$401,$A55,'Player Rounds'!$B$2:$B$401,$B55,'Player Rounds'!$C$2:$C$401,$C55))))</f>
      </c>
      <c r="R55" t="e">
        <f>IF($A55="","",IF(COUNTIFS('Player Rounds'!$A$2:$A$401,$A55,'Player Rounds'!$B$2:$B$401,$B55,'Player Rounds'!$L$2:$L$401,"&gt;0")=0,"",SIGN(_xlfn.MINIFS('Player Rounds'!$AF$2:$AF$401,'Player Rounds'!$A$2:$A$401,$A55,'Player Rounds'!$B$2:$B$401,$B55,'Player Rounds'!$C$2:$C$401,$D55)-_xlfn.MINIFS('Player Rounds'!$AF$2:$AF$401,'Player Rounds'!$A$2:$A$401,$A55,'Player Rounds'!$B$2:$B$401,$B55,'Player Rounds'!$C$2:$C$401,$C55))))</f>
      </c>
      <c r="S55" t="e">
        <f>IF($A55="","",IF(COUNTIFS('Player Rounds'!$A$2:$A$401,$A55,'Player Rounds'!$B$2:$B$401,$B55,'Player Rounds'!$M$2:$M$401,"&gt;0")=0,"",SIGN(_xlfn.MINIFS('Player Rounds'!$AG$2:$AG$401,'Player Rounds'!$A$2:$A$401,$A55,'Player Rounds'!$B$2:$B$401,$B55,'Player Rounds'!$C$2:$C$401,$D55)-_xlfn.MINIFS('Player Rounds'!$AG$2:$AG$401,'Player Rounds'!$A$2:$A$401,$A55,'Player Rounds'!$B$2:$B$401,$B55,'Player Rounds'!$C$2:$C$401,$C55))))</f>
      </c>
      <c r="T55" t="e">
        <f>IF($A55="","",IF(COUNTIFS('Player Rounds'!$A$2:$A$401,$A55,'Player Rounds'!$B$2:$B$401,$B55,'Player Rounds'!$N$2:$N$401,"&gt;0")=0,"",SIGN(_xlfn.MINIFS('Player Rounds'!$AH$2:$AH$401,'Player Rounds'!$A$2:$A$401,$A55,'Player Rounds'!$B$2:$B$401,$B55,'Player Rounds'!$C$2:$C$401,$D55)-_xlfn.MINIFS('Player Rounds'!$AH$2:$AH$401,'Player Rounds'!$A$2:$A$401,$A55,'Player Rounds'!$B$2:$B$401,$B55,'Player Rounds'!$C$2:$C$401,$C55))))</f>
      </c>
      <c r="U55" t="e">
        <f>IF($A55="","",IF(COUNTIFS('Player Rounds'!$A$2:$A$401,$A55,'Player Rounds'!$B$2:$B$401,$B55,'Player Rounds'!$O$2:$O$401,"&gt;0")=0,"",SIGN(_xlfn.MINIFS('Player Rounds'!$AI$2:$AI$401,'Player Rounds'!$A$2:$A$401,$A55,'Player Rounds'!$B$2:$B$401,$B55,'Player Rounds'!$C$2:$C$401,$D55)-_xlfn.MINIFS('Player Rounds'!$AI$2:$AI$401,'Player Rounds'!$A$2:$A$401,$A55,'Player Rounds'!$B$2:$B$401,$B55,'Player Rounds'!$C$2:$C$401,$C55))))</f>
      </c>
      <c r="V55" t="e">
        <f>IF($A55="","",IF(COUNTIFS('Player Rounds'!$A$2:$A$401,$A55,'Player Rounds'!$B$2:$B$401,$B55,'Player Rounds'!$P$2:$P$401,"&gt;0")=0,"",SIGN(_xlfn.MINIFS('Player Rounds'!$AJ$2:$AJ$401,'Player Rounds'!$A$2:$A$401,$A55,'Player Rounds'!$B$2:$B$401,$B55,'Player Rounds'!$C$2:$C$401,$D55)-_xlfn.MINIFS('Player Rounds'!$AJ$2:$AJ$401,'Player Rounds'!$A$2:$A$401,$A55,'Player Rounds'!$B$2:$B$401,$B55,'Player Rounds'!$C$2:$C$401,$C55))))</f>
      </c>
      <c r="W55" t="e">
        <f>IF($A55="","",IF(COUNTIFS('Player Rounds'!$A$2:$A$401,$A55,'Player Rounds'!$B$2:$B$401,$B55,'Player Rounds'!$Q$2:$Q$401,"&gt;0")=0,"",SIGN(_xlfn.MINIFS('Player Rounds'!$AK$2:$AK$401,'Player Rounds'!$A$2:$A$401,$A55,'Player Rounds'!$B$2:$B$401,$B55,'Player Rounds'!$C$2:$C$401,$D55)-_xlfn.MINIFS('Player Rounds'!$AK$2:$AK$401,'Player Rounds'!$A$2:$A$401,$A55,'Player Rounds'!$B$2:$B$401,$B55,'Player Rounds'!$C$2:$C$401,$C55))))</f>
      </c>
      <c r="X55" t="e">
        <f>IF($A55="","",IF(COUNTIFS('Player Rounds'!$A$2:$A$401,$A55,'Player Rounds'!$B$2:$B$401,$B55,'Player Rounds'!$R$2:$R$401,"&gt;0")=0,"",SIGN(_xlfn.MINIFS('Player Rounds'!$AL$2:$AL$401,'Player Rounds'!$A$2:$A$401,$A55,'Player Rounds'!$B$2:$B$401,$B55,'Player Rounds'!$C$2:$C$401,$D55)-_xlfn.MINIFS('Player Rounds'!$AL$2:$AL$401,'Player Rounds'!$A$2:$A$401,$A55,'Player Rounds'!$B$2:$B$401,$B55,'Player Rounds'!$C$2:$C$401,$C55))))</f>
      </c>
      <c r="Y55" t="e">
        <f>IF($A55="","",IF(COUNTIFS('Player Rounds'!$A$2:$A$401,$A55,'Player Rounds'!$B$2:$B$401,$B55,'Player Rounds'!$S$2:$S$401,"&gt;0")=0,"",SIGN(_xlfn.MINIFS('Player Rounds'!$AM$2:$AM$401,'Player Rounds'!$A$2:$A$401,$A55,'Player Rounds'!$B$2:$B$401,$B55,'Player Rounds'!$C$2:$C$401,$D55)-_xlfn.MINIFS('Player Rounds'!$AM$2:$AM$401,'Player Rounds'!$A$2:$A$401,$A55,'Player Rounds'!$B$2:$B$401,$B55,'Player Rounds'!$C$2:$C$401,$C55))))</f>
      </c>
      <c r="Z55" t="e">
        <f>IF($A55="","",IF(COUNTIFS('Player Rounds'!$A$2:$A$401,$A55,'Player Rounds'!$B$2:$B$401,$B55,'Player Rounds'!$T$2:$T$401,"&gt;0")=0,"",SIGN(_xlfn.MINIFS('Player Rounds'!$AN$2:$AN$401,'Player Rounds'!$A$2:$A$401,$A55,'Player Rounds'!$B$2:$B$401,$B55,'Player Rounds'!$C$2:$C$401,$D55)-_xlfn.MINIFS('Player Rounds'!$AN$2:$AN$401,'Player Rounds'!$A$2:$A$401,$A55,'Player Rounds'!$B$2:$B$401,$B55,'Player Rounds'!$C$2:$C$401,$C55))))</f>
      </c>
      <c r="AA55" t="e">
        <f>IF($A55="","",IF(COUNTIFS('Player Rounds'!$A$2:$A$401,$A55,'Player Rounds'!$B$2:$B$401,$B55,'Player Rounds'!$U$2:$U$401,"&gt;0")=0,"",SIGN(_xlfn.MINIFS('Player Rounds'!$AO$2:$AO$401,'Player Rounds'!$A$2:$A$401,$A55,'Player Rounds'!$B$2:$B$401,$B55,'Player Rounds'!$C$2:$C$401,$D55)-_xlfn.MINIFS('Player Rounds'!$AO$2:$AO$401,'Player Rounds'!$A$2:$A$401,$A55,'Player Rounds'!$B$2:$B$401,$B55,'Player Rounds'!$C$2:$C$401,$C55))))</f>
      </c>
      <c r="AB55" t="e">
        <f>IF($A55="","",IF(COUNTIFS('Player Rounds'!$A$2:$A$401,$A55,'Player Rounds'!$B$2:$B$401,$B55,'Player Rounds'!$V$2:$V$401,"&gt;0")=0,"",SIGN(_xlfn.MINIFS('Player Rounds'!$AP$2:$AP$401,'Player Rounds'!$A$2:$A$401,$A55,'Player Rounds'!$B$2:$B$401,$B55,'Player Rounds'!$C$2:$C$401,$D55)-_xlfn.MINIFS('Player Rounds'!$AP$2:$AP$401,'Player Rounds'!$A$2:$A$401,$A55,'Player Rounds'!$B$2:$B$401,$B55,'Player Rounds'!$C$2:$C$401,$C55))))</f>
      </c>
      <c r="AC55" t="e">
        <f>IF($A55="","",IF(COUNTIFS('Player Rounds'!$A$2:$A$401,$A55,'Player Rounds'!$B$2:$B$401,$B55,'Player Rounds'!$W$2:$W$401,"&gt;0")=0,"",SIGN(_xlfn.MINIFS('Player Rounds'!$AQ$2:$AQ$401,'Player Rounds'!$A$2:$A$401,$A55,'Player Rounds'!$B$2:$B$401,$B55,'Player Rounds'!$C$2:$C$401,$D55)-_xlfn.MINIFS('Player Rounds'!$AQ$2:$AQ$401,'Player Rounds'!$A$2:$A$401,$A55,'Player Rounds'!$B$2:$B$401,$B55,'Player Rounds'!$C$2:$C$401,$C55))))</f>
      </c>
      <c r="AD55" t="e">
        <f>IF($A55="","",SUM($L55:L55))</f>
      </c>
      <c r="AE55" t="e">
        <f>IF($A55="","",SUM($L55:M55))</f>
      </c>
      <c r="AF55" t="e">
        <f>IF($A55="","",SUM($L55:N55))</f>
      </c>
      <c r="AG55" t="e">
        <f>IF($A55="","",SUM($L55:O55))</f>
      </c>
      <c r="AH55" t="e">
        <f>IF($A55="","",SUM($L55:P55))</f>
      </c>
      <c r="AI55" t="e">
        <f>IF($A55="","",SUM($L55:Q55))</f>
      </c>
      <c r="AJ55" t="e">
        <f>IF($A55="","",SUM($L55:R55))</f>
      </c>
      <c r="AK55" t="e">
        <f>IF($A55="","",SUM($L55:S55))</f>
      </c>
      <c r="AL55" t="e">
        <f>IF($A55="","",SUM($L55:T55))</f>
      </c>
      <c r="AM55" t="e">
        <f>IF($A55="","",SUM($L55:U55))</f>
      </c>
      <c r="AN55" t="e">
        <f>IF($A55="","",SUM($L55:V55))</f>
      </c>
      <c r="AO55" t="e">
        <f>IF($A55="","",SUM($L55:W55))</f>
      </c>
      <c r="AP55" t="e">
        <f>IF($A55="","",SUM($L55:X55))</f>
      </c>
      <c r="AQ55" t="e">
        <f>IF($A55="","",SUM($L55:Y55))</f>
      </c>
      <c r="AR55" t="e">
        <f>IF($A55="","",SUM($L55:Z55))</f>
      </c>
      <c r="AS55" t="e">
        <f>IF($A55="","",SUM($L55:AA55))</f>
      </c>
      <c r="AT55" t="e">
        <f>IF($A55="","",SUM($L55:AB55))</f>
      </c>
      <c r="AU55" t="e">
        <f>IF($A55="","",SUM($L55:AC55))</f>
      </c>
      <c r="AV55" t="e">
        <f>IF(OR($A55="",L55=""),"",IF(ABS(AD55)&gt;17,1,""))</f>
      </c>
      <c r="AW55" t="e">
        <f>IF(OR($A55="",M55=""),"",IF(ABS(AE55)&gt;16,2,""))</f>
      </c>
      <c r="AX55" t="e">
        <f>IF(OR($A55="",N55=""),"",IF(ABS(AF55)&gt;15,3,""))</f>
      </c>
      <c r="AY55" t="e">
        <f>IF(OR($A55="",O55=""),"",IF(ABS(AG55)&gt;14,4,""))</f>
      </c>
      <c r="AZ55" t="e">
        <f>IF(OR($A55="",P55=""),"",IF(ABS(AH55)&gt;13,5,""))</f>
      </c>
      <c r="BA55" t="e">
        <f>IF(OR($A55="",Q55=""),"",IF(ABS(AI55)&gt;12,6,""))</f>
      </c>
      <c r="BB55" t="e">
        <f>IF(OR($A55="",R55=""),"",IF(ABS(AJ55)&gt;11,7,""))</f>
      </c>
      <c r="BC55" t="e">
        <f>IF(OR($A55="",S55=""),"",IF(ABS(AK55)&gt;10,8,""))</f>
      </c>
      <c r="BD55" t="e">
        <f>IF(OR($A55="",T55=""),"",IF(ABS(AL55)&gt;9,9,""))</f>
      </c>
      <c r="BE55" t="e">
        <f>IF(OR($A55="",U55=""),"",IF(ABS(AM55)&gt;8,10,""))</f>
      </c>
      <c r="BF55" t="e">
        <f>IF(OR($A55="",V55=""),"",IF(ABS(AN55)&gt;7,11,""))</f>
      </c>
      <c r="BG55" t="e">
        <f>IF(OR($A55="",W55=""),"",IF(ABS(AO55)&gt;6,12,""))</f>
      </c>
      <c r="BH55" t="e">
        <f>IF(OR($A55="",X55=""),"",IF(ABS(AP55)&gt;5,13,""))</f>
      </c>
      <c r="BI55" t="e">
        <f>IF(OR($A55="",Y55=""),"",IF(ABS(AQ55)&gt;4,14,""))</f>
      </c>
      <c r="BJ55" t="e">
        <f>IF(OR($A55="",Z55=""),"",IF(ABS(AR55)&gt;3,15,""))</f>
      </c>
      <c r="BK55" t="e">
        <f>IF(OR($A55="",AA55=""),"",IF(ABS(AS55)&gt;2,16,""))</f>
      </c>
      <c r="BL55" t="e">
        <f>IF(OR($A55="",AB55=""),"",IF(ABS(AT55)&gt;1,17,""))</f>
      </c>
      <c r="BM55" t="e">
        <f>IF(OR($A55="",AC55=""),"",IF(ABS(AU55)&gt;0,18,""))</f>
      </c>
    </row>
    <row r="56">
      <c r="C56" t="str">
        <f>IF($A56="","",INDEX('Tournament Setup'!$J:$J,MATCH($A56,'Tournament Setup'!$A:$A,0)))</f>
        <v/>
      </c>
      <c r="D56" t="str">
        <f>IF($A56="","",INDEX('Tournament Setup'!$K:$K,MATCH($A56,'Tournament Setup'!$A:$A,0)))</f>
        <v/>
      </c>
      <c r="E56" t="str">
        <f>IF($A56="","",IF(COUNT(L56:AC56)=0,"Not played",IF(AND($K56&gt;0,$K56&lt;18),IF(INDEX(AD56:AU56,1,$K56)&gt;0,$C56,$D56)&amp;" "&amp;ABS(INDEX(AD56:AU56,1,$K56))&amp;"&amp;"&amp;(18-$K56),IF($J56=0,"Halved (AS)",IF($J56&gt;0,$C56,$D56)&amp;" "&amp;ABS($J56)&amp;" UP"))))</f>
        <v/>
      </c>
      <c r="F56" t="e">
        <f>IF(OR($A56="",COUNT(L56:AC56)=0),"",INDEX('Tournament Setup'!$I:$I,MATCH($A56,'Tournament Setup'!$A:$A,0))*IF(INDEX('Tournament Setup'!$H:$H,MATCH($A56,'Tournament Setup'!$A:$A,0))="Yes",IF($H56&gt;0,1,IF($H56=0,0.5,0))+IF($I56&gt;0,1,IF($I56=0,0.5,0))+IF($J56&gt;0,1,IF($J56=0,0.5,0)),IF(IF(AND($K56&gt;0,$K56&lt;18),INDEX(AD56:AU56,1,$K56),$J56)&gt;0,1,IF(IF(AND($K56&gt;0,$K56&lt;18),INDEX(AD56:AU56,1,$K56),$J56)=0,0.5,0))))</f>
      </c>
      <c r="G56" t="e">
        <f>IF(OR($A56="",COUNT(L56:AC56)=0),"",INDEX('Tournament Setup'!$I:$I,MATCH($A56,'Tournament Setup'!$A:$A,0))*IF(INDEX('Tournament Setup'!$H:$H,MATCH($A56,'Tournament Setup'!$A:$A,0))="Yes",IF($H56&lt;0,1,IF($H56=0,0.5,0))+IF($I56&lt;0,1,IF($I56=0,0.5,0))+IF($J56&lt;0,1,IF($J56=0,0.5,0)),IF(IF(AND($K56&gt;0,$K56&lt;18),INDEX(AD56:AU56,1,$K56),$J56)&lt;0,1,IF(IF(AND($K56&gt;0,$K56&lt;18),INDEX(AD56:AU56,1,$K56),$J56)=0,0.5,0))))</f>
      </c>
      <c r="H56" t="e">
        <f>IF($A56="","",SUM(L56:T56))</f>
      </c>
      <c r="I56" t="e">
        <f>IF($A56="","",SUM(U56:AC56))</f>
      </c>
      <c r="J56" t="e">
        <f>IF($A56="","",SUM(L56:AC56))</f>
      </c>
      <c r="K56" t="e">
        <f>IF($A56="","",MIN(AV56:BM56))</f>
      </c>
      <c r="L56" t="e">
        <f>IF($A56="","",IF(COUNTIFS('Player Rounds'!$A$2:$A$401,$A56,'Player Rounds'!$B$2:$B$401,$B56,'Player Rounds'!$F$2:$F$401,"&gt;0")=0,"",SIGN(_xlfn.MINIFS('Player Rounds'!$Z$2:$Z$401,'Player Rounds'!$A$2:$A$401,$A56,'Player Rounds'!$B$2:$B$401,$B56,'Player Rounds'!$C$2:$C$401,$D56)-_xlfn.MINIFS('Player Rounds'!$Z$2:$Z$401,'Player Rounds'!$A$2:$A$401,$A56,'Player Rounds'!$B$2:$B$401,$B56,'Player Rounds'!$C$2:$C$401,$C56))))</f>
      </c>
      <c r="M56" t="e">
        <f>IF($A56="","",IF(COUNTIFS('Player Rounds'!$A$2:$A$401,$A56,'Player Rounds'!$B$2:$B$401,$B56,'Player Rounds'!$G$2:$G$401,"&gt;0")=0,"",SIGN(_xlfn.MINIFS('Player Rounds'!$AA$2:$AA$401,'Player Rounds'!$A$2:$A$401,$A56,'Player Rounds'!$B$2:$B$401,$B56,'Player Rounds'!$C$2:$C$401,$D56)-_xlfn.MINIFS('Player Rounds'!$AA$2:$AA$401,'Player Rounds'!$A$2:$A$401,$A56,'Player Rounds'!$B$2:$B$401,$B56,'Player Rounds'!$C$2:$C$401,$C56))))</f>
      </c>
      <c r="N56" t="e">
        <f>IF($A56="","",IF(COUNTIFS('Player Rounds'!$A$2:$A$401,$A56,'Player Rounds'!$B$2:$B$401,$B56,'Player Rounds'!$H$2:$H$401,"&gt;0")=0,"",SIGN(_xlfn.MINIFS('Player Rounds'!$AB$2:$AB$401,'Player Rounds'!$A$2:$A$401,$A56,'Player Rounds'!$B$2:$B$401,$B56,'Player Rounds'!$C$2:$C$401,$D56)-_xlfn.MINIFS('Player Rounds'!$AB$2:$AB$401,'Player Rounds'!$A$2:$A$401,$A56,'Player Rounds'!$B$2:$B$401,$B56,'Player Rounds'!$C$2:$C$401,$C56))))</f>
      </c>
      <c r="O56" t="e">
        <f>IF($A56="","",IF(COUNTIFS('Player Rounds'!$A$2:$A$401,$A56,'Player Rounds'!$B$2:$B$401,$B56,'Player Rounds'!$I$2:$I$401,"&gt;0")=0,"",SIGN(_xlfn.MINIFS('Player Rounds'!$AC$2:$AC$401,'Player Rounds'!$A$2:$A$401,$A56,'Player Rounds'!$B$2:$B$401,$B56,'Player Rounds'!$C$2:$C$401,$D56)-_xlfn.MINIFS('Player Rounds'!$AC$2:$AC$401,'Player Rounds'!$A$2:$A$401,$A56,'Player Rounds'!$B$2:$B$401,$B56,'Player Rounds'!$C$2:$C$401,$C56))))</f>
      </c>
      <c r="P56" t="e">
        <f>IF($A56="","",IF(COUNTIFS('Player Rounds'!$A$2:$A$401,$A56,'Player Rounds'!$B$2:$B$401,$B56,'Player Rounds'!$J$2:$J$401,"&gt;0")=0,"",SIGN(_xlfn.MINIFS('Player Rounds'!$AD$2:$AD$401,'Player Rounds'!$A$2:$A$401,$A56,'Player Rounds'!$B$2:$B$401,$B56,'Player Rounds'!$C$2:$C$401,$D56)-_xlfn.MINIFS('Player Rounds'!$AD$2:$AD$401,'Player Rounds'!$A$2:$A$401,$A56,'Player Rounds'!$B$2:$B$401,$B56,'Player Rounds'!$C$2:$C$401,$C56))))</f>
      </c>
      <c r="Q56" t="e">
        <f>IF($A56="","",IF(COUNTIFS('Player Rounds'!$A$2:$A$401,$A56,'Player Rounds'!$B$2:$B$401,$B56,'Player Rounds'!$K$2:$K$401,"&gt;0")=0,"",SIGN(_xlfn.MINIFS('Player Rounds'!$AE$2:$AE$401,'Player Rounds'!$A$2:$A$401,$A56,'Player Rounds'!$B$2:$B$401,$B56,'Player Rounds'!$C$2:$C$401,$D56)-_xlfn.MINIFS('Player Rounds'!$AE$2:$AE$401,'Player Rounds'!$A$2:$A$401,$A56,'Player Rounds'!$B$2:$B$401,$B56,'Player Rounds'!$C$2:$C$401,$C56))))</f>
      </c>
      <c r="R56" t="e">
        <f>IF($A56="","",IF(COUNTIFS('Player Rounds'!$A$2:$A$401,$A56,'Player Rounds'!$B$2:$B$401,$B56,'Player Rounds'!$L$2:$L$401,"&gt;0")=0,"",SIGN(_xlfn.MINIFS('Player Rounds'!$AF$2:$AF$401,'Player Rounds'!$A$2:$A$401,$A56,'Player Rounds'!$B$2:$B$401,$B56,'Player Rounds'!$C$2:$C$401,$D56)-_xlfn.MINIFS('Player Rounds'!$AF$2:$AF$401,'Player Rounds'!$A$2:$A$401,$A56,'Player Rounds'!$B$2:$B$401,$B56,'Player Rounds'!$C$2:$C$401,$C56))))</f>
      </c>
      <c r="S56" t="e">
        <f>IF($A56="","",IF(COUNTIFS('Player Rounds'!$A$2:$A$401,$A56,'Player Rounds'!$B$2:$B$401,$B56,'Player Rounds'!$M$2:$M$401,"&gt;0")=0,"",SIGN(_xlfn.MINIFS('Player Rounds'!$AG$2:$AG$401,'Player Rounds'!$A$2:$A$401,$A56,'Player Rounds'!$B$2:$B$401,$B56,'Player Rounds'!$C$2:$C$401,$D56)-_xlfn.MINIFS('Player Rounds'!$AG$2:$AG$401,'Player Rounds'!$A$2:$A$401,$A56,'Player Rounds'!$B$2:$B$401,$B56,'Player Rounds'!$C$2:$C$401,$C56))))</f>
      </c>
      <c r="T56" t="e">
        <f>IF($A56="","",IF(COUNTIFS('Player Rounds'!$A$2:$A$401,$A56,'Player Rounds'!$B$2:$B$401,$B56,'Player Rounds'!$N$2:$N$401,"&gt;0")=0,"",SIGN(_xlfn.MINIFS('Player Rounds'!$AH$2:$AH$401,'Player Rounds'!$A$2:$A$401,$A56,'Player Rounds'!$B$2:$B$401,$B56,'Player Rounds'!$C$2:$C$401,$D56)-_xlfn.MINIFS('Player Rounds'!$AH$2:$AH$401,'Player Rounds'!$A$2:$A$401,$A56,'Player Rounds'!$B$2:$B$401,$B56,'Player Rounds'!$C$2:$C$401,$C56))))</f>
      </c>
      <c r="U56" t="e">
        <f>IF($A56="","",IF(COUNTIFS('Player Rounds'!$A$2:$A$401,$A56,'Player Rounds'!$B$2:$B$401,$B56,'Player Rounds'!$O$2:$O$401,"&gt;0")=0,"",SIGN(_xlfn.MINIFS('Player Rounds'!$AI$2:$AI$401,'Player Rounds'!$A$2:$A$401,$A56,'Player Rounds'!$B$2:$B$401,$B56,'Player Rounds'!$C$2:$C$401,$D56)-_xlfn.MINIFS('Player Rounds'!$AI$2:$AI$401,'Player Rounds'!$A$2:$A$401,$A56,'Player Rounds'!$B$2:$B$401,$B56,'Player Rounds'!$C$2:$C$401,$C56))))</f>
      </c>
      <c r="V56" t="e">
        <f>IF($A56="","",IF(COUNTIFS('Player Rounds'!$A$2:$A$401,$A56,'Player Rounds'!$B$2:$B$401,$B56,'Player Rounds'!$P$2:$P$401,"&gt;0")=0,"",SIGN(_xlfn.MINIFS('Player Rounds'!$AJ$2:$AJ$401,'Player Rounds'!$A$2:$A$401,$A56,'Player Rounds'!$B$2:$B$401,$B56,'Player Rounds'!$C$2:$C$401,$D56)-_xlfn.MINIFS('Player Rounds'!$AJ$2:$AJ$401,'Player Rounds'!$A$2:$A$401,$A56,'Player Rounds'!$B$2:$B$401,$B56,'Player Rounds'!$C$2:$C$401,$C56))))</f>
      </c>
      <c r="W56" t="e">
        <f>IF($A56="","",IF(COUNTIFS('Player Rounds'!$A$2:$A$401,$A56,'Player Rounds'!$B$2:$B$401,$B56,'Player Rounds'!$Q$2:$Q$401,"&gt;0")=0,"",SIGN(_xlfn.MINIFS('Player Rounds'!$AK$2:$AK$401,'Player Rounds'!$A$2:$A$401,$A56,'Player Rounds'!$B$2:$B$401,$B56,'Player Rounds'!$C$2:$C$401,$D56)-_xlfn.MINIFS('Player Rounds'!$AK$2:$AK$401,'Player Rounds'!$A$2:$A$401,$A56,'Player Rounds'!$B$2:$B$401,$B56,'Player Rounds'!$C$2:$C$401,$C56))))</f>
      </c>
      <c r="X56" t="e">
        <f>IF($A56="","",IF(COUNTIFS('Player Rounds'!$A$2:$A$401,$A56,'Player Rounds'!$B$2:$B$401,$B56,'Player Rounds'!$R$2:$R$401,"&gt;0")=0,"",SIGN(_xlfn.MINIFS('Player Rounds'!$AL$2:$AL$401,'Player Rounds'!$A$2:$A$401,$A56,'Player Rounds'!$B$2:$B$401,$B56,'Player Rounds'!$C$2:$C$401,$D56)-_xlfn.MINIFS('Player Rounds'!$AL$2:$AL$401,'Player Rounds'!$A$2:$A$401,$A56,'Player Rounds'!$B$2:$B$401,$B56,'Player Rounds'!$C$2:$C$401,$C56))))</f>
      </c>
      <c r="Y56" t="e">
        <f>IF($A56="","",IF(COUNTIFS('Player Rounds'!$A$2:$A$401,$A56,'Player Rounds'!$B$2:$B$401,$B56,'Player Rounds'!$S$2:$S$401,"&gt;0")=0,"",SIGN(_xlfn.MINIFS('Player Rounds'!$AM$2:$AM$401,'Player Rounds'!$A$2:$A$401,$A56,'Player Rounds'!$B$2:$B$401,$B56,'Player Rounds'!$C$2:$C$401,$D56)-_xlfn.MINIFS('Player Rounds'!$AM$2:$AM$401,'Player Rounds'!$A$2:$A$401,$A56,'Player Rounds'!$B$2:$B$401,$B56,'Player Rounds'!$C$2:$C$401,$C56))))</f>
      </c>
      <c r="Z56" t="e">
        <f>IF($A56="","",IF(COUNTIFS('Player Rounds'!$A$2:$A$401,$A56,'Player Rounds'!$B$2:$B$401,$B56,'Player Rounds'!$T$2:$T$401,"&gt;0")=0,"",SIGN(_xlfn.MINIFS('Player Rounds'!$AN$2:$AN$401,'Player Rounds'!$A$2:$A$401,$A56,'Player Rounds'!$B$2:$B$401,$B56,'Player Rounds'!$C$2:$C$401,$D56)-_xlfn.MINIFS('Player Rounds'!$AN$2:$AN$401,'Player Rounds'!$A$2:$A$401,$A56,'Player Rounds'!$B$2:$B$401,$B56,'Player Rounds'!$C$2:$C$401,$C56))))</f>
      </c>
      <c r="AA56" t="e">
        <f>IF($A56="","",IF(COUNTIFS('Player Rounds'!$A$2:$A$401,$A56,'Player Rounds'!$B$2:$B$401,$B56,'Player Rounds'!$U$2:$U$401,"&gt;0")=0,"",SIGN(_xlfn.MINIFS('Player Rounds'!$AO$2:$AO$401,'Player Rounds'!$A$2:$A$401,$A56,'Player Rounds'!$B$2:$B$401,$B56,'Player Rounds'!$C$2:$C$401,$D56)-_xlfn.MINIFS('Player Rounds'!$AO$2:$AO$401,'Player Rounds'!$A$2:$A$401,$A56,'Player Rounds'!$B$2:$B$401,$B56,'Player Rounds'!$C$2:$C$401,$C56))))</f>
      </c>
      <c r="AB56" t="e">
        <f>IF($A56="","",IF(COUNTIFS('Player Rounds'!$A$2:$A$401,$A56,'Player Rounds'!$B$2:$B$401,$B56,'Player Rounds'!$V$2:$V$401,"&gt;0")=0,"",SIGN(_xlfn.MINIFS('Player Rounds'!$AP$2:$AP$401,'Player Rounds'!$A$2:$A$401,$A56,'Player Rounds'!$B$2:$B$401,$B56,'Player Rounds'!$C$2:$C$401,$D56)-_xlfn.MINIFS('Player Rounds'!$AP$2:$AP$401,'Player Rounds'!$A$2:$A$401,$A56,'Player Rounds'!$B$2:$B$401,$B56,'Player Rounds'!$C$2:$C$401,$C56))))</f>
      </c>
      <c r="AC56" t="e">
        <f>IF($A56="","",IF(COUNTIFS('Player Rounds'!$A$2:$A$401,$A56,'Player Rounds'!$B$2:$B$401,$B56,'Player Rounds'!$W$2:$W$401,"&gt;0")=0,"",SIGN(_xlfn.MINIFS('Player Rounds'!$AQ$2:$AQ$401,'Player Rounds'!$A$2:$A$401,$A56,'Player Rounds'!$B$2:$B$401,$B56,'Player Rounds'!$C$2:$C$401,$D56)-_xlfn.MINIFS('Player Rounds'!$AQ$2:$AQ$401,'Player Rounds'!$A$2:$A$401,$A56,'Player Rounds'!$B$2:$B$401,$B56,'Player Rounds'!$C$2:$C$401,$C56))))</f>
      </c>
      <c r="AD56" t="e">
        <f>IF($A56="","",SUM($L56:L56))</f>
      </c>
      <c r="AE56" t="e">
        <f>IF($A56="","",SUM($L56:M56))</f>
      </c>
      <c r="AF56" t="e">
        <f>IF($A56="","",SUM($L56:N56))</f>
      </c>
      <c r="AG56" t="e">
        <f>IF($A56="","",SUM($L56:O56))</f>
      </c>
      <c r="AH56" t="e">
        <f>IF($A56="","",SUM($L56:P56))</f>
      </c>
      <c r="AI56" t="e">
        <f>IF($A56="","",SUM($L56:Q56))</f>
      </c>
      <c r="AJ56" t="e">
        <f>IF($A56="","",SUM($L56:R56))</f>
      </c>
      <c r="AK56" t="e">
        <f>IF($A56="","",SUM($L56:S56))</f>
      </c>
      <c r="AL56" t="e">
        <f>IF($A56="","",SUM($L56:T56))</f>
      </c>
      <c r="AM56" t="e">
        <f>IF($A56="","",SUM($L56:U56))</f>
      </c>
      <c r="AN56" t="e">
        <f>IF($A56="","",SUM($L56:V56))</f>
      </c>
      <c r="AO56" t="e">
        <f>IF($A56="","",SUM($L56:W56))</f>
      </c>
      <c r="AP56" t="e">
        <f>IF($A56="","",SUM($L56:X56))</f>
      </c>
      <c r="AQ56" t="e">
        <f>IF($A56="","",SUM($L56:Y56))</f>
      </c>
      <c r="AR56" t="e">
        <f>IF($A56="","",SUM($L56:Z56))</f>
      </c>
      <c r="AS56" t="e">
        <f>IF($A56="","",SUM($L56:AA56))</f>
      </c>
      <c r="AT56" t="e">
        <f>IF($A56="","",SUM($L56:AB56))</f>
      </c>
      <c r="AU56" t="e">
        <f>IF($A56="","",SUM($L56:AC56))</f>
      </c>
      <c r="AV56" t="e">
        <f>IF(OR($A56="",L56=""),"",IF(ABS(AD56)&gt;17,1,""))</f>
      </c>
      <c r="AW56" t="e">
        <f>IF(OR($A56="",M56=""),"",IF(ABS(AE56)&gt;16,2,""))</f>
      </c>
      <c r="AX56" t="e">
        <f>IF(OR($A56="",N56=""),"",IF(ABS(AF56)&gt;15,3,""))</f>
      </c>
      <c r="AY56" t="e">
        <f>IF(OR($A56="",O56=""),"",IF(ABS(AG56)&gt;14,4,""))</f>
      </c>
      <c r="AZ56" t="e">
        <f>IF(OR($A56="",P56=""),"",IF(ABS(AH56)&gt;13,5,""))</f>
      </c>
      <c r="BA56" t="e">
        <f>IF(OR($A56="",Q56=""),"",IF(ABS(AI56)&gt;12,6,""))</f>
      </c>
      <c r="BB56" t="e">
        <f>IF(OR($A56="",R56=""),"",IF(ABS(AJ56)&gt;11,7,""))</f>
      </c>
      <c r="BC56" t="e">
        <f>IF(OR($A56="",S56=""),"",IF(ABS(AK56)&gt;10,8,""))</f>
      </c>
      <c r="BD56" t="e">
        <f>IF(OR($A56="",T56=""),"",IF(ABS(AL56)&gt;9,9,""))</f>
      </c>
      <c r="BE56" t="e">
        <f>IF(OR($A56="",U56=""),"",IF(ABS(AM56)&gt;8,10,""))</f>
      </c>
      <c r="BF56" t="e">
        <f>IF(OR($A56="",V56=""),"",IF(ABS(AN56)&gt;7,11,""))</f>
      </c>
      <c r="BG56" t="e">
        <f>IF(OR($A56="",W56=""),"",IF(ABS(AO56)&gt;6,12,""))</f>
      </c>
      <c r="BH56" t="e">
        <f>IF(OR($A56="",X56=""),"",IF(ABS(AP56)&gt;5,13,""))</f>
      </c>
      <c r="BI56" t="e">
        <f>IF(OR($A56="",Y56=""),"",IF(ABS(AQ56)&gt;4,14,""))</f>
      </c>
      <c r="BJ56" t="e">
        <f>IF(OR($A56="",Z56=""),"",IF(ABS(AR56)&gt;3,15,""))</f>
      </c>
      <c r="BK56" t="e">
        <f>IF(OR($A56="",AA56=""),"",IF(ABS(AS56)&gt;2,16,""))</f>
      </c>
      <c r="BL56" t="e">
        <f>IF(OR($A56="",AB56=""),"",IF(ABS(AT56)&gt;1,17,""))</f>
      </c>
      <c r="BM56" t="e">
        <f>IF(OR($A56="",AC56=""),"",IF(ABS(AU56)&gt;0,18,""))</f>
      </c>
    </row>
    <row r="57">
      <c r="C57" t="str">
        <f>IF($A57="","",INDEX('Tournament Setup'!$J:$J,MATCH($A57,'Tournament Setup'!$A:$A,0)))</f>
        <v/>
      </c>
      <c r="D57" t="str">
        <f>IF($A57="","",INDEX('Tournament Setup'!$K:$K,MATCH($A57,'Tournament Setup'!$A:$A,0)))</f>
        <v/>
      </c>
      <c r="E57" t="str">
        <f>IF($A57="","",IF(COUNT(L57:AC57)=0,"Not played",IF(AND($K57&gt;0,$K57&lt;18),IF(INDEX(AD57:AU57,1,$K57)&gt;0,$C57,$D57)&amp;" "&amp;ABS(INDEX(AD57:AU57,1,$K57))&amp;"&amp;"&amp;(18-$K57),IF($J57=0,"Halved (AS)",IF($J57&gt;0,$C57,$D57)&amp;" "&amp;ABS($J57)&amp;" UP"))))</f>
        <v/>
      </c>
      <c r="F57" t="e">
        <f>IF(OR($A57="",COUNT(L57:AC57)=0),"",INDEX('Tournament Setup'!$I:$I,MATCH($A57,'Tournament Setup'!$A:$A,0))*IF(INDEX('Tournament Setup'!$H:$H,MATCH($A57,'Tournament Setup'!$A:$A,0))="Yes",IF($H57&gt;0,1,IF($H57=0,0.5,0))+IF($I57&gt;0,1,IF($I57=0,0.5,0))+IF($J57&gt;0,1,IF($J57=0,0.5,0)),IF(IF(AND($K57&gt;0,$K57&lt;18),INDEX(AD57:AU57,1,$K57),$J57)&gt;0,1,IF(IF(AND($K57&gt;0,$K57&lt;18),INDEX(AD57:AU57,1,$K57),$J57)=0,0.5,0))))</f>
      </c>
      <c r="G57" t="e">
        <f>IF(OR($A57="",COUNT(L57:AC57)=0),"",INDEX('Tournament Setup'!$I:$I,MATCH($A57,'Tournament Setup'!$A:$A,0))*IF(INDEX('Tournament Setup'!$H:$H,MATCH($A57,'Tournament Setup'!$A:$A,0))="Yes",IF($H57&lt;0,1,IF($H57=0,0.5,0))+IF($I57&lt;0,1,IF($I57=0,0.5,0))+IF($J57&lt;0,1,IF($J57=0,0.5,0)),IF(IF(AND($K57&gt;0,$K57&lt;18),INDEX(AD57:AU57,1,$K57),$J57)&lt;0,1,IF(IF(AND($K57&gt;0,$K57&lt;18),INDEX(AD57:AU57,1,$K57),$J57)=0,0.5,0))))</f>
      </c>
      <c r="H57" t="e">
        <f>IF($A57="","",SUM(L57:T57))</f>
      </c>
      <c r="I57" t="e">
        <f>IF($A57="","",SUM(U57:AC57))</f>
      </c>
      <c r="J57" t="e">
        <f>IF($A57="","",SUM(L57:AC57))</f>
      </c>
      <c r="K57" t="e">
        <f>IF($A57="","",MIN(AV57:BM57))</f>
      </c>
      <c r="L57" t="e">
        <f>IF($A57="","",IF(COUNTIFS('Player Rounds'!$A$2:$A$401,$A57,'Player Rounds'!$B$2:$B$401,$B57,'Player Rounds'!$F$2:$F$401,"&gt;0")=0,"",SIGN(_xlfn.MINIFS('Player Rounds'!$Z$2:$Z$401,'Player Rounds'!$A$2:$A$401,$A57,'Player Rounds'!$B$2:$B$401,$B57,'Player Rounds'!$C$2:$C$401,$D57)-_xlfn.MINIFS('Player Rounds'!$Z$2:$Z$401,'Player Rounds'!$A$2:$A$401,$A57,'Player Rounds'!$B$2:$B$401,$B57,'Player Rounds'!$C$2:$C$401,$C57))))</f>
      </c>
      <c r="M57" t="e">
        <f>IF($A57="","",IF(COUNTIFS('Player Rounds'!$A$2:$A$401,$A57,'Player Rounds'!$B$2:$B$401,$B57,'Player Rounds'!$G$2:$G$401,"&gt;0")=0,"",SIGN(_xlfn.MINIFS('Player Rounds'!$AA$2:$AA$401,'Player Rounds'!$A$2:$A$401,$A57,'Player Rounds'!$B$2:$B$401,$B57,'Player Rounds'!$C$2:$C$401,$D57)-_xlfn.MINIFS('Player Rounds'!$AA$2:$AA$401,'Player Rounds'!$A$2:$A$401,$A57,'Player Rounds'!$B$2:$B$401,$B57,'Player Rounds'!$C$2:$C$401,$C57))))</f>
      </c>
      <c r="N57" t="e">
        <f>IF($A57="","",IF(COUNTIFS('Player Rounds'!$A$2:$A$401,$A57,'Player Rounds'!$B$2:$B$401,$B57,'Player Rounds'!$H$2:$H$401,"&gt;0")=0,"",SIGN(_xlfn.MINIFS('Player Rounds'!$AB$2:$AB$401,'Player Rounds'!$A$2:$A$401,$A57,'Player Rounds'!$B$2:$B$401,$B57,'Player Rounds'!$C$2:$C$401,$D57)-_xlfn.MINIFS('Player Rounds'!$AB$2:$AB$401,'Player Rounds'!$A$2:$A$401,$A57,'Player Rounds'!$B$2:$B$401,$B57,'Player Rounds'!$C$2:$C$401,$C57))))</f>
      </c>
      <c r="O57" t="e">
        <f>IF($A57="","",IF(COUNTIFS('Player Rounds'!$A$2:$A$401,$A57,'Player Rounds'!$B$2:$B$401,$B57,'Player Rounds'!$I$2:$I$401,"&gt;0")=0,"",SIGN(_xlfn.MINIFS('Player Rounds'!$AC$2:$AC$401,'Player Rounds'!$A$2:$A$401,$A57,'Player Rounds'!$B$2:$B$401,$B57,'Player Rounds'!$C$2:$C$401,$D57)-_xlfn.MINIFS('Player Rounds'!$AC$2:$AC$401,'Player Rounds'!$A$2:$A$401,$A57,'Player Rounds'!$B$2:$B$401,$B57,'Player Rounds'!$C$2:$C$401,$C57))))</f>
      </c>
      <c r="P57" t="e">
        <f>IF($A57="","",IF(COUNTIFS('Player Rounds'!$A$2:$A$401,$A57,'Player Rounds'!$B$2:$B$401,$B57,'Player Rounds'!$J$2:$J$401,"&gt;0")=0,"",SIGN(_xlfn.MINIFS('Player Rounds'!$AD$2:$AD$401,'Player Rounds'!$A$2:$A$401,$A57,'Player Rounds'!$B$2:$B$401,$B57,'Player Rounds'!$C$2:$C$401,$D57)-_xlfn.MINIFS('Player Rounds'!$AD$2:$AD$401,'Player Rounds'!$A$2:$A$401,$A57,'Player Rounds'!$B$2:$B$401,$B57,'Player Rounds'!$C$2:$C$401,$C57))))</f>
      </c>
      <c r="Q57" t="e">
        <f>IF($A57="","",IF(COUNTIFS('Player Rounds'!$A$2:$A$401,$A57,'Player Rounds'!$B$2:$B$401,$B57,'Player Rounds'!$K$2:$K$401,"&gt;0")=0,"",SIGN(_xlfn.MINIFS('Player Rounds'!$AE$2:$AE$401,'Player Rounds'!$A$2:$A$401,$A57,'Player Rounds'!$B$2:$B$401,$B57,'Player Rounds'!$C$2:$C$401,$D57)-_xlfn.MINIFS('Player Rounds'!$AE$2:$AE$401,'Player Rounds'!$A$2:$A$401,$A57,'Player Rounds'!$B$2:$B$401,$B57,'Player Rounds'!$C$2:$C$401,$C57))))</f>
      </c>
      <c r="R57" t="e">
        <f>IF($A57="","",IF(COUNTIFS('Player Rounds'!$A$2:$A$401,$A57,'Player Rounds'!$B$2:$B$401,$B57,'Player Rounds'!$L$2:$L$401,"&gt;0")=0,"",SIGN(_xlfn.MINIFS('Player Rounds'!$AF$2:$AF$401,'Player Rounds'!$A$2:$A$401,$A57,'Player Rounds'!$B$2:$B$401,$B57,'Player Rounds'!$C$2:$C$401,$D57)-_xlfn.MINIFS('Player Rounds'!$AF$2:$AF$401,'Player Rounds'!$A$2:$A$401,$A57,'Player Rounds'!$B$2:$B$401,$B57,'Player Rounds'!$C$2:$C$401,$C57))))</f>
      </c>
      <c r="S57" t="e">
        <f>IF($A57="","",IF(COUNTIFS('Player Rounds'!$A$2:$A$401,$A57,'Player Rounds'!$B$2:$B$401,$B57,'Player Rounds'!$M$2:$M$401,"&gt;0")=0,"",SIGN(_xlfn.MINIFS('Player Rounds'!$AG$2:$AG$401,'Player Rounds'!$A$2:$A$401,$A57,'Player Rounds'!$B$2:$B$401,$B57,'Player Rounds'!$C$2:$C$401,$D57)-_xlfn.MINIFS('Player Rounds'!$AG$2:$AG$401,'Player Rounds'!$A$2:$A$401,$A57,'Player Rounds'!$B$2:$B$401,$B57,'Player Rounds'!$C$2:$C$401,$C57))))</f>
      </c>
      <c r="T57" t="e">
        <f>IF($A57="","",IF(COUNTIFS('Player Rounds'!$A$2:$A$401,$A57,'Player Rounds'!$B$2:$B$401,$B57,'Player Rounds'!$N$2:$N$401,"&gt;0")=0,"",SIGN(_xlfn.MINIFS('Player Rounds'!$AH$2:$AH$401,'Player Rounds'!$A$2:$A$401,$A57,'Player Rounds'!$B$2:$B$401,$B57,'Player Rounds'!$C$2:$C$401,$D57)-_xlfn.MINIFS('Player Rounds'!$AH$2:$AH$401,'Player Rounds'!$A$2:$A$401,$A57,'Player Rounds'!$B$2:$B$401,$B57,'Player Rounds'!$C$2:$C$401,$C57))))</f>
      </c>
      <c r="U57" t="e">
        <f>IF($A57="","",IF(COUNTIFS('Player Rounds'!$A$2:$A$401,$A57,'Player Rounds'!$B$2:$B$401,$B57,'Player Rounds'!$O$2:$O$401,"&gt;0")=0,"",SIGN(_xlfn.MINIFS('Player Rounds'!$AI$2:$AI$401,'Player Rounds'!$A$2:$A$401,$A57,'Player Rounds'!$B$2:$B$401,$B57,'Player Rounds'!$C$2:$C$401,$D57)-_xlfn.MINIFS('Player Rounds'!$AI$2:$AI$401,'Player Rounds'!$A$2:$A$401,$A57,'Player Rounds'!$B$2:$B$401,$B57,'Player Rounds'!$C$2:$C$401,$C57))))</f>
      </c>
      <c r="V57" t="e">
        <f>IF($A57="","",IF(COUNTIFS('Player Rounds'!$A$2:$A$401,$A57,'Player Rounds'!$B$2:$B$401,$B57,'Player Rounds'!$P$2:$P$401,"&gt;0")=0,"",SIGN(_xlfn.MINIFS('Player Rounds'!$AJ$2:$AJ$401,'Player Rounds'!$A$2:$A$401,$A57,'Player Rounds'!$B$2:$B$401,$B57,'Player Rounds'!$C$2:$C$401,$D57)-_xlfn.MINIFS('Player Rounds'!$AJ$2:$AJ$401,'Player Rounds'!$A$2:$A$401,$A57,'Player Rounds'!$B$2:$B$401,$B57,'Player Rounds'!$C$2:$C$401,$C57))))</f>
      </c>
      <c r="W57" t="e">
        <f>IF($A57="","",IF(COUNTIFS('Player Rounds'!$A$2:$A$401,$A57,'Player Rounds'!$B$2:$B$401,$B57,'Player Rounds'!$Q$2:$Q$401,"&gt;0")=0,"",SIGN(_xlfn.MINIFS('Player Rounds'!$AK$2:$AK$401,'Player Rounds'!$A$2:$A$401,$A57,'Player Rounds'!$B$2:$B$401,$B57,'Player Rounds'!$C$2:$C$401,$D57)-_xlfn.MINIFS('Player Rounds'!$AK$2:$AK$401,'Player Rounds'!$A$2:$A$401,$A57,'Player Rounds'!$B$2:$B$401,$B57,'Player Rounds'!$C$2:$C$401,$C57))))</f>
      </c>
      <c r="X57" t="e">
        <f>IF($A57="","",IF(COUNTIFS('Player Rounds'!$A$2:$A$401,$A57,'Player Rounds'!$B$2:$B$401,$B57,'Player Rounds'!$R$2:$R$401,"&gt;0")=0,"",SIGN(_xlfn.MINIFS('Player Rounds'!$AL$2:$AL$401,'Player Rounds'!$A$2:$A$401,$A57,'Player Rounds'!$B$2:$B$401,$B57,'Player Rounds'!$C$2:$C$401,$D57)-_xlfn.MINIFS('Player Rounds'!$AL$2:$AL$401,'Player Rounds'!$A$2:$A$401,$A57,'Player Rounds'!$B$2:$B$401,$B57,'Player Rounds'!$C$2:$C$401,$C57))))</f>
      </c>
      <c r="Y57" t="e">
        <f>IF($A57="","",IF(COUNTIFS('Player Rounds'!$A$2:$A$401,$A57,'Player Rounds'!$B$2:$B$401,$B57,'Player Rounds'!$S$2:$S$401,"&gt;0")=0,"",SIGN(_xlfn.MINIFS('Player Rounds'!$AM$2:$AM$401,'Player Rounds'!$A$2:$A$401,$A57,'Player Rounds'!$B$2:$B$401,$B57,'Player Rounds'!$C$2:$C$401,$D57)-_xlfn.MINIFS('Player Rounds'!$AM$2:$AM$401,'Player Rounds'!$A$2:$A$401,$A57,'Player Rounds'!$B$2:$B$401,$B57,'Player Rounds'!$C$2:$C$401,$C57))))</f>
      </c>
      <c r="Z57" t="e">
        <f>IF($A57="","",IF(COUNTIFS('Player Rounds'!$A$2:$A$401,$A57,'Player Rounds'!$B$2:$B$401,$B57,'Player Rounds'!$T$2:$T$401,"&gt;0")=0,"",SIGN(_xlfn.MINIFS('Player Rounds'!$AN$2:$AN$401,'Player Rounds'!$A$2:$A$401,$A57,'Player Rounds'!$B$2:$B$401,$B57,'Player Rounds'!$C$2:$C$401,$D57)-_xlfn.MINIFS('Player Rounds'!$AN$2:$AN$401,'Player Rounds'!$A$2:$A$401,$A57,'Player Rounds'!$B$2:$B$401,$B57,'Player Rounds'!$C$2:$C$401,$C57))))</f>
      </c>
      <c r="AA57" t="e">
        <f>IF($A57="","",IF(COUNTIFS('Player Rounds'!$A$2:$A$401,$A57,'Player Rounds'!$B$2:$B$401,$B57,'Player Rounds'!$U$2:$U$401,"&gt;0")=0,"",SIGN(_xlfn.MINIFS('Player Rounds'!$AO$2:$AO$401,'Player Rounds'!$A$2:$A$401,$A57,'Player Rounds'!$B$2:$B$401,$B57,'Player Rounds'!$C$2:$C$401,$D57)-_xlfn.MINIFS('Player Rounds'!$AO$2:$AO$401,'Player Rounds'!$A$2:$A$401,$A57,'Player Rounds'!$B$2:$B$401,$B57,'Player Rounds'!$C$2:$C$401,$C57))))</f>
      </c>
      <c r="AB57" t="e">
        <f>IF($A57="","",IF(COUNTIFS('Player Rounds'!$A$2:$A$401,$A57,'Player Rounds'!$B$2:$B$401,$B57,'Player Rounds'!$V$2:$V$401,"&gt;0")=0,"",SIGN(_xlfn.MINIFS('Player Rounds'!$AP$2:$AP$401,'Player Rounds'!$A$2:$A$401,$A57,'Player Rounds'!$B$2:$B$401,$B57,'Player Rounds'!$C$2:$C$401,$D57)-_xlfn.MINIFS('Player Rounds'!$AP$2:$AP$401,'Player Rounds'!$A$2:$A$401,$A57,'Player Rounds'!$B$2:$B$401,$B57,'Player Rounds'!$C$2:$C$401,$C57))))</f>
      </c>
      <c r="AC57" t="e">
        <f>IF($A57="","",IF(COUNTIFS('Player Rounds'!$A$2:$A$401,$A57,'Player Rounds'!$B$2:$B$401,$B57,'Player Rounds'!$W$2:$W$401,"&gt;0")=0,"",SIGN(_xlfn.MINIFS('Player Rounds'!$AQ$2:$AQ$401,'Player Rounds'!$A$2:$A$401,$A57,'Player Rounds'!$B$2:$B$401,$B57,'Player Rounds'!$C$2:$C$401,$D57)-_xlfn.MINIFS('Player Rounds'!$AQ$2:$AQ$401,'Player Rounds'!$A$2:$A$401,$A57,'Player Rounds'!$B$2:$B$401,$B57,'Player Rounds'!$C$2:$C$401,$C57))))</f>
      </c>
      <c r="AD57" t="e">
        <f>IF($A57="","",SUM($L57:L57))</f>
      </c>
      <c r="AE57" t="e">
        <f>IF($A57="","",SUM($L57:M57))</f>
      </c>
      <c r="AF57" t="e">
        <f>IF($A57="","",SUM($L57:N57))</f>
      </c>
      <c r="AG57" t="e">
        <f>IF($A57="","",SUM($L57:O57))</f>
      </c>
      <c r="AH57" t="e">
        <f>IF($A57="","",SUM($L57:P57))</f>
      </c>
      <c r="AI57" t="e">
        <f>IF($A57="","",SUM($L57:Q57))</f>
      </c>
      <c r="AJ57" t="e">
        <f>IF($A57="","",SUM($L57:R57))</f>
      </c>
      <c r="AK57" t="e">
        <f>IF($A57="","",SUM($L57:S57))</f>
      </c>
      <c r="AL57" t="e">
        <f>IF($A57="","",SUM($L57:T57))</f>
      </c>
      <c r="AM57" t="e">
        <f>IF($A57="","",SUM($L57:U57))</f>
      </c>
      <c r="AN57" t="e">
        <f>IF($A57="","",SUM($L57:V57))</f>
      </c>
      <c r="AO57" t="e">
        <f>IF($A57="","",SUM($L57:W57))</f>
      </c>
      <c r="AP57" t="e">
        <f>IF($A57="","",SUM($L57:X57))</f>
      </c>
      <c r="AQ57" t="e">
        <f>IF($A57="","",SUM($L57:Y57))</f>
      </c>
      <c r="AR57" t="e">
        <f>IF($A57="","",SUM($L57:Z57))</f>
      </c>
      <c r="AS57" t="e">
        <f>IF($A57="","",SUM($L57:AA57))</f>
      </c>
      <c r="AT57" t="e">
        <f>IF($A57="","",SUM($L57:AB57))</f>
      </c>
      <c r="AU57" t="e">
        <f>IF($A57="","",SUM($L57:AC57))</f>
      </c>
      <c r="AV57" t="e">
        <f>IF(OR($A57="",L57=""),"",IF(ABS(AD57)&gt;17,1,""))</f>
      </c>
      <c r="AW57" t="e">
        <f>IF(OR($A57="",M57=""),"",IF(ABS(AE57)&gt;16,2,""))</f>
      </c>
      <c r="AX57" t="e">
        <f>IF(OR($A57="",N57=""),"",IF(ABS(AF57)&gt;15,3,""))</f>
      </c>
      <c r="AY57" t="e">
        <f>IF(OR($A57="",O57=""),"",IF(ABS(AG57)&gt;14,4,""))</f>
      </c>
      <c r="AZ57" t="e">
        <f>IF(OR($A57="",P57=""),"",IF(ABS(AH57)&gt;13,5,""))</f>
      </c>
      <c r="BA57" t="e">
        <f>IF(OR($A57="",Q57=""),"",IF(ABS(AI57)&gt;12,6,""))</f>
      </c>
      <c r="BB57" t="e">
        <f>IF(OR($A57="",R57=""),"",IF(ABS(AJ57)&gt;11,7,""))</f>
      </c>
      <c r="BC57" t="e">
        <f>IF(OR($A57="",S57=""),"",IF(ABS(AK57)&gt;10,8,""))</f>
      </c>
      <c r="BD57" t="e">
        <f>IF(OR($A57="",T57=""),"",IF(ABS(AL57)&gt;9,9,""))</f>
      </c>
      <c r="BE57" t="e">
        <f>IF(OR($A57="",U57=""),"",IF(ABS(AM57)&gt;8,10,""))</f>
      </c>
      <c r="BF57" t="e">
        <f>IF(OR($A57="",V57=""),"",IF(ABS(AN57)&gt;7,11,""))</f>
      </c>
      <c r="BG57" t="e">
        <f>IF(OR($A57="",W57=""),"",IF(ABS(AO57)&gt;6,12,""))</f>
      </c>
      <c r="BH57" t="e">
        <f>IF(OR($A57="",X57=""),"",IF(ABS(AP57)&gt;5,13,""))</f>
      </c>
      <c r="BI57" t="e">
        <f>IF(OR($A57="",Y57=""),"",IF(ABS(AQ57)&gt;4,14,""))</f>
      </c>
      <c r="BJ57" t="e">
        <f>IF(OR($A57="",Z57=""),"",IF(ABS(AR57)&gt;3,15,""))</f>
      </c>
      <c r="BK57" t="e">
        <f>IF(OR($A57="",AA57=""),"",IF(ABS(AS57)&gt;2,16,""))</f>
      </c>
      <c r="BL57" t="e">
        <f>IF(OR($A57="",AB57=""),"",IF(ABS(AT57)&gt;1,17,""))</f>
      </c>
      <c r="BM57" t="e">
        <f>IF(OR($A57="",AC57=""),"",IF(ABS(AU57)&gt;0,18,""))</f>
      </c>
    </row>
    <row r="58">
      <c r="C58" t="str">
        <f>IF($A58="","",INDEX('Tournament Setup'!$J:$J,MATCH($A58,'Tournament Setup'!$A:$A,0)))</f>
        <v/>
      </c>
      <c r="D58" t="str">
        <f>IF($A58="","",INDEX('Tournament Setup'!$K:$K,MATCH($A58,'Tournament Setup'!$A:$A,0)))</f>
        <v/>
      </c>
      <c r="E58" t="str">
        <f>IF($A58="","",IF(COUNT(L58:AC58)=0,"Not played",IF(AND($K58&gt;0,$K58&lt;18),IF(INDEX(AD58:AU58,1,$K58)&gt;0,$C58,$D58)&amp;" "&amp;ABS(INDEX(AD58:AU58,1,$K58))&amp;"&amp;"&amp;(18-$K58),IF($J58=0,"Halved (AS)",IF($J58&gt;0,$C58,$D58)&amp;" "&amp;ABS($J58)&amp;" UP"))))</f>
        <v/>
      </c>
      <c r="F58" t="e">
        <f>IF(OR($A58="",COUNT(L58:AC58)=0),"",INDEX('Tournament Setup'!$I:$I,MATCH($A58,'Tournament Setup'!$A:$A,0))*IF(INDEX('Tournament Setup'!$H:$H,MATCH($A58,'Tournament Setup'!$A:$A,0))="Yes",IF($H58&gt;0,1,IF($H58=0,0.5,0))+IF($I58&gt;0,1,IF($I58=0,0.5,0))+IF($J58&gt;0,1,IF($J58=0,0.5,0)),IF(IF(AND($K58&gt;0,$K58&lt;18),INDEX(AD58:AU58,1,$K58),$J58)&gt;0,1,IF(IF(AND($K58&gt;0,$K58&lt;18),INDEX(AD58:AU58,1,$K58),$J58)=0,0.5,0))))</f>
      </c>
      <c r="G58" t="e">
        <f>IF(OR($A58="",COUNT(L58:AC58)=0),"",INDEX('Tournament Setup'!$I:$I,MATCH($A58,'Tournament Setup'!$A:$A,0))*IF(INDEX('Tournament Setup'!$H:$H,MATCH($A58,'Tournament Setup'!$A:$A,0))="Yes",IF($H58&lt;0,1,IF($H58=0,0.5,0))+IF($I58&lt;0,1,IF($I58=0,0.5,0))+IF($J58&lt;0,1,IF($J58=0,0.5,0)),IF(IF(AND($K58&gt;0,$K58&lt;18),INDEX(AD58:AU58,1,$K58),$J58)&lt;0,1,IF(IF(AND($K58&gt;0,$K58&lt;18),INDEX(AD58:AU58,1,$K58),$J58)=0,0.5,0))))</f>
      </c>
      <c r="H58" t="e">
        <f>IF($A58="","",SUM(L58:T58))</f>
      </c>
      <c r="I58" t="e">
        <f>IF($A58="","",SUM(U58:AC58))</f>
      </c>
      <c r="J58" t="e">
        <f>IF($A58="","",SUM(L58:AC58))</f>
      </c>
      <c r="K58" t="e">
        <f>IF($A58="","",MIN(AV58:BM58))</f>
      </c>
      <c r="L58" t="e">
        <f>IF($A58="","",IF(COUNTIFS('Player Rounds'!$A$2:$A$401,$A58,'Player Rounds'!$B$2:$B$401,$B58,'Player Rounds'!$F$2:$F$401,"&gt;0")=0,"",SIGN(_xlfn.MINIFS('Player Rounds'!$Z$2:$Z$401,'Player Rounds'!$A$2:$A$401,$A58,'Player Rounds'!$B$2:$B$401,$B58,'Player Rounds'!$C$2:$C$401,$D58)-_xlfn.MINIFS('Player Rounds'!$Z$2:$Z$401,'Player Rounds'!$A$2:$A$401,$A58,'Player Rounds'!$B$2:$B$401,$B58,'Player Rounds'!$C$2:$C$401,$C58))))</f>
      </c>
      <c r="M58" t="e">
        <f>IF($A58="","",IF(COUNTIFS('Player Rounds'!$A$2:$A$401,$A58,'Player Rounds'!$B$2:$B$401,$B58,'Player Rounds'!$G$2:$G$401,"&gt;0")=0,"",SIGN(_xlfn.MINIFS('Player Rounds'!$AA$2:$AA$401,'Player Rounds'!$A$2:$A$401,$A58,'Player Rounds'!$B$2:$B$401,$B58,'Player Rounds'!$C$2:$C$401,$D58)-_xlfn.MINIFS('Player Rounds'!$AA$2:$AA$401,'Player Rounds'!$A$2:$A$401,$A58,'Player Rounds'!$B$2:$B$401,$B58,'Player Rounds'!$C$2:$C$401,$C58))))</f>
      </c>
      <c r="N58" t="e">
        <f>IF($A58="","",IF(COUNTIFS('Player Rounds'!$A$2:$A$401,$A58,'Player Rounds'!$B$2:$B$401,$B58,'Player Rounds'!$H$2:$H$401,"&gt;0")=0,"",SIGN(_xlfn.MINIFS('Player Rounds'!$AB$2:$AB$401,'Player Rounds'!$A$2:$A$401,$A58,'Player Rounds'!$B$2:$B$401,$B58,'Player Rounds'!$C$2:$C$401,$D58)-_xlfn.MINIFS('Player Rounds'!$AB$2:$AB$401,'Player Rounds'!$A$2:$A$401,$A58,'Player Rounds'!$B$2:$B$401,$B58,'Player Rounds'!$C$2:$C$401,$C58))))</f>
      </c>
      <c r="O58" t="e">
        <f>IF($A58="","",IF(COUNTIFS('Player Rounds'!$A$2:$A$401,$A58,'Player Rounds'!$B$2:$B$401,$B58,'Player Rounds'!$I$2:$I$401,"&gt;0")=0,"",SIGN(_xlfn.MINIFS('Player Rounds'!$AC$2:$AC$401,'Player Rounds'!$A$2:$A$401,$A58,'Player Rounds'!$B$2:$B$401,$B58,'Player Rounds'!$C$2:$C$401,$D58)-_xlfn.MINIFS('Player Rounds'!$AC$2:$AC$401,'Player Rounds'!$A$2:$A$401,$A58,'Player Rounds'!$B$2:$B$401,$B58,'Player Rounds'!$C$2:$C$401,$C58))))</f>
      </c>
      <c r="P58" t="e">
        <f>IF($A58="","",IF(COUNTIFS('Player Rounds'!$A$2:$A$401,$A58,'Player Rounds'!$B$2:$B$401,$B58,'Player Rounds'!$J$2:$J$401,"&gt;0")=0,"",SIGN(_xlfn.MINIFS('Player Rounds'!$AD$2:$AD$401,'Player Rounds'!$A$2:$A$401,$A58,'Player Rounds'!$B$2:$B$401,$B58,'Player Rounds'!$C$2:$C$401,$D58)-_xlfn.MINIFS('Player Rounds'!$AD$2:$AD$401,'Player Rounds'!$A$2:$A$401,$A58,'Player Rounds'!$B$2:$B$401,$B58,'Player Rounds'!$C$2:$C$401,$C58))))</f>
      </c>
      <c r="Q58" t="e">
        <f>IF($A58="","",IF(COUNTIFS('Player Rounds'!$A$2:$A$401,$A58,'Player Rounds'!$B$2:$B$401,$B58,'Player Rounds'!$K$2:$K$401,"&gt;0")=0,"",SIGN(_xlfn.MINIFS('Player Rounds'!$AE$2:$AE$401,'Player Rounds'!$A$2:$A$401,$A58,'Player Rounds'!$B$2:$B$401,$B58,'Player Rounds'!$C$2:$C$401,$D58)-_xlfn.MINIFS('Player Rounds'!$AE$2:$AE$401,'Player Rounds'!$A$2:$A$401,$A58,'Player Rounds'!$B$2:$B$401,$B58,'Player Rounds'!$C$2:$C$401,$C58))))</f>
      </c>
      <c r="R58" t="e">
        <f>IF($A58="","",IF(COUNTIFS('Player Rounds'!$A$2:$A$401,$A58,'Player Rounds'!$B$2:$B$401,$B58,'Player Rounds'!$L$2:$L$401,"&gt;0")=0,"",SIGN(_xlfn.MINIFS('Player Rounds'!$AF$2:$AF$401,'Player Rounds'!$A$2:$A$401,$A58,'Player Rounds'!$B$2:$B$401,$B58,'Player Rounds'!$C$2:$C$401,$D58)-_xlfn.MINIFS('Player Rounds'!$AF$2:$AF$401,'Player Rounds'!$A$2:$A$401,$A58,'Player Rounds'!$B$2:$B$401,$B58,'Player Rounds'!$C$2:$C$401,$C58))))</f>
      </c>
      <c r="S58" t="e">
        <f>IF($A58="","",IF(COUNTIFS('Player Rounds'!$A$2:$A$401,$A58,'Player Rounds'!$B$2:$B$401,$B58,'Player Rounds'!$M$2:$M$401,"&gt;0")=0,"",SIGN(_xlfn.MINIFS('Player Rounds'!$AG$2:$AG$401,'Player Rounds'!$A$2:$A$401,$A58,'Player Rounds'!$B$2:$B$401,$B58,'Player Rounds'!$C$2:$C$401,$D58)-_xlfn.MINIFS('Player Rounds'!$AG$2:$AG$401,'Player Rounds'!$A$2:$A$401,$A58,'Player Rounds'!$B$2:$B$401,$B58,'Player Rounds'!$C$2:$C$401,$C58))))</f>
      </c>
      <c r="T58" t="e">
        <f>IF($A58="","",IF(COUNTIFS('Player Rounds'!$A$2:$A$401,$A58,'Player Rounds'!$B$2:$B$401,$B58,'Player Rounds'!$N$2:$N$401,"&gt;0")=0,"",SIGN(_xlfn.MINIFS('Player Rounds'!$AH$2:$AH$401,'Player Rounds'!$A$2:$A$401,$A58,'Player Rounds'!$B$2:$B$401,$B58,'Player Rounds'!$C$2:$C$401,$D58)-_xlfn.MINIFS('Player Rounds'!$AH$2:$AH$401,'Player Rounds'!$A$2:$A$401,$A58,'Player Rounds'!$B$2:$B$401,$B58,'Player Rounds'!$C$2:$C$401,$C58))))</f>
      </c>
      <c r="U58" t="e">
        <f>IF($A58="","",IF(COUNTIFS('Player Rounds'!$A$2:$A$401,$A58,'Player Rounds'!$B$2:$B$401,$B58,'Player Rounds'!$O$2:$O$401,"&gt;0")=0,"",SIGN(_xlfn.MINIFS('Player Rounds'!$AI$2:$AI$401,'Player Rounds'!$A$2:$A$401,$A58,'Player Rounds'!$B$2:$B$401,$B58,'Player Rounds'!$C$2:$C$401,$D58)-_xlfn.MINIFS('Player Rounds'!$AI$2:$AI$401,'Player Rounds'!$A$2:$A$401,$A58,'Player Rounds'!$B$2:$B$401,$B58,'Player Rounds'!$C$2:$C$401,$C58))))</f>
      </c>
      <c r="V58" t="e">
        <f>IF($A58="","",IF(COUNTIFS('Player Rounds'!$A$2:$A$401,$A58,'Player Rounds'!$B$2:$B$401,$B58,'Player Rounds'!$P$2:$P$401,"&gt;0")=0,"",SIGN(_xlfn.MINIFS('Player Rounds'!$AJ$2:$AJ$401,'Player Rounds'!$A$2:$A$401,$A58,'Player Rounds'!$B$2:$B$401,$B58,'Player Rounds'!$C$2:$C$401,$D58)-_xlfn.MINIFS('Player Rounds'!$AJ$2:$AJ$401,'Player Rounds'!$A$2:$A$401,$A58,'Player Rounds'!$B$2:$B$401,$B58,'Player Rounds'!$C$2:$C$401,$C58))))</f>
      </c>
      <c r="W58" t="e">
        <f>IF($A58="","",IF(COUNTIFS('Player Rounds'!$A$2:$A$401,$A58,'Player Rounds'!$B$2:$B$401,$B58,'Player Rounds'!$Q$2:$Q$401,"&gt;0")=0,"",SIGN(_xlfn.MINIFS('Player Rounds'!$AK$2:$AK$401,'Player Rounds'!$A$2:$A$401,$A58,'Player Rounds'!$B$2:$B$401,$B58,'Player Rounds'!$C$2:$C$401,$D58)-_xlfn.MINIFS('Player Rounds'!$AK$2:$AK$401,'Player Rounds'!$A$2:$A$401,$A58,'Player Rounds'!$B$2:$B$401,$B58,'Player Rounds'!$C$2:$C$401,$C58))))</f>
      </c>
      <c r="X58" t="e">
        <f>IF($A58="","",IF(COUNTIFS('Player Rounds'!$A$2:$A$401,$A58,'Player Rounds'!$B$2:$B$401,$B58,'Player Rounds'!$R$2:$R$401,"&gt;0")=0,"",SIGN(_xlfn.MINIFS('Player Rounds'!$AL$2:$AL$401,'Player Rounds'!$A$2:$A$401,$A58,'Player Rounds'!$B$2:$B$401,$B58,'Player Rounds'!$C$2:$C$401,$D58)-_xlfn.MINIFS('Player Rounds'!$AL$2:$AL$401,'Player Rounds'!$A$2:$A$401,$A58,'Player Rounds'!$B$2:$B$401,$B58,'Player Rounds'!$C$2:$C$401,$C58))))</f>
      </c>
      <c r="Y58" t="e">
        <f>IF($A58="","",IF(COUNTIFS('Player Rounds'!$A$2:$A$401,$A58,'Player Rounds'!$B$2:$B$401,$B58,'Player Rounds'!$S$2:$S$401,"&gt;0")=0,"",SIGN(_xlfn.MINIFS('Player Rounds'!$AM$2:$AM$401,'Player Rounds'!$A$2:$A$401,$A58,'Player Rounds'!$B$2:$B$401,$B58,'Player Rounds'!$C$2:$C$401,$D58)-_xlfn.MINIFS('Player Rounds'!$AM$2:$AM$401,'Player Rounds'!$A$2:$A$401,$A58,'Player Rounds'!$B$2:$B$401,$B58,'Player Rounds'!$C$2:$C$401,$C58))))</f>
      </c>
      <c r="Z58" t="e">
        <f>IF($A58="","",IF(COUNTIFS('Player Rounds'!$A$2:$A$401,$A58,'Player Rounds'!$B$2:$B$401,$B58,'Player Rounds'!$T$2:$T$401,"&gt;0")=0,"",SIGN(_xlfn.MINIFS('Player Rounds'!$AN$2:$AN$401,'Player Rounds'!$A$2:$A$401,$A58,'Player Rounds'!$B$2:$B$401,$B58,'Player Rounds'!$C$2:$C$401,$D58)-_xlfn.MINIFS('Player Rounds'!$AN$2:$AN$401,'Player Rounds'!$A$2:$A$401,$A58,'Player Rounds'!$B$2:$B$401,$B58,'Player Rounds'!$C$2:$C$401,$C58))))</f>
      </c>
      <c r="AA58" t="e">
        <f>IF($A58="","",IF(COUNTIFS('Player Rounds'!$A$2:$A$401,$A58,'Player Rounds'!$B$2:$B$401,$B58,'Player Rounds'!$U$2:$U$401,"&gt;0")=0,"",SIGN(_xlfn.MINIFS('Player Rounds'!$AO$2:$AO$401,'Player Rounds'!$A$2:$A$401,$A58,'Player Rounds'!$B$2:$B$401,$B58,'Player Rounds'!$C$2:$C$401,$D58)-_xlfn.MINIFS('Player Rounds'!$AO$2:$AO$401,'Player Rounds'!$A$2:$A$401,$A58,'Player Rounds'!$B$2:$B$401,$B58,'Player Rounds'!$C$2:$C$401,$C58))))</f>
      </c>
      <c r="AB58" t="e">
        <f>IF($A58="","",IF(COUNTIFS('Player Rounds'!$A$2:$A$401,$A58,'Player Rounds'!$B$2:$B$401,$B58,'Player Rounds'!$V$2:$V$401,"&gt;0")=0,"",SIGN(_xlfn.MINIFS('Player Rounds'!$AP$2:$AP$401,'Player Rounds'!$A$2:$A$401,$A58,'Player Rounds'!$B$2:$B$401,$B58,'Player Rounds'!$C$2:$C$401,$D58)-_xlfn.MINIFS('Player Rounds'!$AP$2:$AP$401,'Player Rounds'!$A$2:$A$401,$A58,'Player Rounds'!$B$2:$B$401,$B58,'Player Rounds'!$C$2:$C$401,$C58))))</f>
      </c>
      <c r="AC58" t="e">
        <f>IF($A58="","",IF(COUNTIFS('Player Rounds'!$A$2:$A$401,$A58,'Player Rounds'!$B$2:$B$401,$B58,'Player Rounds'!$W$2:$W$401,"&gt;0")=0,"",SIGN(_xlfn.MINIFS('Player Rounds'!$AQ$2:$AQ$401,'Player Rounds'!$A$2:$A$401,$A58,'Player Rounds'!$B$2:$B$401,$B58,'Player Rounds'!$C$2:$C$401,$D58)-_xlfn.MINIFS('Player Rounds'!$AQ$2:$AQ$401,'Player Rounds'!$A$2:$A$401,$A58,'Player Rounds'!$B$2:$B$401,$B58,'Player Rounds'!$C$2:$C$401,$C58))))</f>
      </c>
      <c r="AD58" t="e">
        <f>IF($A58="","",SUM($L58:L58))</f>
      </c>
      <c r="AE58" t="e">
        <f>IF($A58="","",SUM($L58:M58))</f>
      </c>
      <c r="AF58" t="e">
        <f>IF($A58="","",SUM($L58:N58))</f>
      </c>
      <c r="AG58" t="e">
        <f>IF($A58="","",SUM($L58:O58))</f>
      </c>
      <c r="AH58" t="e">
        <f>IF($A58="","",SUM($L58:P58))</f>
      </c>
      <c r="AI58" t="e">
        <f>IF($A58="","",SUM($L58:Q58))</f>
      </c>
      <c r="AJ58" t="e">
        <f>IF($A58="","",SUM($L58:R58))</f>
      </c>
      <c r="AK58" t="e">
        <f>IF($A58="","",SUM($L58:S58))</f>
      </c>
      <c r="AL58" t="e">
        <f>IF($A58="","",SUM($L58:T58))</f>
      </c>
      <c r="AM58" t="e">
        <f>IF($A58="","",SUM($L58:U58))</f>
      </c>
      <c r="AN58" t="e">
        <f>IF($A58="","",SUM($L58:V58))</f>
      </c>
      <c r="AO58" t="e">
        <f>IF($A58="","",SUM($L58:W58))</f>
      </c>
      <c r="AP58" t="e">
        <f>IF($A58="","",SUM($L58:X58))</f>
      </c>
      <c r="AQ58" t="e">
        <f>IF($A58="","",SUM($L58:Y58))</f>
      </c>
      <c r="AR58" t="e">
        <f>IF($A58="","",SUM($L58:Z58))</f>
      </c>
      <c r="AS58" t="e">
        <f>IF($A58="","",SUM($L58:AA58))</f>
      </c>
      <c r="AT58" t="e">
        <f>IF($A58="","",SUM($L58:AB58))</f>
      </c>
      <c r="AU58" t="e">
        <f>IF($A58="","",SUM($L58:AC58))</f>
      </c>
      <c r="AV58" t="e">
        <f>IF(OR($A58="",L58=""),"",IF(ABS(AD58)&gt;17,1,""))</f>
      </c>
      <c r="AW58" t="e">
        <f>IF(OR($A58="",M58=""),"",IF(ABS(AE58)&gt;16,2,""))</f>
      </c>
      <c r="AX58" t="e">
        <f>IF(OR($A58="",N58=""),"",IF(ABS(AF58)&gt;15,3,""))</f>
      </c>
      <c r="AY58" t="e">
        <f>IF(OR($A58="",O58=""),"",IF(ABS(AG58)&gt;14,4,""))</f>
      </c>
      <c r="AZ58" t="e">
        <f>IF(OR($A58="",P58=""),"",IF(ABS(AH58)&gt;13,5,""))</f>
      </c>
      <c r="BA58" t="e">
        <f>IF(OR($A58="",Q58=""),"",IF(ABS(AI58)&gt;12,6,""))</f>
      </c>
      <c r="BB58" t="e">
        <f>IF(OR($A58="",R58=""),"",IF(ABS(AJ58)&gt;11,7,""))</f>
      </c>
      <c r="BC58" t="e">
        <f>IF(OR($A58="",S58=""),"",IF(ABS(AK58)&gt;10,8,""))</f>
      </c>
      <c r="BD58" t="e">
        <f>IF(OR($A58="",T58=""),"",IF(ABS(AL58)&gt;9,9,""))</f>
      </c>
      <c r="BE58" t="e">
        <f>IF(OR($A58="",U58=""),"",IF(ABS(AM58)&gt;8,10,""))</f>
      </c>
      <c r="BF58" t="e">
        <f>IF(OR($A58="",V58=""),"",IF(ABS(AN58)&gt;7,11,""))</f>
      </c>
      <c r="BG58" t="e">
        <f>IF(OR($A58="",W58=""),"",IF(ABS(AO58)&gt;6,12,""))</f>
      </c>
      <c r="BH58" t="e">
        <f>IF(OR($A58="",X58=""),"",IF(ABS(AP58)&gt;5,13,""))</f>
      </c>
      <c r="BI58" t="e">
        <f>IF(OR($A58="",Y58=""),"",IF(ABS(AQ58)&gt;4,14,""))</f>
      </c>
      <c r="BJ58" t="e">
        <f>IF(OR($A58="",Z58=""),"",IF(ABS(AR58)&gt;3,15,""))</f>
      </c>
      <c r="BK58" t="e">
        <f>IF(OR($A58="",AA58=""),"",IF(ABS(AS58)&gt;2,16,""))</f>
      </c>
      <c r="BL58" t="e">
        <f>IF(OR($A58="",AB58=""),"",IF(ABS(AT58)&gt;1,17,""))</f>
      </c>
      <c r="BM58" t="e">
        <f>IF(OR($A58="",AC58=""),"",IF(ABS(AU58)&gt;0,18,""))</f>
      </c>
    </row>
    <row r="59">
      <c r="C59" t="str">
        <f>IF($A59="","",INDEX('Tournament Setup'!$J:$J,MATCH($A59,'Tournament Setup'!$A:$A,0)))</f>
        <v/>
      </c>
      <c r="D59" t="str">
        <f>IF($A59="","",INDEX('Tournament Setup'!$K:$K,MATCH($A59,'Tournament Setup'!$A:$A,0)))</f>
        <v/>
      </c>
      <c r="E59" t="str">
        <f>IF($A59="","",IF(COUNT(L59:AC59)=0,"Not played",IF(AND($K59&gt;0,$K59&lt;18),IF(INDEX(AD59:AU59,1,$K59)&gt;0,$C59,$D59)&amp;" "&amp;ABS(INDEX(AD59:AU59,1,$K59))&amp;"&amp;"&amp;(18-$K59),IF($J59=0,"Halved (AS)",IF($J59&gt;0,$C59,$D59)&amp;" "&amp;ABS($J59)&amp;" UP"))))</f>
        <v/>
      </c>
      <c r="F59" t="e">
        <f>IF(OR($A59="",COUNT(L59:AC59)=0),"",INDEX('Tournament Setup'!$I:$I,MATCH($A59,'Tournament Setup'!$A:$A,0))*IF(INDEX('Tournament Setup'!$H:$H,MATCH($A59,'Tournament Setup'!$A:$A,0))="Yes",IF($H59&gt;0,1,IF($H59=0,0.5,0))+IF($I59&gt;0,1,IF($I59=0,0.5,0))+IF($J59&gt;0,1,IF($J59=0,0.5,0)),IF(IF(AND($K59&gt;0,$K59&lt;18),INDEX(AD59:AU59,1,$K59),$J59)&gt;0,1,IF(IF(AND($K59&gt;0,$K59&lt;18),INDEX(AD59:AU59,1,$K59),$J59)=0,0.5,0))))</f>
      </c>
      <c r="G59" t="e">
        <f>IF(OR($A59="",COUNT(L59:AC59)=0),"",INDEX('Tournament Setup'!$I:$I,MATCH($A59,'Tournament Setup'!$A:$A,0))*IF(INDEX('Tournament Setup'!$H:$H,MATCH($A59,'Tournament Setup'!$A:$A,0))="Yes",IF($H59&lt;0,1,IF($H59=0,0.5,0))+IF($I59&lt;0,1,IF($I59=0,0.5,0))+IF($J59&lt;0,1,IF($J59=0,0.5,0)),IF(IF(AND($K59&gt;0,$K59&lt;18),INDEX(AD59:AU59,1,$K59),$J59)&lt;0,1,IF(IF(AND($K59&gt;0,$K59&lt;18),INDEX(AD59:AU59,1,$K59),$J59)=0,0.5,0))))</f>
      </c>
      <c r="H59" t="e">
        <f>IF($A59="","",SUM(L59:T59))</f>
      </c>
      <c r="I59" t="e">
        <f>IF($A59="","",SUM(U59:AC59))</f>
      </c>
      <c r="J59" t="e">
        <f>IF($A59="","",SUM(L59:AC59))</f>
      </c>
      <c r="K59" t="e">
        <f>IF($A59="","",MIN(AV59:BM59))</f>
      </c>
      <c r="L59" t="e">
        <f>IF($A59="","",IF(COUNTIFS('Player Rounds'!$A$2:$A$401,$A59,'Player Rounds'!$B$2:$B$401,$B59,'Player Rounds'!$F$2:$F$401,"&gt;0")=0,"",SIGN(_xlfn.MINIFS('Player Rounds'!$Z$2:$Z$401,'Player Rounds'!$A$2:$A$401,$A59,'Player Rounds'!$B$2:$B$401,$B59,'Player Rounds'!$C$2:$C$401,$D59)-_xlfn.MINIFS('Player Rounds'!$Z$2:$Z$401,'Player Rounds'!$A$2:$A$401,$A59,'Player Rounds'!$B$2:$B$401,$B59,'Player Rounds'!$C$2:$C$401,$C59))))</f>
      </c>
      <c r="M59" t="e">
        <f>IF($A59="","",IF(COUNTIFS('Player Rounds'!$A$2:$A$401,$A59,'Player Rounds'!$B$2:$B$401,$B59,'Player Rounds'!$G$2:$G$401,"&gt;0")=0,"",SIGN(_xlfn.MINIFS('Player Rounds'!$AA$2:$AA$401,'Player Rounds'!$A$2:$A$401,$A59,'Player Rounds'!$B$2:$B$401,$B59,'Player Rounds'!$C$2:$C$401,$D59)-_xlfn.MINIFS('Player Rounds'!$AA$2:$AA$401,'Player Rounds'!$A$2:$A$401,$A59,'Player Rounds'!$B$2:$B$401,$B59,'Player Rounds'!$C$2:$C$401,$C59))))</f>
      </c>
      <c r="N59" t="e">
        <f>IF($A59="","",IF(COUNTIFS('Player Rounds'!$A$2:$A$401,$A59,'Player Rounds'!$B$2:$B$401,$B59,'Player Rounds'!$H$2:$H$401,"&gt;0")=0,"",SIGN(_xlfn.MINIFS('Player Rounds'!$AB$2:$AB$401,'Player Rounds'!$A$2:$A$401,$A59,'Player Rounds'!$B$2:$B$401,$B59,'Player Rounds'!$C$2:$C$401,$D59)-_xlfn.MINIFS('Player Rounds'!$AB$2:$AB$401,'Player Rounds'!$A$2:$A$401,$A59,'Player Rounds'!$B$2:$B$401,$B59,'Player Rounds'!$C$2:$C$401,$C59))))</f>
      </c>
      <c r="O59" t="e">
        <f>IF($A59="","",IF(COUNTIFS('Player Rounds'!$A$2:$A$401,$A59,'Player Rounds'!$B$2:$B$401,$B59,'Player Rounds'!$I$2:$I$401,"&gt;0")=0,"",SIGN(_xlfn.MINIFS('Player Rounds'!$AC$2:$AC$401,'Player Rounds'!$A$2:$A$401,$A59,'Player Rounds'!$B$2:$B$401,$B59,'Player Rounds'!$C$2:$C$401,$D59)-_xlfn.MINIFS('Player Rounds'!$AC$2:$AC$401,'Player Rounds'!$A$2:$A$401,$A59,'Player Rounds'!$B$2:$B$401,$B59,'Player Rounds'!$C$2:$C$401,$C59))))</f>
      </c>
      <c r="P59" t="e">
        <f>IF($A59="","",IF(COUNTIFS('Player Rounds'!$A$2:$A$401,$A59,'Player Rounds'!$B$2:$B$401,$B59,'Player Rounds'!$J$2:$J$401,"&gt;0")=0,"",SIGN(_xlfn.MINIFS('Player Rounds'!$AD$2:$AD$401,'Player Rounds'!$A$2:$A$401,$A59,'Player Rounds'!$B$2:$B$401,$B59,'Player Rounds'!$C$2:$C$401,$D59)-_xlfn.MINIFS('Player Rounds'!$AD$2:$AD$401,'Player Rounds'!$A$2:$A$401,$A59,'Player Rounds'!$B$2:$B$401,$B59,'Player Rounds'!$C$2:$C$401,$C59))))</f>
      </c>
      <c r="Q59" t="e">
        <f>IF($A59="","",IF(COUNTIFS('Player Rounds'!$A$2:$A$401,$A59,'Player Rounds'!$B$2:$B$401,$B59,'Player Rounds'!$K$2:$K$401,"&gt;0")=0,"",SIGN(_xlfn.MINIFS('Player Rounds'!$AE$2:$AE$401,'Player Rounds'!$A$2:$A$401,$A59,'Player Rounds'!$B$2:$B$401,$B59,'Player Rounds'!$C$2:$C$401,$D59)-_xlfn.MINIFS('Player Rounds'!$AE$2:$AE$401,'Player Rounds'!$A$2:$A$401,$A59,'Player Rounds'!$B$2:$B$401,$B59,'Player Rounds'!$C$2:$C$401,$C59))))</f>
      </c>
      <c r="R59" t="e">
        <f>IF($A59="","",IF(COUNTIFS('Player Rounds'!$A$2:$A$401,$A59,'Player Rounds'!$B$2:$B$401,$B59,'Player Rounds'!$L$2:$L$401,"&gt;0")=0,"",SIGN(_xlfn.MINIFS('Player Rounds'!$AF$2:$AF$401,'Player Rounds'!$A$2:$A$401,$A59,'Player Rounds'!$B$2:$B$401,$B59,'Player Rounds'!$C$2:$C$401,$D59)-_xlfn.MINIFS('Player Rounds'!$AF$2:$AF$401,'Player Rounds'!$A$2:$A$401,$A59,'Player Rounds'!$B$2:$B$401,$B59,'Player Rounds'!$C$2:$C$401,$C59))))</f>
      </c>
      <c r="S59" t="e">
        <f>IF($A59="","",IF(COUNTIFS('Player Rounds'!$A$2:$A$401,$A59,'Player Rounds'!$B$2:$B$401,$B59,'Player Rounds'!$M$2:$M$401,"&gt;0")=0,"",SIGN(_xlfn.MINIFS('Player Rounds'!$AG$2:$AG$401,'Player Rounds'!$A$2:$A$401,$A59,'Player Rounds'!$B$2:$B$401,$B59,'Player Rounds'!$C$2:$C$401,$D59)-_xlfn.MINIFS('Player Rounds'!$AG$2:$AG$401,'Player Rounds'!$A$2:$A$401,$A59,'Player Rounds'!$B$2:$B$401,$B59,'Player Rounds'!$C$2:$C$401,$C59))))</f>
      </c>
      <c r="T59" t="e">
        <f>IF($A59="","",IF(COUNTIFS('Player Rounds'!$A$2:$A$401,$A59,'Player Rounds'!$B$2:$B$401,$B59,'Player Rounds'!$N$2:$N$401,"&gt;0")=0,"",SIGN(_xlfn.MINIFS('Player Rounds'!$AH$2:$AH$401,'Player Rounds'!$A$2:$A$401,$A59,'Player Rounds'!$B$2:$B$401,$B59,'Player Rounds'!$C$2:$C$401,$D59)-_xlfn.MINIFS('Player Rounds'!$AH$2:$AH$401,'Player Rounds'!$A$2:$A$401,$A59,'Player Rounds'!$B$2:$B$401,$B59,'Player Rounds'!$C$2:$C$401,$C59))))</f>
      </c>
      <c r="U59" t="e">
        <f>IF($A59="","",IF(COUNTIFS('Player Rounds'!$A$2:$A$401,$A59,'Player Rounds'!$B$2:$B$401,$B59,'Player Rounds'!$O$2:$O$401,"&gt;0")=0,"",SIGN(_xlfn.MINIFS('Player Rounds'!$AI$2:$AI$401,'Player Rounds'!$A$2:$A$401,$A59,'Player Rounds'!$B$2:$B$401,$B59,'Player Rounds'!$C$2:$C$401,$D59)-_xlfn.MINIFS('Player Rounds'!$AI$2:$AI$401,'Player Rounds'!$A$2:$A$401,$A59,'Player Rounds'!$B$2:$B$401,$B59,'Player Rounds'!$C$2:$C$401,$C59))))</f>
      </c>
      <c r="V59" t="e">
        <f>IF($A59="","",IF(COUNTIFS('Player Rounds'!$A$2:$A$401,$A59,'Player Rounds'!$B$2:$B$401,$B59,'Player Rounds'!$P$2:$P$401,"&gt;0")=0,"",SIGN(_xlfn.MINIFS('Player Rounds'!$AJ$2:$AJ$401,'Player Rounds'!$A$2:$A$401,$A59,'Player Rounds'!$B$2:$B$401,$B59,'Player Rounds'!$C$2:$C$401,$D59)-_xlfn.MINIFS('Player Rounds'!$AJ$2:$AJ$401,'Player Rounds'!$A$2:$A$401,$A59,'Player Rounds'!$B$2:$B$401,$B59,'Player Rounds'!$C$2:$C$401,$C59))))</f>
      </c>
      <c r="W59" t="e">
        <f>IF($A59="","",IF(COUNTIFS('Player Rounds'!$A$2:$A$401,$A59,'Player Rounds'!$B$2:$B$401,$B59,'Player Rounds'!$Q$2:$Q$401,"&gt;0")=0,"",SIGN(_xlfn.MINIFS('Player Rounds'!$AK$2:$AK$401,'Player Rounds'!$A$2:$A$401,$A59,'Player Rounds'!$B$2:$B$401,$B59,'Player Rounds'!$C$2:$C$401,$D59)-_xlfn.MINIFS('Player Rounds'!$AK$2:$AK$401,'Player Rounds'!$A$2:$A$401,$A59,'Player Rounds'!$B$2:$B$401,$B59,'Player Rounds'!$C$2:$C$401,$C59))))</f>
      </c>
      <c r="X59" t="e">
        <f>IF($A59="","",IF(COUNTIFS('Player Rounds'!$A$2:$A$401,$A59,'Player Rounds'!$B$2:$B$401,$B59,'Player Rounds'!$R$2:$R$401,"&gt;0")=0,"",SIGN(_xlfn.MINIFS('Player Rounds'!$AL$2:$AL$401,'Player Rounds'!$A$2:$A$401,$A59,'Player Rounds'!$B$2:$B$401,$B59,'Player Rounds'!$C$2:$C$401,$D59)-_xlfn.MINIFS('Player Rounds'!$AL$2:$AL$401,'Player Rounds'!$A$2:$A$401,$A59,'Player Rounds'!$B$2:$B$401,$B59,'Player Rounds'!$C$2:$C$401,$C59))))</f>
      </c>
      <c r="Y59" t="e">
        <f>IF($A59="","",IF(COUNTIFS('Player Rounds'!$A$2:$A$401,$A59,'Player Rounds'!$B$2:$B$401,$B59,'Player Rounds'!$S$2:$S$401,"&gt;0")=0,"",SIGN(_xlfn.MINIFS('Player Rounds'!$AM$2:$AM$401,'Player Rounds'!$A$2:$A$401,$A59,'Player Rounds'!$B$2:$B$401,$B59,'Player Rounds'!$C$2:$C$401,$D59)-_xlfn.MINIFS('Player Rounds'!$AM$2:$AM$401,'Player Rounds'!$A$2:$A$401,$A59,'Player Rounds'!$B$2:$B$401,$B59,'Player Rounds'!$C$2:$C$401,$C59))))</f>
      </c>
      <c r="Z59" t="e">
        <f>IF($A59="","",IF(COUNTIFS('Player Rounds'!$A$2:$A$401,$A59,'Player Rounds'!$B$2:$B$401,$B59,'Player Rounds'!$T$2:$T$401,"&gt;0")=0,"",SIGN(_xlfn.MINIFS('Player Rounds'!$AN$2:$AN$401,'Player Rounds'!$A$2:$A$401,$A59,'Player Rounds'!$B$2:$B$401,$B59,'Player Rounds'!$C$2:$C$401,$D59)-_xlfn.MINIFS('Player Rounds'!$AN$2:$AN$401,'Player Rounds'!$A$2:$A$401,$A59,'Player Rounds'!$B$2:$B$401,$B59,'Player Rounds'!$C$2:$C$401,$C59))))</f>
      </c>
      <c r="AA59" t="e">
        <f>IF($A59="","",IF(COUNTIFS('Player Rounds'!$A$2:$A$401,$A59,'Player Rounds'!$B$2:$B$401,$B59,'Player Rounds'!$U$2:$U$401,"&gt;0")=0,"",SIGN(_xlfn.MINIFS('Player Rounds'!$AO$2:$AO$401,'Player Rounds'!$A$2:$A$401,$A59,'Player Rounds'!$B$2:$B$401,$B59,'Player Rounds'!$C$2:$C$401,$D59)-_xlfn.MINIFS('Player Rounds'!$AO$2:$AO$401,'Player Rounds'!$A$2:$A$401,$A59,'Player Rounds'!$B$2:$B$401,$B59,'Player Rounds'!$C$2:$C$401,$C59))))</f>
      </c>
      <c r="AB59" t="e">
        <f>IF($A59="","",IF(COUNTIFS('Player Rounds'!$A$2:$A$401,$A59,'Player Rounds'!$B$2:$B$401,$B59,'Player Rounds'!$V$2:$V$401,"&gt;0")=0,"",SIGN(_xlfn.MINIFS('Player Rounds'!$AP$2:$AP$401,'Player Rounds'!$A$2:$A$401,$A59,'Player Rounds'!$B$2:$B$401,$B59,'Player Rounds'!$C$2:$C$401,$D59)-_xlfn.MINIFS('Player Rounds'!$AP$2:$AP$401,'Player Rounds'!$A$2:$A$401,$A59,'Player Rounds'!$B$2:$B$401,$B59,'Player Rounds'!$C$2:$C$401,$C59))))</f>
      </c>
      <c r="AC59" t="e">
        <f>IF($A59="","",IF(COUNTIFS('Player Rounds'!$A$2:$A$401,$A59,'Player Rounds'!$B$2:$B$401,$B59,'Player Rounds'!$W$2:$W$401,"&gt;0")=0,"",SIGN(_xlfn.MINIFS('Player Rounds'!$AQ$2:$AQ$401,'Player Rounds'!$A$2:$A$401,$A59,'Player Rounds'!$B$2:$B$401,$B59,'Player Rounds'!$C$2:$C$401,$D59)-_xlfn.MINIFS('Player Rounds'!$AQ$2:$AQ$401,'Player Rounds'!$A$2:$A$401,$A59,'Player Rounds'!$B$2:$B$401,$B59,'Player Rounds'!$C$2:$C$401,$C59))))</f>
      </c>
      <c r="AD59" t="e">
        <f>IF($A59="","",SUM($L59:L59))</f>
      </c>
      <c r="AE59" t="e">
        <f>IF($A59="","",SUM($L59:M59))</f>
      </c>
      <c r="AF59" t="e">
        <f>IF($A59="","",SUM($L59:N59))</f>
      </c>
      <c r="AG59" t="e">
        <f>IF($A59="","",SUM($L59:O59))</f>
      </c>
      <c r="AH59" t="e">
        <f>IF($A59="","",SUM($L59:P59))</f>
      </c>
      <c r="AI59" t="e">
        <f>IF($A59="","",SUM($L59:Q59))</f>
      </c>
      <c r="AJ59" t="e">
        <f>IF($A59="","",SUM($L59:R59))</f>
      </c>
      <c r="AK59" t="e">
        <f>IF($A59="","",SUM($L59:S59))</f>
      </c>
      <c r="AL59" t="e">
        <f>IF($A59="","",SUM($L59:T59))</f>
      </c>
      <c r="AM59" t="e">
        <f>IF($A59="","",SUM($L59:U59))</f>
      </c>
      <c r="AN59" t="e">
        <f>IF($A59="","",SUM($L59:V59))</f>
      </c>
      <c r="AO59" t="e">
        <f>IF($A59="","",SUM($L59:W59))</f>
      </c>
      <c r="AP59" t="e">
        <f>IF($A59="","",SUM($L59:X59))</f>
      </c>
      <c r="AQ59" t="e">
        <f>IF($A59="","",SUM($L59:Y59))</f>
      </c>
      <c r="AR59" t="e">
        <f>IF($A59="","",SUM($L59:Z59))</f>
      </c>
      <c r="AS59" t="e">
        <f>IF($A59="","",SUM($L59:AA59))</f>
      </c>
      <c r="AT59" t="e">
        <f>IF($A59="","",SUM($L59:AB59))</f>
      </c>
      <c r="AU59" t="e">
        <f>IF($A59="","",SUM($L59:AC59))</f>
      </c>
      <c r="AV59" t="e">
        <f>IF(OR($A59="",L59=""),"",IF(ABS(AD59)&gt;17,1,""))</f>
      </c>
      <c r="AW59" t="e">
        <f>IF(OR($A59="",M59=""),"",IF(ABS(AE59)&gt;16,2,""))</f>
      </c>
      <c r="AX59" t="e">
        <f>IF(OR($A59="",N59=""),"",IF(ABS(AF59)&gt;15,3,""))</f>
      </c>
      <c r="AY59" t="e">
        <f>IF(OR($A59="",O59=""),"",IF(ABS(AG59)&gt;14,4,""))</f>
      </c>
      <c r="AZ59" t="e">
        <f>IF(OR($A59="",P59=""),"",IF(ABS(AH59)&gt;13,5,""))</f>
      </c>
      <c r="BA59" t="e">
        <f>IF(OR($A59="",Q59=""),"",IF(ABS(AI59)&gt;12,6,""))</f>
      </c>
      <c r="BB59" t="e">
        <f>IF(OR($A59="",R59=""),"",IF(ABS(AJ59)&gt;11,7,""))</f>
      </c>
      <c r="BC59" t="e">
        <f>IF(OR($A59="",S59=""),"",IF(ABS(AK59)&gt;10,8,""))</f>
      </c>
      <c r="BD59" t="e">
        <f>IF(OR($A59="",T59=""),"",IF(ABS(AL59)&gt;9,9,""))</f>
      </c>
      <c r="BE59" t="e">
        <f>IF(OR($A59="",U59=""),"",IF(ABS(AM59)&gt;8,10,""))</f>
      </c>
      <c r="BF59" t="e">
        <f>IF(OR($A59="",V59=""),"",IF(ABS(AN59)&gt;7,11,""))</f>
      </c>
      <c r="BG59" t="e">
        <f>IF(OR($A59="",W59=""),"",IF(ABS(AO59)&gt;6,12,""))</f>
      </c>
      <c r="BH59" t="e">
        <f>IF(OR($A59="",X59=""),"",IF(ABS(AP59)&gt;5,13,""))</f>
      </c>
      <c r="BI59" t="e">
        <f>IF(OR($A59="",Y59=""),"",IF(ABS(AQ59)&gt;4,14,""))</f>
      </c>
      <c r="BJ59" t="e">
        <f>IF(OR($A59="",Z59=""),"",IF(ABS(AR59)&gt;3,15,""))</f>
      </c>
      <c r="BK59" t="e">
        <f>IF(OR($A59="",AA59=""),"",IF(ABS(AS59)&gt;2,16,""))</f>
      </c>
      <c r="BL59" t="e">
        <f>IF(OR($A59="",AB59=""),"",IF(ABS(AT59)&gt;1,17,""))</f>
      </c>
      <c r="BM59" t="e">
        <f>IF(OR($A59="",AC59=""),"",IF(ABS(AU59)&gt;0,18,""))</f>
      </c>
    </row>
    <row r="60">
      <c r="C60" t="str">
        <f>IF($A60="","",INDEX('Tournament Setup'!$J:$J,MATCH($A60,'Tournament Setup'!$A:$A,0)))</f>
        <v/>
      </c>
      <c r="D60" t="str">
        <f>IF($A60="","",INDEX('Tournament Setup'!$K:$K,MATCH($A60,'Tournament Setup'!$A:$A,0)))</f>
        <v/>
      </c>
      <c r="E60" t="str">
        <f>IF($A60="","",IF(COUNT(L60:AC60)=0,"Not played",IF(AND($K60&gt;0,$K60&lt;18),IF(INDEX(AD60:AU60,1,$K60)&gt;0,$C60,$D60)&amp;" "&amp;ABS(INDEX(AD60:AU60,1,$K60))&amp;"&amp;"&amp;(18-$K60),IF($J60=0,"Halved (AS)",IF($J60&gt;0,$C60,$D60)&amp;" "&amp;ABS($J60)&amp;" UP"))))</f>
        <v/>
      </c>
      <c r="F60" t="e">
        <f>IF(OR($A60="",COUNT(L60:AC60)=0),"",INDEX('Tournament Setup'!$I:$I,MATCH($A60,'Tournament Setup'!$A:$A,0))*IF(INDEX('Tournament Setup'!$H:$H,MATCH($A60,'Tournament Setup'!$A:$A,0))="Yes",IF($H60&gt;0,1,IF($H60=0,0.5,0))+IF($I60&gt;0,1,IF($I60=0,0.5,0))+IF($J60&gt;0,1,IF($J60=0,0.5,0)),IF(IF(AND($K60&gt;0,$K60&lt;18),INDEX(AD60:AU60,1,$K60),$J60)&gt;0,1,IF(IF(AND($K60&gt;0,$K60&lt;18),INDEX(AD60:AU60,1,$K60),$J60)=0,0.5,0))))</f>
      </c>
      <c r="G60" t="e">
        <f>IF(OR($A60="",COUNT(L60:AC60)=0),"",INDEX('Tournament Setup'!$I:$I,MATCH($A60,'Tournament Setup'!$A:$A,0))*IF(INDEX('Tournament Setup'!$H:$H,MATCH($A60,'Tournament Setup'!$A:$A,0))="Yes",IF($H60&lt;0,1,IF($H60=0,0.5,0))+IF($I60&lt;0,1,IF($I60=0,0.5,0))+IF($J60&lt;0,1,IF($J60=0,0.5,0)),IF(IF(AND($K60&gt;0,$K60&lt;18),INDEX(AD60:AU60,1,$K60),$J60)&lt;0,1,IF(IF(AND($K60&gt;0,$K60&lt;18),INDEX(AD60:AU60,1,$K60),$J60)=0,0.5,0))))</f>
      </c>
      <c r="H60" t="e">
        <f>IF($A60="","",SUM(L60:T60))</f>
      </c>
      <c r="I60" t="e">
        <f>IF($A60="","",SUM(U60:AC60))</f>
      </c>
      <c r="J60" t="e">
        <f>IF($A60="","",SUM(L60:AC60))</f>
      </c>
      <c r="K60" t="e">
        <f>IF($A60="","",MIN(AV60:BM60))</f>
      </c>
      <c r="L60" t="e">
        <f>IF($A60="","",IF(COUNTIFS('Player Rounds'!$A$2:$A$401,$A60,'Player Rounds'!$B$2:$B$401,$B60,'Player Rounds'!$F$2:$F$401,"&gt;0")=0,"",SIGN(_xlfn.MINIFS('Player Rounds'!$Z$2:$Z$401,'Player Rounds'!$A$2:$A$401,$A60,'Player Rounds'!$B$2:$B$401,$B60,'Player Rounds'!$C$2:$C$401,$D60)-_xlfn.MINIFS('Player Rounds'!$Z$2:$Z$401,'Player Rounds'!$A$2:$A$401,$A60,'Player Rounds'!$B$2:$B$401,$B60,'Player Rounds'!$C$2:$C$401,$C60))))</f>
      </c>
      <c r="M60" t="e">
        <f>IF($A60="","",IF(COUNTIFS('Player Rounds'!$A$2:$A$401,$A60,'Player Rounds'!$B$2:$B$401,$B60,'Player Rounds'!$G$2:$G$401,"&gt;0")=0,"",SIGN(_xlfn.MINIFS('Player Rounds'!$AA$2:$AA$401,'Player Rounds'!$A$2:$A$401,$A60,'Player Rounds'!$B$2:$B$401,$B60,'Player Rounds'!$C$2:$C$401,$D60)-_xlfn.MINIFS('Player Rounds'!$AA$2:$AA$401,'Player Rounds'!$A$2:$A$401,$A60,'Player Rounds'!$B$2:$B$401,$B60,'Player Rounds'!$C$2:$C$401,$C60))))</f>
      </c>
      <c r="N60" t="e">
        <f>IF($A60="","",IF(COUNTIFS('Player Rounds'!$A$2:$A$401,$A60,'Player Rounds'!$B$2:$B$401,$B60,'Player Rounds'!$H$2:$H$401,"&gt;0")=0,"",SIGN(_xlfn.MINIFS('Player Rounds'!$AB$2:$AB$401,'Player Rounds'!$A$2:$A$401,$A60,'Player Rounds'!$B$2:$B$401,$B60,'Player Rounds'!$C$2:$C$401,$D60)-_xlfn.MINIFS('Player Rounds'!$AB$2:$AB$401,'Player Rounds'!$A$2:$A$401,$A60,'Player Rounds'!$B$2:$B$401,$B60,'Player Rounds'!$C$2:$C$401,$C60))))</f>
      </c>
      <c r="O60" t="e">
        <f>IF($A60="","",IF(COUNTIFS('Player Rounds'!$A$2:$A$401,$A60,'Player Rounds'!$B$2:$B$401,$B60,'Player Rounds'!$I$2:$I$401,"&gt;0")=0,"",SIGN(_xlfn.MINIFS('Player Rounds'!$AC$2:$AC$401,'Player Rounds'!$A$2:$A$401,$A60,'Player Rounds'!$B$2:$B$401,$B60,'Player Rounds'!$C$2:$C$401,$D60)-_xlfn.MINIFS('Player Rounds'!$AC$2:$AC$401,'Player Rounds'!$A$2:$A$401,$A60,'Player Rounds'!$B$2:$B$401,$B60,'Player Rounds'!$C$2:$C$401,$C60))))</f>
      </c>
      <c r="P60" t="e">
        <f>IF($A60="","",IF(COUNTIFS('Player Rounds'!$A$2:$A$401,$A60,'Player Rounds'!$B$2:$B$401,$B60,'Player Rounds'!$J$2:$J$401,"&gt;0")=0,"",SIGN(_xlfn.MINIFS('Player Rounds'!$AD$2:$AD$401,'Player Rounds'!$A$2:$A$401,$A60,'Player Rounds'!$B$2:$B$401,$B60,'Player Rounds'!$C$2:$C$401,$D60)-_xlfn.MINIFS('Player Rounds'!$AD$2:$AD$401,'Player Rounds'!$A$2:$A$401,$A60,'Player Rounds'!$B$2:$B$401,$B60,'Player Rounds'!$C$2:$C$401,$C60))))</f>
      </c>
      <c r="Q60" t="e">
        <f>IF($A60="","",IF(COUNTIFS('Player Rounds'!$A$2:$A$401,$A60,'Player Rounds'!$B$2:$B$401,$B60,'Player Rounds'!$K$2:$K$401,"&gt;0")=0,"",SIGN(_xlfn.MINIFS('Player Rounds'!$AE$2:$AE$401,'Player Rounds'!$A$2:$A$401,$A60,'Player Rounds'!$B$2:$B$401,$B60,'Player Rounds'!$C$2:$C$401,$D60)-_xlfn.MINIFS('Player Rounds'!$AE$2:$AE$401,'Player Rounds'!$A$2:$A$401,$A60,'Player Rounds'!$B$2:$B$401,$B60,'Player Rounds'!$C$2:$C$401,$C60))))</f>
      </c>
      <c r="R60" t="e">
        <f>IF($A60="","",IF(COUNTIFS('Player Rounds'!$A$2:$A$401,$A60,'Player Rounds'!$B$2:$B$401,$B60,'Player Rounds'!$L$2:$L$401,"&gt;0")=0,"",SIGN(_xlfn.MINIFS('Player Rounds'!$AF$2:$AF$401,'Player Rounds'!$A$2:$A$401,$A60,'Player Rounds'!$B$2:$B$401,$B60,'Player Rounds'!$C$2:$C$401,$D60)-_xlfn.MINIFS('Player Rounds'!$AF$2:$AF$401,'Player Rounds'!$A$2:$A$401,$A60,'Player Rounds'!$B$2:$B$401,$B60,'Player Rounds'!$C$2:$C$401,$C60))))</f>
      </c>
      <c r="S60" t="e">
        <f>IF($A60="","",IF(COUNTIFS('Player Rounds'!$A$2:$A$401,$A60,'Player Rounds'!$B$2:$B$401,$B60,'Player Rounds'!$M$2:$M$401,"&gt;0")=0,"",SIGN(_xlfn.MINIFS('Player Rounds'!$AG$2:$AG$401,'Player Rounds'!$A$2:$A$401,$A60,'Player Rounds'!$B$2:$B$401,$B60,'Player Rounds'!$C$2:$C$401,$D60)-_xlfn.MINIFS('Player Rounds'!$AG$2:$AG$401,'Player Rounds'!$A$2:$A$401,$A60,'Player Rounds'!$B$2:$B$401,$B60,'Player Rounds'!$C$2:$C$401,$C60))))</f>
      </c>
      <c r="T60" t="e">
        <f>IF($A60="","",IF(COUNTIFS('Player Rounds'!$A$2:$A$401,$A60,'Player Rounds'!$B$2:$B$401,$B60,'Player Rounds'!$N$2:$N$401,"&gt;0")=0,"",SIGN(_xlfn.MINIFS('Player Rounds'!$AH$2:$AH$401,'Player Rounds'!$A$2:$A$401,$A60,'Player Rounds'!$B$2:$B$401,$B60,'Player Rounds'!$C$2:$C$401,$D60)-_xlfn.MINIFS('Player Rounds'!$AH$2:$AH$401,'Player Rounds'!$A$2:$A$401,$A60,'Player Rounds'!$B$2:$B$401,$B60,'Player Rounds'!$C$2:$C$401,$C60))))</f>
      </c>
      <c r="U60" t="e">
        <f>IF($A60="","",IF(COUNTIFS('Player Rounds'!$A$2:$A$401,$A60,'Player Rounds'!$B$2:$B$401,$B60,'Player Rounds'!$O$2:$O$401,"&gt;0")=0,"",SIGN(_xlfn.MINIFS('Player Rounds'!$AI$2:$AI$401,'Player Rounds'!$A$2:$A$401,$A60,'Player Rounds'!$B$2:$B$401,$B60,'Player Rounds'!$C$2:$C$401,$D60)-_xlfn.MINIFS('Player Rounds'!$AI$2:$AI$401,'Player Rounds'!$A$2:$A$401,$A60,'Player Rounds'!$B$2:$B$401,$B60,'Player Rounds'!$C$2:$C$401,$C60))))</f>
      </c>
      <c r="V60" t="e">
        <f>IF($A60="","",IF(COUNTIFS('Player Rounds'!$A$2:$A$401,$A60,'Player Rounds'!$B$2:$B$401,$B60,'Player Rounds'!$P$2:$P$401,"&gt;0")=0,"",SIGN(_xlfn.MINIFS('Player Rounds'!$AJ$2:$AJ$401,'Player Rounds'!$A$2:$A$401,$A60,'Player Rounds'!$B$2:$B$401,$B60,'Player Rounds'!$C$2:$C$401,$D60)-_xlfn.MINIFS('Player Rounds'!$AJ$2:$AJ$401,'Player Rounds'!$A$2:$A$401,$A60,'Player Rounds'!$B$2:$B$401,$B60,'Player Rounds'!$C$2:$C$401,$C60))))</f>
      </c>
      <c r="W60" t="e">
        <f>IF($A60="","",IF(COUNTIFS('Player Rounds'!$A$2:$A$401,$A60,'Player Rounds'!$B$2:$B$401,$B60,'Player Rounds'!$Q$2:$Q$401,"&gt;0")=0,"",SIGN(_xlfn.MINIFS('Player Rounds'!$AK$2:$AK$401,'Player Rounds'!$A$2:$A$401,$A60,'Player Rounds'!$B$2:$B$401,$B60,'Player Rounds'!$C$2:$C$401,$D60)-_xlfn.MINIFS('Player Rounds'!$AK$2:$AK$401,'Player Rounds'!$A$2:$A$401,$A60,'Player Rounds'!$B$2:$B$401,$B60,'Player Rounds'!$C$2:$C$401,$C60))))</f>
      </c>
      <c r="X60" t="e">
        <f>IF($A60="","",IF(COUNTIFS('Player Rounds'!$A$2:$A$401,$A60,'Player Rounds'!$B$2:$B$401,$B60,'Player Rounds'!$R$2:$R$401,"&gt;0")=0,"",SIGN(_xlfn.MINIFS('Player Rounds'!$AL$2:$AL$401,'Player Rounds'!$A$2:$A$401,$A60,'Player Rounds'!$B$2:$B$401,$B60,'Player Rounds'!$C$2:$C$401,$D60)-_xlfn.MINIFS('Player Rounds'!$AL$2:$AL$401,'Player Rounds'!$A$2:$A$401,$A60,'Player Rounds'!$B$2:$B$401,$B60,'Player Rounds'!$C$2:$C$401,$C60))))</f>
      </c>
      <c r="Y60" t="e">
        <f>IF($A60="","",IF(COUNTIFS('Player Rounds'!$A$2:$A$401,$A60,'Player Rounds'!$B$2:$B$401,$B60,'Player Rounds'!$S$2:$S$401,"&gt;0")=0,"",SIGN(_xlfn.MINIFS('Player Rounds'!$AM$2:$AM$401,'Player Rounds'!$A$2:$A$401,$A60,'Player Rounds'!$B$2:$B$401,$B60,'Player Rounds'!$C$2:$C$401,$D60)-_xlfn.MINIFS('Player Rounds'!$AM$2:$AM$401,'Player Rounds'!$A$2:$A$401,$A60,'Player Rounds'!$B$2:$B$401,$B60,'Player Rounds'!$C$2:$C$401,$C60))))</f>
      </c>
      <c r="Z60" t="e">
        <f>IF($A60="","",IF(COUNTIFS('Player Rounds'!$A$2:$A$401,$A60,'Player Rounds'!$B$2:$B$401,$B60,'Player Rounds'!$T$2:$T$401,"&gt;0")=0,"",SIGN(_xlfn.MINIFS('Player Rounds'!$AN$2:$AN$401,'Player Rounds'!$A$2:$A$401,$A60,'Player Rounds'!$B$2:$B$401,$B60,'Player Rounds'!$C$2:$C$401,$D60)-_xlfn.MINIFS('Player Rounds'!$AN$2:$AN$401,'Player Rounds'!$A$2:$A$401,$A60,'Player Rounds'!$B$2:$B$401,$B60,'Player Rounds'!$C$2:$C$401,$C60))))</f>
      </c>
      <c r="AA60" t="e">
        <f>IF($A60="","",IF(COUNTIFS('Player Rounds'!$A$2:$A$401,$A60,'Player Rounds'!$B$2:$B$401,$B60,'Player Rounds'!$U$2:$U$401,"&gt;0")=0,"",SIGN(_xlfn.MINIFS('Player Rounds'!$AO$2:$AO$401,'Player Rounds'!$A$2:$A$401,$A60,'Player Rounds'!$B$2:$B$401,$B60,'Player Rounds'!$C$2:$C$401,$D60)-_xlfn.MINIFS('Player Rounds'!$AO$2:$AO$401,'Player Rounds'!$A$2:$A$401,$A60,'Player Rounds'!$B$2:$B$401,$B60,'Player Rounds'!$C$2:$C$401,$C60))))</f>
      </c>
      <c r="AB60" t="e">
        <f>IF($A60="","",IF(COUNTIFS('Player Rounds'!$A$2:$A$401,$A60,'Player Rounds'!$B$2:$B$401,$B60,'Player Rounds'!$V$2:$V$401,"&gt;0")=0,"",SIGN(_xlfn.MINIFS('Player Rounds'!$AP$2:$AP$401,'Player Rounds'!$A$2:$A$401,$A60,'Player Rounds'!$B$2:$B$401,$B60,'Player Rounds'!$C$2:$C$401,$D60)-_xlfn.MINIFS('Player Rounds'!$AP$2:$AP$401,'Player Rounds'!$A$2:$A$401,$A60,'Player Rounds'!$B$2:$B$401,$B60,'Player Rounds'!$C$2:$C$401,$C60))))</f>
      </c>
      <c r="AC60" t="e">
        <f>IF($A60="","",IF(COUNTIFS('Player Rounds'!$A$2:$A$401,$A60,'Player Rounds'!$B$2:$B$401,$B60,'Player Rounds'!$W$2:$W$401,"&gt;0")=0,"",SIGN(_xlfn.MINIFS('Player Rounds'!$AQ$2:$AQ$401,'Player Rounds'!$A$2:$A$401,$A60,'Player Rounds'!$B$2:$B$401,$B60,'Player Rounds'!$C$2:$C$401,$D60)-_xlfn.MINIFS('Player Rounds'!$AQ$2:$AQ$401,'Player Rounds'!$A$2:$A$401,$A60,'Player Rounds'!$B$2:$B$401,$B60,'Player Rounds'!$C$2:$C$401,$C60))))</f>
      </c>
      <c r="AD60" t="e">
        <f>IF($A60="","",SUM($L60:L60))</f>
      </c>
      <c r="AE60" t="e">
        <f>IF($A60="","",SUM($L60:M60))</f>
      </c>
      <c r="AF60" t="e">
        <f>IF($A60="","",SUM($L60:N60))</f>
      </c>
      <c r="AG60" t="e">
        <f>IF($A60="","",SUM($L60:O60))</f>
      </c>
      <c r="AH60" t="e">
        <f>IF($A60="","",SUM($L60:P60))</f>
      </c>
      <c r="AI60" t="e">
        <f>IF($A60="","",SUM($L60:Q60))</f>
      </c>
      <c r="AJ60" t="e">
        <f>IF($A60="","",SUM($L60:R60))</f>
      </c>
      <c r="AK60" t="e">
        <f>IF($A60="","",SUM($L60:S60))</f>
      </c>
      <c r="AL60" t="e">
        <f>IF($A60="","",SUM($L60:T60))</f>
      </c>
      <c r="AM60" t="e">
        <f>IF($A60="","",SUM($L60:U60))</f>
      </c>
      <c r="AN60" t="e">
        <f>IF($A60="","",SUM($L60:V60))</f>
      </c>
      <c r="AO60" t="e">
        <f>IF($A60="","",SUM($L60:W60))</f>
      </c>
      <c r="AP60" t="e">
        <f>IF($A60="","",SUM($L60:X60))</f>
      </c>
      <c r="AQ60" t="e">
        <f>IF($A60="","",SUM($L60:Y60))</f>
      </c>
      <c r="AR60" t="e">
        <f>IF($A60="","",SUM($L60:Z60))</f>
      </c>
      <c r="AS60" t="e">
        <f>IF($A60="","",SUM($L60:AA60))</f>
      </c>
      <c r="AT60" t="e">
        <f>IF($A60="","",SUM($L60:AB60))</f>
      </c>
      <c r="AU60" t="e">
        <f>IF($A60="","",SUM($L60:AC60))</f>
      </c>
      <c r="AV60" t="e">
        <f>IF(OR($A60="",L60=""),"",IF(ABS(AD60)&gt;17,1,""))</f>
      </c>
      <c r="AW60" t="e">
        <f>IF(OR($A60="",M60=""),"",IF(ABS(AE60)&gt;16,2,""))</f>
      </c>
      <c r="AX60" t="e">
        <f>IF(OR($A60="",N60=""),"",IF(ABS(AF60)&gt;15,3,""))</f>
      </c>
      <c r="AY60" t="e">
        <f>IF(OR($A60="",O60=""),"",IF(ABS(AG60)&gt;14,4,""))</f>
      </c>
      <c r="AZ60" t="e">
        <f>IF(OR($A60="",P60=""),"",IF(ABS(AH60)&gt;13,5,""))</f>
      </c>
      <c r="BA60" t="e">
        <f>IF(OR($A60="",Q60=""),"",IF(ABS(AI60)&gt;12,6,""))</f>
      </c>
      <c r="BB60" t="e">
        <f>IF(OR($A60="",R60=""),"",IF(ABS(AJ60)&gt;11,7,""))</f>
      </c>
      <c r="BC60" t="e">
        <f>IF(OR($A60="",S60=""),"",IF(ABS(AK60)&gt;10,8,""))</f>
      </c>
      <c r="BD60" t="e">
        <f>IF(OR($A60="",T60=""),"",IF(ABS(AL60)&gt;9,9,""))</f>
      </c>
      <c r="BE60" t="e">
        <f>IF(OR($A60="",U60=""),"",IF(ABS(AM60)&gt;8,10,""))</f>
      </c>
      <c r="BF60" t="e">
        <f>IF(OR($A60="",V60=""),"",IF(ABS(AN60)&gt;7,11,""))</f>
      </c>
      <c r="BG60" t="e">
        <f>IF(OR($A60="",W60=""),"",IF(ABS(AO60)&gt;6,12,""))</f>
      </c>
      <c r="BH60" t="e">
        <f>IF(OR($A60="",X60=""),"",IF(ABS(AP60)&gt;5,13,""))</f>
      </c>
      <c r="BI60" t="e">
        <f>IF(OR($A60="",Y60=""),"",IF(ABS(AQ60)&gt;4,14,""))</f>
      </c>
      <c r="BJ60" t="e">
        <f>IF(OR($A60="",Z60=""),"",IF(ABS(AR60)&gt;3,15,""))</f>
      </c>
      <c r="BK60" t="e">
        <f>IF(OR($A60="",AA60=""),"",IF(ABS(AS60)&gt;2,16,""))</f>
      </c>
      <c r="BL60" t="e">
        <f>IF(OR($A60="",AB60=""),"",IF(ABS(AT60)&gt;1,17,""))</f>
      </c>
      <c r="BM60" t="e">
        <f>IF(OR($A60="",AC60=""),"",IF(ABS(AU60)&gt;0,18,""))</f>
      </c>
    </row>
    <row r="61">
      <c r="C61" t="str">
        <f>IF($A61="","",INDEX('Tournament Setup'!$J:$J,MATCH($A61,'Tournament Setup'!$A:$A,0)))</f>
        <v/>
      </c>
      <c r="D61" t="str">
        <f>IF($A61="","",INDEX('Tournament Setup'!$K:$K,MATCH($A61,'Tournament Setup'!$A:$A,0)))</f>
        <v/>
      </c>
      <c r="E61" t="str">
        <f>IF($A61="","",IF(COUNT(L61:AC61)=0,"Not played",IF(AND($K61&gt;0,$K61&lt;18),IF(INDEX(AD61:AU61,1,$K61)&gt;0,$C61,$D61)&amp;" "&amp;ABS(INDEX(AD61:AU61,1,$K61))&amp;"&amp;"&amp;(18-$K61),IF($J61=0,"Halved (AS)",IF($J61&gt;0,$C61,$D61)&amp;" "&amp;ABS($J61)&amp;" UP"))))</f>
        <v/>
      </c>
      <c r="F61" t="e">
        <f>IF(OR($A61="",COUNT(L61:AC61)=0),"",INDEX('Tournament Setup'!$I:$I,MATCH($A61,'Tournament Setup'!$A:$A,0))*IF(INDEX('Tournament Setup'!$H:$H,MATCH($A61,'Tournament Setup'!$A:$A,0))="Yes",IF($H61&gt;0,1,IF($H61=0,0.5,0))+IF($I61&gt;0,1,IF($I61=0,0.5,0))+IF($J61&gt;0,1,IF($J61=0,0.5,0)),IF(IF(AND($K61&gt;0,$K61&lt;18),INDEX(AD61:AU61,1,$K61),$J61)&gt;0,1,IF(IF(AND($K61&gt;0,$K61&lt;18),INDEX(AD61:AU61,1,$K61),$J61)=0,0.5,0))))</f>
      </c>
      <c r="G61" t="e">
        <f>IF(OR($A61="",COUNT(L61:AC61)=0),"",INDEX('Tournament Setup'!$I:$I,MATCH($A61,'Tournament Setup'!$A:$A,0))*IF(INDEX('Tournament Setup'!$H:$H,MATCH($A61,'Tournament Setup'!$A:$A,0))="Yes",IF($H61&lt;0,1,IF($H61=0,0.5,0))+IF($I61&lt;0,1,IF($I61=0,0.5,0))+IF($J61&lt;0,1,IF($J61=0,0.5,0)),IF(IF(AND($K61&gt;0,$K61&lt;18),INDEX(AD61:AU61,1,$K61),$J61)&lt;0,1,IF(IF(AND($K61&gt;0,$K61&lt;18),INDEX(AD61:AU61,1,$K61),$J61)=0,0.5,0))))</f>
      </c>
      <c r="H61" t="e">
        <f>IF($A61="","",SUM(L61:T61))</f>
      </c>
      <c r="I61" t="e">
        <f>IF($A61="","",SUM(U61:AC61))</f>
      </c>
      <c r="J61" t="e">
        <f>IF($A61="","",SUM(L61:AC61))</f>
      </c>
      <c r="K61" t="e">
        <f>IF($A61="","",MIN(AV61:BM61))</f>
      </c>
      <c r="L61" t="e">
        <f>IF($A61="","",IF(COUNTIFS('Player Rounds'!$A$2:$A$401,$A61,'Player Rounds'!$B$2:$B$401,$B61,'Player Rounds'!$F$2:$F$401,"&gt;0")=0,"",SIGN(_xlfn.MINIFS('Player Rounds'!$Z$2:$Z$401,'Player Rounds'!$A$2:$A$401,$A61,'Player Rounds'!$B$2:$B$401,$B61,'Player Rounds'!$C$2:$C$401,$D61)-_xlfn.MINIFS('Player Rounds'!$Z$2:$Z$401,'Player Rounds'!$A$2:$A$401,$A61,'Player Rounds'!$B$2:$B$401,$B61,'Player Rounds'!$C$2:$C$401,$C61))))</f>
      </c>
      <c r="M61" t="e">
        <f>IF($A61="","",IF(COUNTIFS('Player Rounds'!$A$2:$A$401,$A61,'Player Rounds'!$B$2:$B$401,$B61,'Player Rounds'!$G$2:$G$401,"&gt;0")=0,"",SIGN(_xlfn.MINIFS('Player Rounds'!$AA$2:$AA$401,'Player Rounds'!$A$2:$A$401,$A61,'Player Rounds'!$B$2:$B$401,$B61,'Player Rounds'!$C$2:$C$401,$D61)-_xlfn.MINIFS('Player Rounds'!$AA$2:$AA$401,'Player Rounds'!$A$2:$A$401,$A61,'Player Rounds'!$B$2:$B$401,$B61,'Player Rounds'!$C$2:$C$401,$C61))))</f>
      </c>
      <c r="N61" t="e">
        <f>IF($A61="","",IF(COUNTIFS('Player Rounds'!$A$2:$A$401,$A61,'Player Rounds'!$B$2:$B$401,$B61,'Player Rounds'!$H$2:$H$401,"&gt;0")=0,"",SIGN(_xlfn.MINIFS('Player Rounds'!$AB$2:$AB$401,'Player Rounds'!$A$2:$A$401,$A61,'Player Rounds'!$B$2:$B$401,$B61,'Player Rounds'!$C$2:$C$401,$D61)-_xlfn.MINIFS('Player Rounds'!$AB$2:$AB$401,'Player Rounds'!$A$2:$A$401,$A61,'Player Rounds'!$B$2:$B$401,$B61,'Player Rounds'!$C$2:$C$401,$C61))))</f>
      </c>
      <c r="O61" t="e">
        <f>IF($A61="","",IF(COUNTIFS('Player Rounds'!$A$2:$A$401,$A61,'Player Rounds'!$B$2:$B$401,$B61,'Player Rounds'!$I$2:$I$401,"&gt;0")=0,"",SIGN(_xlfn.MINIFS('Player Rounds'!$AC$2:$AC$401,'Player Rounds'!$A$2:$A$401,$A61,'Player Rounds'!$B$2:$B$401,$B61,'Player Rounds'!$C$2:$C$401,$D61)-_xlfn.MINIFS('Player Rounds'!$AC$2:$AC$401,'Player Rounds'!$A$2:$A$401,$A61,'Player Rounds'!$B$2:$B$401,$B61,'Player Rounds'!$C$2:$C$401,$C61))))</f>
      </c>
      <c r="P61" t="e">
        <f>IF($A61="","",IF(COUNTIFS('Player Rounds'!$A$2:$A$401,$A61,'Player Rounds'!$B$2:$B$401,$B61,'Player Rounds'!$J$2:$J$401,"&gt;0")=0,"",SIGN(_xlfn.MINIFS('Player Rounds'!$AD$2:$AD$401,'Player Rounds'!$A$2:$A$401,$A61,'Player Rounds'!$B$2:$B$401,$B61,'Player Rounds'!$C$2:$C$401,$D61)-_xlfn.MINIFS('Player Rounds'!$AD$2:$AD$401,'Player Rounds'!$A$2:$A$401,$A61,'Player Rounds'!$B$2:$B$401,$B61,'Player Rounds'!$C$2:$C$401,$C61))))</f>
      </c>
      <c r="Q61" t="e">
        <f>IF($A61="","",IF(COUNTIFS('Player Rounds'!$A$2:$A$401,$A61,'Player Rounds'!$B$2:$B$401,$B61,'Player Rounds'!$K$2:$K$401,"&gt;0")=0,"",SIGN(_xlfn.MINIFS('Player Rounds'!$AE$2:$AE$401,'Player Rounds'!$A$2:$A$401,$A61,'Player Rounds'!$B$2:$B$401,$B61,'Player Rounds'!$C$2:$C$401,$D61)-_xlfn.MINIFS('Player Rounds'!$AE$2:$AE$401,'Player Rounds'!$A$2:$A$401,$A61,'Player Rounds'!$B$2:$B$401,$B61,'Player Rounds'!$C$2:$C$401,$C61))))</f>
      </c>
      <c r="R61" t="e">
        <f>IF($A61="","",IF(COUNTIFS('Player Rounds'!$A$2:$A$401,$A61,'Player Rounds'!$B$2:$B$401,$B61,'Player Rounds'!$L$2:$L$401,"&gt;0")=0,"",SIGN(_xlfn.MINIFS('Player Rounds'!$AF$2:$AF$401,'Player Rounds'!$A$2:$A$401,$A61,'Player Rounds'!$B$2:$B$401,$B61,'Player Rounds'!$C$2:$C$401,$D61)-_xlfn.MINIFS('Player Rounds'!$AF$2:$AF$401,'Player Rounds'!$A$2:$A$401,$A61,'Player Rounds'!$B$2:$B$401,$B61,'Player Rounds'!$C$2:$C$401,$C61))))</f>
      </c>
      <c r="S61" t="e">
        <f>IF($A61="","",IF(COUNTIFS('Player Rounds'!$A$2:$A$401,$A61,'Player Rounds'!$B$2:$B$401,$B61,'Player Rounds'!$M$2:$M$401,"&gt;0")=0,"",SIGN(_xlfn.MINIFS('Player Rounds'!$AG$2:$AG$401,'Player Rounds'!$A$2:$A$401,$A61,'Player Rounds'!$B$2:$B$401,$B61,'Player Rounds'!$C$2:$C$401,$D61)-_xlfn.MINIFS('Player Rounds'!$AG$2:$AG$401,'Player Rounds'!$A$2:$A$401,$A61,'Player Rounds'!$B$2:$B$401,$B61,'Player Rounds'!$C$2:$C$401,$C61))))</f>
      </c>
      <c r="T61" t="e">
        <f>IF($A61="","",IF(COUNTIFS('Player Rounds'!$A$2:$A$401,$A61,'Player Rounds'!$B$2:$B$401,$B61,'Player Rounds'!$N$2:$N$401,"&gt;0")=0,"",SIGN(_xlfn.MINIFS('Player Rounds'!$AH$2:$AH$401,'Player Rounds'!$A$2:$A$401,$A61,'Player Rounds'!$B$2:$B$401,$B61,'Player Rounds'!$C$2:$C$401,$D61)-_xlfn.MINIFS('Player Rounds'!$AH$2:$AH$401,'Player Rounds'!$A$2:$A$401,$A61,'Player Rounds'!$B$2:$B$401,$B61,'Player Rounds'!$C$2:$C$401,$C61))))</f>
      </c>
      <c r="U61" t="e">
        <f>IF($A61="","",IF(COUNTIFS('Player Rounds'!$A$2:$A$401,$A61,'Player Rounds'!$B$2:$B$401,$B61,'Player Rounds'!$O$2:$O$401,"&gt;0")=0,"",SIGN(_xlfn.MINIFS('Player Rounds'!$AI$2:$AI$401,'Player Rounds'!$A$2:$A$401,$A61,'Player Rounds'!$B$2:$B$401,$B61,'Player Rounds'!$C$2:$C$401,$D61)-_xlfn.MINIFS('Player Rounds'!$AI$2:$AI$401,'Player Rounds'!$A$2:$A$401,$A61,'Player Rounds'!$B$2:$B$401,$B61,'Player Rounds'!$C$2:$C$401,$C61))))</f>
      </c>
      <c r="V61" t="e">
        <f>IF($A61="","",IF(COUNTIFS('Player Rounds'!$A$2:$A$401,$A61,'Player Rounds'!$B$2:$B$401,$B61,'Player Rounds'!$P$2:$P$401,"&gt;0")=0,"",SIGN(_xlfn.MINIFS('Player Rounds'!$AJ$2:$AJ$401,'Player Rounds'!$A$2:$A$401,$A61,'Player Rounds'!$B$2:$B$401,$B61,'Player Rounds'!$C$2:$C$401,$D61)-_xlfn.MINIFS('Player Rounds'!$AJ$2:$AJ$401,'Player Rounds'!$A$2:$A$401,$A61,'Player Rounds'!$B$2:$B$401,$B61,'Player Rounds'!$C$2:$C$401,$C61))))</f>
      </c>
      <c r="W61" t="e">
        <f>IF($A61="","",IF(COUNTIFS('Player Rounds'!$A$2:$A$401,$A61,'Player Rounds'!$B$2:$B$401,$B61,'Player Rounds'!$Q$2:$Q$401,"&gt;0")=0,"",SIGN(_xlfn.MINIFS('Player Rounds'!$AK$2:$AK$401,'Player Rounds'!$A$2:$A$401,$A61,'Player Rounds'!$B$2:$B$401,$B61,'Player Rounds'!$C$2:$C$401,$D61)-_xlfn.MINIFS('Player Rounds'!$AK$2:$AK$401,'Player Rounds'!$A$2:$A$401,$A61,'Player Rounds'!$B$2:$B$401,$B61,'Player Rounds'!$C$2:$C$401,$C61))))</f>
      </c>
      <c r="X61" t="e">
        <f>IF($A61="","",IF(COUNTIFS('Player Rounds'!$A$2:$A$401,$A61,'Player Rounds'!$B$2:$B$401,$B61,'Player Rounds'!$R$2:$R$401,"&gt;0")=0,"",SIGN(_xlfn.MINIFS('Player Rounds'!$AL$2:$AL$401,'Player Rounds'!$A$2:$A$401,$A61,'Player Rounds'!$B$2:$B$401,$B61,'Player Rounds'!$C$2:$C$401,$D61)-_xlfn.MINIFS('Player Rounds'!$AL$2:$AL$401,'Player Rounds'!$A$2:$A$401,$A61,'Player Rounds'!$B$2:$B$401,$B61,'Player Rounds'!$C$2:$C$401,$C61))))</f>
      </c>
      <c r="Y61" t="e">
        <f>IF($A61="","",IF(COUNTIFS('Player Rounds'!$A$2:$A$401,$A61,'Player Rounds'!$B$2:$B$401,$B61,'Player Rounds'!$S$2:$S$401,"&gt;0")=0,"",SIGN(_xlfn.MINIFS('Player Rounds'!$AM$2:$AM$401,'Player Rounds'!$A$2:$A$401,$A61,'Player Rounds'!$B$2:$B$401,$B61,'Player Rounds'!$C$2:$C$401,$D61)-_xlfn.MINIFS('Player Rounds'!$AM$2:$AM$401,'Player Rounds'!$A$2:$A$401,$A61,'Player Rounds'!$B$2:$B$401,$B61,'Player Rounds'!$C$2:$C$401,$C61))))</f>
      </c>
      <c r="Z61" t="e">
        <f>IF($A61="","",IF(COUNTIFS('Player Rounds'!$A$2:$A$401,$A61,'Player Rounds'!$B$2:$B$401,$B61,'Player Rounds'!$T$2:$T$401,"&gt;0")=0,"",SIGN(_xlfn.MINIFS('Player Rounds'!$AN$2:$AN$401,'Player Rounds'!$A$2:$A$401,$A61,'Player Rounds'!$B$2:$B$401,$B61,'Player Rounds'!$C$2:$C$401,$D61)-_xlfn.MINIFS('Player Rounds'!$AN$2:$AN$401,'Player Rounds'!$A$2:$A$401,$A61,'Player Rounds'!$B$2:$B$401,$B61,'Player Rounds'!$C$2:$C$401,$C61))))</f>
      </c>
      <c r="AA61" t="e">
        <f>IF($A61="","",IF(COUNTIFS('Player Rounds'!$A$2:$A$401,$A61,'Player Rounds'!$B$2:$B$401,$B61,'Player Rounds'!$U$2:$U$401,"&gt;0")=0,"",SIGN(_xlfn.MINIFS('Player Rounds'!$AO$2:$AO$401,'Player Rounds'!$A$2:$A$401,$A61,'Player Rounds'!$B$2:$B$401,$B61,'Player Rounds'!$C$2:$C$401,$D61)-_xlfn.MINIFS('Player Rounds'!$AO$2:$AO$401,'Player Rounds'!$A$2:$A$401,$A61,'Player Rounds'!$B$2:$B$401,$B61,'Player Rounds'!$C$2:$C$401,$C61))))</f>
      </c>
      <c r="AB61" t="e">
        <f>IF($A61="","",IF(COUNTIFS('Player Rounds'!$A$2:$A$401,$A61,'Player Rounds'!$B$2:$B$401,$B61,'Player Rounds'!$V$2:$V$401,"&gt;0")=0,"",SIGN(_xlfn.MINIFS('Player Rounds'!$AP$2:$AP$401,'Player Rounds'!$A$2:$A$401,$A61,'Player Rounds'!$B$2:$B$401,$B61,'Player Rounds'!$C$2:$C$401,$D61)-_xlfn.MINIFS('Player Rounds'!$AP$2:$AP$401,'Player Rounds'!$A$2:$A$401,$A61,'Player Rounds'!$B$2:$B$401,$B61,'Player Rounds'!$C$2:$C$401,$C61))))</f>
      </c>
      <c r="AC61" t="e">
        <f>IF($A61="","",IF(COUNTIFS('Player Rounds'!$A$2:$A$401,$A61,'Player Rounds'!$B$2:$B$401,$B61,'Player Rounds'!$W$2:$W$401,"&gt;0")=0,"",SIGN(_xlfn.MINIFS('Player Rounds'!$AQ$2:$AQ$401,'Player Rounds'!$A$2:$A$401,$A61,'Player Rounds'!$B$2:$B$401,$B61,'Player Rounds'!$C$2:$C$401,$D61)-_xlfn.MINIFS('Player Rounds'!$AQ$2:$AQ$401,'Player Rounds'!$A$2:$A$401,$A61,'Player Rounds'!$B$2:$B$401,$B61,'Player Rounds'!$C$2:$C$401,$C61))))</f>
      </c>
      <c r="AD61" t="e">
        <f>IF($A61="","",SUM($L61:L61))</f>
      </c>
      <c r="AE61" t="e">
        <f>IF($A61="","",SUM($L61:M61))</f>
      </c>
      <c r="AF61" t="e">
        <f>IF($A61="","",SUM($L61:N61))</f>
      </c>
      <c r="AG61" t="e">
        <f>IF($A61="","",SUM($L61:O61))</f>
      </c>
      <c r="AH61" t="e">
        <f>IF($A61="","",SUM($L61:P61))</f>
      </c>
      <c r="AI61" t="e">
        <f>IF($A61="","",SUM($L61:Q61))</f>
      </c>
      <c r="AJ61" t="e">
        <f>IF($A61="","",SUM($L61:R61))</f>
      </c>
      <c r="AK61" t="e">
        <f>IF($A61="","",SUM($L61:S61))</f>
      </c>
      <c r="AL61" t="e">
        <f>IF($A61="","",SUM($L61:T61))</f>
      </c>
      <c r="AM61" t="e">
        <f>IF($A61="","",SUM($L61:U61))</f>
      </c>
      <c r="AN61" t="e">
        <f>IF($A61="","",SUM($L61:V61))</f>
      </c>
      <c r="AO61" t="e">
        <f>IF($A61="","",SUM($L61:W61))</f>
      </c>
      <c r="AP61" t="e">
        <f>IF($A61="","",SUM($L61:X61))</f>
      </c>
      <c r="AQ61" t="e">
        <f>IF($A61="","",SUM($L61:Y61))</f>
      </c>
      <c r="AR61" t="e">
        <f>IF($A61="","",SUM($L61:Z61))</f>
      </c>
      <c r="AS61" t="e">
        <f>IF($A61="","",SUM($L61:AA61))</f>
      </c>
      <c r="AT61" t="e">
        <f>IF($A61="","",SUM($L61:AB61))</f>
      </c>
      <c r="AU61" t="e">
        <f>IF($A61="","",SUM($L61:AC61))</f>
      </c>
      <c r="AV61" t="e">
        <f>IF(OR($A61="",L61=""),"",IF(ABS(AD61)&gt;17,1,""))</f>
      </c>
      <c r="AW61" t="e">
        <f>IF(OR($A61="",M61=""),"",IF(ABS(AE61)&gt;16,2,""))</f>
      </c>
      <c r="AX61" t="e">
        <f>IF(OR($A61="",N61=""),"",IF(ABS(AF61)&gt;15,3,""))</f>
      </c>
      <c r="AY61" t="e">
        <f>IF(OR($A61="",O61=""),"",IF(ABS(AG61)&gt;14,4,""))</f>
      </c>
      <c r="AZ61" t="e">
        <f>IF(OR($A61="",P61=""),"",IF(ABS(AH61)&gt;13,5,""))</f>
      </c>
      <c r="BA61" t="e">
        <f>IF(OR($A61="",Q61=""),"",IF(ABS(AI61)&gt;12,6,""))</f>
      </c>
      <c r="BB61" t="e">
        <f>IF(OR($A61="",R61=""),"",IF(ABS(AJ61)&gt;11,7,""))</f>
      </c>
      <c r="BC61" t="e">
        <f>IF(OR($A61="",S61=""),"",IF(ABS(AK61)&gt;10,8,""))</f>
      </c>
      <c r="BD61" t="e">
        <f>IF(OR($A61="",T61=""),"",IF(ABS(AL61)&gt;9,9,""))</f>
      </c>
      <c r="BE61" t="e">
        <f>IF(OR($A61="",U61=""),"",IF(ABS(AM61)&gt;8,10,""))</f>
      </c>
      <c r="BF61" t="e">
        <f>IF(OR($A61="",V61=""),"",IF(ABS(AN61)&gt;7,11,""))</f>
      </c>
      <c r="BG61" t="e">
        <f>IF(OR($A61="",W61=""),"",IF(ABS(AO61)&gt;6,12,""))</f>
      </c>
      <c r="BH61" t="e">
        <f>IF(OR($A61="",X61=""),"",IF(ABS(AP61)&gt;5,13,""))</f>
      </c>
      <c r="BI61" t="e">
        <f>IF(OR($A61="",Y61=""),"",IF(ABS(AQ61)&gt;4,14,""))</f>
      </c>
      <c r="BJ61" t="e">
        <f>IF(OR($A61="",Z61=""),"",IF(ABS(AR61)&gt;3,15,""))</f>
      </c>
      <c r="BK61" t="e">
        <f>IF(OR($A61="",AA61=""),"",IF(ABS(AS61)&gt;2,16,""))</f>
      </c>
      <c r="BL61" t="e">
        <f>IF(OR($A61="",AB61=""),"",IF(ABS(AT61)&gt;1,17,""))</f>
      </c>
      <c r="BM61" t="e">
        <f>IF(OR($A61="",AC61=""),"",IF(ABS(AU61)&gt;0,18,""))</f>
      </c>
    </row>
    <row r="62">
      <c r="C62" t="str">
        <f>IF($A62="","",INDEX('Tournament Setup'!$J:$J,MATCH($A62,'Tournament Setup'!$A:$A,0)))</f>
        <v/>
      </c>
      <c r="D62" t="str">
        <f>IF($A62="","",INDEX('Tournament Setup'!$K:$K,MATCH($A62,'Tournament Setup'!$A:$A,0)))</f>
        <v/>
      </c>
      <c r="E62" t="str">
        <f>IF($A62="","",IF(COUNT(L62:AC62)=0,"Not played",IF(AND($K62&gt;0,$K62&lt;18),IF(INDEX(AD62:AU62,1,$K62)&gt;0,$C62,$D62)&amp;" "&amp;ABS(INDEX(AD62:AU62,1,$K62))&amp;"&amp;"&amp;(18-$K62),IF($J62=0,"Halved (AS)",IF($J62&gt;0,$C62,$D62)&amp;" "&amp;ABS($J62)&amp;" UP"))))</f>
        <v/>
      </c>
      <c r="F62" t="e">
        <f>IF(OR($A62="",COUNT(L62:AC62)=0),"",INDEX('Tournament Setup'!$I:$I,MATCH($A62,'Tournament Setup'!$A:$A,0))*IF(INDEX('Tournament Setup'!$H:$H,MATCH($A62,'Tournament Setup'!$A:$A,0))="Yes",IF($H62&gt;0,1,IF($H62=0,0.5,0))+IF($I62&gt;0,1,IF($I62=0,0.5,0))+IF($J62&gt;0,1,IF($J62=0,0.5,0)),IF(IF(AND($K62&gt;0,$K62&lt;18),INDEX(AD62:AU62,1,$K62),$J62)&gt;0,1,IF(IF(AND($K62&gt;0,$K62&lt;18),INDEX(AD62:AU62,1,$K62),$J62)=0,0.5,0))))</f>
      </c>
      <c r="G62" t="e">
        <f>IF(OR($A62="",COUNT(L62:AC62)=0),"",INDEX('Tournament Setup'!$I:$I,MATCH($A62,'Tournament Setup'!$A:$A,0))*IF(INDEX('Tournament Setup'!$H:$H,MATCH($A62,'Tournament Setup'!$A:$A,0))="Yes",IF($H62&lt;0,1,IF($H62=0,0.5,0))+IF($I62&lt;0,1,IF($I62=0,0.5,0))+IF($J62&lt;0,1,IF($J62=0,0.5,0)),IF(IF(AND($K62&gt;0,$K62&lt;18),INDEX(AD62:AU62,1,$K62),$J62)&lt;0,1,IF(IF(AND($K62&gt;0,$K62&lt;18),INDEX(AD62:AU62,1,$K62),$J62)=0,0.5,0))))</f>
      </c>
      <c r="H62" t="e">
        <f>IF($A62="","",SUM(L62:T62))</f>
      </c>
      <c r="I62" t="e">
        <f>IF($A62="","",SUM(U62:AC62))</f>
      </c>
      <c r="J62" t="e">
        <f>IF($A62="","",SUM(L62:AC62))</f>
      </c>
      <c r="K62" t="e">
        <f>IF($A62="","",MIN(AV62:BM62))</f>
      </c>
      <c r="L62" t="e">
        <f>IF($A62="","",IF(COUNTIFS('Player Rounds'!$A$2:$A$401,$A62,'Player Rounds'!$B$2:$B$401,$B62,'Player Rounds'!$F$2:$F$401,"&gt;0")=0,"",SIGN(_xlfn.MINIFS('Player Rounds'!$Z$2:$Z$401,'Player Rounds'!$A$2:$A$401,$A62,'Player Rounds'!$B$2:$B$401,$B62,'Player Rounds'!$C$2:$C$401,$D62)-_xlfn.MINIFS('Player Rounds'!$Z$2:$Z$401,'Player Rounds'!$A$2:$A$401,$A62,'Player Rounds'!$B$2:$B$401,$B62,'Player Rounds'!$C$2:$C$401,$C62))))</f>
      </c>
      <c r="M62" t="e">
        <f>IF($A62="","",IF(COUNTIFS('Player Rounds'!$A$2:$A$401,$A62,'Player Rounds'!$B$2:$B$401,$B62,'Player Rounds'!$G$2:$G$401,"&gt;0")=0,"",SIGN(_xlfn.MINIFS('Player Rounds'!$AA$2:$AA$401,'Player Rounds'!$A$2:$A$401,$A62,'Player Rounds'!$B$2:$B$401,$B62,'Player Rounds'!$C$2:$C$401,$D62)-_xlfn.MINIFS('Player Rounds'!$AA$2:$AA$401,'Player Rounds'!$A$2:$A$401,$A62,'Player Rounds'!$B$2:$B$401,$B62,'Player Rounds'!$C$2:$C$401,$C62))))</f>
      </c>
      <c r="N62" t="e">
        <f>IF($A62="","",IF(COUNTIFS('Player Rounds'!$A$2:$A$401,$A62,'Player Rounds'!$B$2:$B$401,$B62,'Player Rounds'!$H$2:$H$401,"&gt;0")=0,"",SIGN(_xlfn.MINIFS('Player Rounds'!$AB$2:$AB$401,'Player Rounds'!$A$2:$A$401,$A62,'Player Rounds'!$B$2:$B$401,$B62,'Player Rounds'!$C$2:$C$401,$D62)-_xlfn.MINIFS('Player Rounds'!$AB$2:$AB$401,'Player Rounds'!$A$2:$A$401,$A62,'Player Rounds'!$B$2:$B$401,$B62,'Player Rounds'!$C$2:$C$401,$C62))))</f>
      </c>
      <c r="O62" t="e">
        <f>IF($A62="","",IF(COUNTIFS('Player Rounds'!$A$2:$A$401,$A62,'Player Rounds'!$B$2:$B$401,$B62,'Player Rounds'!$I$2:$I$401,"&gt;0")=0,"",SIGN(_xlfn.MINIFS('Player Rounds'!$AC$2:$AC$401,'Player Rounds'!$A$2:$A$401,$A62,'Player Rounds'!$B$2:$B$401,$B62,'Player Rounds'!$C$2:$C$401,$D62)-_xlfn.MINIFS('Player Rounds'!$AC$2:$AC$401,'Player Rounds'!$A$2:$A$401,$A62,'Player Rounds'!$B$2:$B$401,$B62,'Player Rounds'!$C$2:$C$401,$C62))))</f>
      </c>
      <c r="P62" t="e">
        <f>IF($A62="","",IF(COUNTIFS('Player Rounds'!$A$2:$A$401,$A62,'Player Rounds'!$B$2:$B$401,$B62,'Player Rounds'!$J$2:$J$401,"&gt;0")=0,"",SIGN(_xlfn.MINIFS('Player Rounds'!$AD$2:$AD$401,'Player Rounds'!$A$2:$A$401,$A62,'Player Rounds'!$B$2:$B$401,$B62,'Player Rounds'!$C$2:$C$401,$D62)-_xlfn.MINIFS('Player Rounds'!$AD$2:$AD$401,'Player Rounds'!$A$2:$A$401,$A62,'Player Rounds'!$B$2:$B$401,$B62,'Player Rounds'!$C$2:$C$401,$C62))))</f>
      </c>
      <c r="Q62" t="e">
        <f>IF($A62="","",IF(COUNTIFS('Player Rounds'!$A$2:$A$401,$A62,'Player Rounds'!$B$2:$B$401,$B62,'Player Rounds'!$K$2:$K$401,"&gt;0")=0,"",SIGN(_xlfn.MINIFS('Player Rounds'!$AE$2:$AE$401,'Player Rounds'!$A$2:$A$401,$A62,'Player Rounds'!$B$2:$B$401,$B62,'Player Rounds'!$C$2:$C$401,$D62)-_xlfn.MINIFS('Player Rounds'!$AE$2:$AE$401,'Player Rounds'!$A$2:$A$401,$A62,'Player Rounds'!$B$2:$B$401,$B62,'Player Rounds'!$C$2:$C$401,$C62))))</f>
      </c>
      <c r="R62" t="e">
        <f>IF($A62="","",IF(COUNTIFS('Player Rounds'!$A$2:$A$401,$A62,'Player Rounds'!$B$2:$B$401,$B62,'Player Rounds'!$L$2:$L$401,"&gt;0")=0,"",SIGN(_xlfn.MINIFS('Player Rounds'!$AF$2:$AF$401,'Player Rounds'!$A$2:$A$401,$A62,'Player Rounds'!$B$2:$B$401,$B62,'Player Rounds'!$C$2:$C$401,$D62)-_xlfn.MINIFS('Player Rounds'!$AF$2:$AF$401,'Player Rounds'!$A$2:$A$401,$A62,'Player Rounds'!$B$2:$B$401,$B62,'Player Rounds'!$C$2:$C$401,$C62))))</f>
      </c>
      <c r="S62" t="e">
        <f>IF($A62="","",IF(COUNTIFS('Player Rounds'!$A$2:$A$401,$A62,'Player Rounds'!$B$2:$B$401,$B62,'Player Rounds'!$M$2:$M$401,"&gt;0")=0,"",SIGN(_xlfn.MINIFS('Player Rounds'!$AG$2:$AG$401,'Player Rounds'!$A$2:$A$401,$A62,'Player Rounds'!$B$2:$B$401,$B62,'Player Rounds'!$C$2:$C$401,$D62)-_xlfn.MINIFS('Player Rounds'!$AG$2:$AG$401,'Player Rounds'!$A$2:$A$401,$A62,'Player Rounds'!$B$2:$B$401,$B62,'Player Rounds'!$C$2:$C$401,$C62))))</f>
      </c>
      <c r="T62" t="e">
        <f>IF($A62="","",IF(COUNTIFS('Player Rounds'!$A$2:$A$401,$A62,'Player Rounds'!$B$2:$B$401,$B62,'Player Rounds'!$N$2:$N$401,"&gt;0")=0,"",SIGN(_xlfn.MINIFS('Player Rounds'!$AH$2:$AH$401,'Player Rounds'!$A$2:$A$401,$A62,'Player Rounds'!$B$2:$B$401,$B62,'Player Rounds'!$C$2:$C$401,$D62)-_xlfn.MINIFS('Player Rounds'!$AH$2:$AH$401,'Player Rounds'!$A$2:$A$401,$A62,'Player Rounds'!$B$2:$B$401,$B62,'Player Rounds'!$C$2:$C$401,$C62))))</f>
      </c>
      <c r="U62" t="e">
        <f>IF($A62="","",IF(COUNTIFS('Player Rounds'!$A$2:$A$401,$A62,'Player Rounds'!$B$2:$B$401,$B62,'Player Rounds'!$O$2:$O$401,"&gt;0")=0,"",SIGN(_xlfn.MINIFS('Player Rounds'!$AI$2:$AI$401,'Player Rounds'!$A$2:$A$401,$A62,'Player Rounds'!$B$2:$B$401,$B62,'Player Rounds'!$C$2:$C$401,$D62)-_xlfn.MINIFS('Player Rounds'!$AI$2:$AI$401,'Player Rounds'!$A$2:$A$401,$A62,'Player Rounds'!$B$2:$B$401,$B62,'Player Rounds'!$C$2:$C$401,$C62))))</f>
      </c>
      <c r="V62" t="e">
        <f>IF($A62="","",IF(COUNTIFS('Player Rounds'!$A$2:$A$401,$A62,'Player Rounds'!$B$2:$B$401,$B62,'Player Rounds'!$P$2:$P$401,"&gt;0")=0,"",SIGN(_xlfn.MINIFS('Player Rounds'!$AJ$2:$AJ$401,'Player Rounds'!$A$2:$A$401,$A62,'Player Rounds'!$B$2:$B$401,$B62,'Player Rounds'!$C$2:$C$401,$D62)-_xlfn.MINIFS('Player Rounds'!$AJ$2:$AJ$401,'Player Rounds'!$A$2:$A$401,$A62,'Player Rounds'!$B$2:$B$401,$B62,'Player Rounds'!$C$2:$C$401,$C62))))</f>
      </c>
      <c r="W62" t="e">
        <f>IF($A62="","",IF(COUNTIFS('Player Rounds'!$A$2:$A$401,$A62,'Player Rounds'!$B$2:$B$401,$B62,'Player Rounds'!$Q$2:$Q$401,"&gt;0")=0,"",SIGN(_xlfn.MINIFS('Player Rounds'!$AK$2:$AK$401,'Player Rounds'!$A$2:$A$401,$A62,'Player Rounds'!$B$2:$B$401,$B62,'Player Rounds'!$C$2:$C$401,$D62)-_xlfn.MINIFS('Player Rounds'!$AK$2:$AK$401,'Player Rounds'!$A$2:$A$401,$A62,'Player Rounds'!$B$2:$B$401,$B62,'Player Rounds'!$C$2:$C$401,$C62))))</f>
      </c>
      <c r="X62" t="e">
        <f>IF($A62="","",IF(COUNTIFS('Player Rounds'!$A$2:$A$401,$A62,'Player Rounds'!$B$2:$B$401,$B62,'Player Rounds'!$R$2:$R$401,"&gt;0")=0,"",SIGN(_xlfn.MINIFS('Player Rounds'!$AL$2:$AL$401,'Player Rounds'!$A$2:$A$401,$A62,'Player Rounds'!$B$2:$B$401,$B62,'Player Rounds'!$C$2:$C$401,$D62)-_xlfn.MINIFS('Player Rounds'!$AL$2:$AL$401,'Player Rounds'!$A$2:$A$401,$A62,'Player Rounds'!$B$2:$B$401,$B62,'Player Rounds'!$C$2:$C$401,$C62))))</f>
      </c>
      <c r="Y62" t="e">
        <f>IF($A62="","",IF(COUNTIFS('Player Rounds'!$A$2:$A$401,$A62,'Player Rounds'!$B$2:$B$401,$B62,'Player Rounds'!$S$2:$S$401,"&gt;0")=0,"",SIGN(_xlfn.MINIFS('Player Rounds'!$AM$2:$AM$401,'Player Rounds'!$A$2:$A$401,$A62,'Player Rounds'!$B$2:$B$401,$B62,'Player Rounds'!$C$2:$C$401,$D62)-_xlfn.MINIFS('Player Rounds'!$AM$2:$AM$401,'Player Rounds'!$A$2:$A$401,$A62,'Player Rounds'!$B$2:$B$401,$B62,'Player Rounds'!$C$2:$C$401,$C62))))</f>
      </c>
      <c r="Z62" t="e">
        <f>IF($A62="","",IF(COUNTIFS('Player Rounds'!$A$2:$A$401,$A62,'Player Rounds'!$B$2:$B$401,$B62,'Player Rounds'!$T$2:$T$401,"&gt;0")=0,"",SIGN(_xlfn.MINIFS('Player Rounds'!$AN$2:$AN$401,'Player Rounds'!$A$2:$A$401,$A62,'Player Rounds'!$B$2:$B$401,$B62,'Player Rounds'!$C$2:$C$401,$D62)-_xlfn.MINIFS('Player Rounds'!$AN$2:$AN$401,'Player Rounds'!$A$2:$A$401,$A62,'Player Rounds'!$B$2:$B$401,$B62,'Player Rounds'!$C$2:$C$401,$C62))))</f>
      </c>
      <c r="AA62" t="e">
        <f>IF($A62="","",IF(COUNTIFS('Player Rounds'!$A$2:$A$401,$A62,'Player Rounds'!$B$2:$B$401,$B62,'Player Rounds'!$U$2:$U$401,"&gt;0")=0,"",SIGN(_xlfn.MINIFS('Player Rounds'!$AO$2:$AO$401,'Player Rounds'!$A$2:$A$401,$A62,'Player Rounds'!$B$2:$B$401,$B62,'Player Rounds'!$C$2:$C$401,$D62)-_xlfn.MINIFS('Player Rounds'!$AO$2:$AO$401,'Player Rounds'!$A$2:$A$401,$A62,'Player Rounds'!$B$2:$B$401,$B62,'Player Rounds'!$C$2:$C$401,$C62))))</f>
      </c>
      <c r="AB62" t="e">
        <f>IF($A62="","",IF(COUNTIFS('Player Rounds'!$A$2:$A$401,$A62,'Player Rounds'!$B$2:$B$401,$B62,'Player Rounds'!$V$2:$V$401,"&gt;0")=0,"",SIGN(_xlfn.MINIFS('Player Rounds'!$AP$2:$AP$401,'Player Rounds'!$A$2:$A$401,$A62,'Player Rounds'!$B$2:$B$401,$B62,'Player Rounds'!$C$2:$C$401,$D62)-_xlfn.MINIFS('Player Rounds'!$AP$2:$AP$401,'Player Rounds'!$A$2:$A$401,$A62,'Player Rounds'!$B$2:$B$401,$B62,'Player Rounds'!$C$2:$C$401,$C62))))</f>
      </c>
      <c r="AC62" t="e">
        <f>IF($A62="","",IF(COUNTIFS('Player Rounds'!$A$2:$A$401,$A62,'Player Rounds'!$B$2:$B$401,$B62,'Player Rounds'!$W$2:$W$401,"&gt;0")=0,"",SIGN(_xlfn.MINIFS('Player Rounds'!$AQ$2:$AQ$401,'Player Rounds'!$A$2:$A$401,$A62,'Player Rounds'!$B$2:$B$401,$B62,'Player Rounds'!$C$2:$C$401,$D62)-_xlfn.MINIFS('Player Rounds'!$AQ$2:$AQ$401,'Player Rounds'!$A$2:$A$401,$A62,'Player Rounds'!$B$2:$B$401,$B62,'Player Rounds'!$C$2:$C$401,$C62))))</f>
      </c>
      <c r="AD62" t="e">
        <f>IF($A62="","",SUM($L62:L62))</f>
      </c>
      <c r="AE62" t="e">
        <f>IF($A62="","",SUM($L62:M62))</f>
      </c>
      <c r="AF62" t="e">
        <f>IF($A62="","",SUM($L62:N62))</f>
      </c>
      <c r="AG62" t="e">
        <f>IF($A62="","",SUM($L62:O62))</f>
      </c>
      <c r="AH62" t="e">
        <f>IF($A62="","",SUM($L62:P62))</f>
      </c>
      <c r="AI62" t="e">
        <f>IF($A62="","",SUM($L62:Q62))</f>
      </c>
      <c r="AJ62" t="e">
        <f>IF($A62="","",SUM($L62:R62))</f>
      </c>
      <c r="AK62" t="e">
        <f>IF($A62="","",SUM($L62:S62))</f>
      </c>
      <c r="AL62" t="e">
        <f>IF($A62="","",SUM($L62:T62))</f>
      </c>
      <c r="AM62" t="e">
        <f>IF($A62="","",SUM($L62:U62))</f>
      </c>
      <c r="AN62" t="e">
        <f>IF($A62="","",SUM($L62:V62))</f>
      </c>
      <c r="AO62" t="e">
        <f>IF($A62="","",SUM($L62:W62))</f>
      </c>
      <c r="AP62" t="e">
        <f>IF($A62="","",SUM($L62:X62))</f>
      </c>
      <c r="AQ62" t="e">
        <f>IF($A62="","",SUM($L62:Y62))</f>
      </c>
      <c r="AR62" t="e">
        <f>IF($A62="","",SUM($L62:Z62))</f>
      </c>
      <c r="AS62" t="e">
        <f>IF($A62="","",SUM($L62:AA62))</f>
      </c>
      <c r="AT62" t="e">
        <f>IF($A62="","",SUM($L62:AB62))</f>
      </c>
      <c r="AU62" t="e">
        <f>IF($A62="","",SUM($L62:AC62))</f>
      </c>
      <c r="AV62" t="e">
        <f>IF(OR($A62="",L62=""),"",IF(ABS(AD62)&gt;17,1,""))</f>
      </c>
      <c r="AW62" t="e">
        <f>IF(OR($A62="",M62=""),"",IF(ABS(AE62)&gt;16,2,""))</f>
      </c>
      <c r="AX62" t="e">
        <f>IF(OR($A62="",N62=""),"",IF(ABS(AF62)&gt;15,3,""))</f>
      </c>
      <c r="AY62" t="e">
        <f>IF(OR($A62="",O62=""),"",IF(ABS(AG62)&gt;14,4,""))</f>
      </c>
      <c r="AZ62" t="e">
        <f>IF(OR($A62="",P62=""),"",IF(ABS(AH62)&gt;13,5,""))</f>
      </c>
      <c r="BA62" t="e">
        <f>IF(OR($A62="",Q62=""),"",IF(ABS(AI62)&gt;12,6,""))</f>
      </c>
      <c r="BB62" t="e">
        <f>IF(OR($A62="",R62=""),"",IF(ABS(AJ62)&gt;11,7,""))</f>
      </c>
      <c r="BC62" t="e">
        <f>IF(OR($A62="",S62=""),"",IF(ABS(AK62)&gt;10,8,""))</f>
      </c>
      <c r="BD62" t="e">
        <f>IF(OR($A62="",T62=""),"",IF(ABS(AL62)&gt;9,9,""))</f>
      </c>
      <c r="BE62" t="e">
        <f>IF(OR($A62="",U62=""),"",IF(ABS(AM62)&gt;8,10,""))</f>
      </c>
      <c r="BF62" t="e">
        <f>IF(OR($A62="",V62=""),"",IF(ABS(AN62)&gt;7,11,""))</f>
      </c>
      <c r="BG62" t="e">
        <f>IF(OR($A62="",W62=""),"",IF(ABS(AO62)&gt;6,12,""))</f>
      </c>
      <c r="BH62" t="e">
        <f>IF(OR($A62="",X62=""),"",IF(ABS(AP62)&gt;5,13,""))</f>
      </c>
      <c r="BI62" t="e">
        <f>IF(OR($A62="",Y62=""),"",IF(ABS(AQ62)&gt;4,14,""))</f>
      </c>
      <c r="BJ62" t="e">
        <f>IF(OR($A62="",Z62=""),"",IF(ABS(AR62)&gt;3,15,""))</f>
      </c>
      <c r="BK62" t="e">
        <f>IF(OR($A62="",AA62=""),"",IF(ABS(AS62)&gt;2,16,""))</f>
      </c>
      <c r="BL62" t="e">
        <f>IF(OR($A62="",AB62=""),"",IF(ABS(AT62)&gt;1,17,""))</f>
      </c>
      <c r="BM62" t="e">
        <f>IF(OR($A62="",AC62=""),"",IF(ABS(AU62)&gt;0,18,""))</f>
      </c>
    </row>
    <row r="63">
      <c r="C63" t="str">
        <f>IF($A63="","",INDEX('Tournament Setup'!$J:$J,MATCH($A63,'Tournament Setup'!$A:$A,0)))</f>
        <v/>
      </c>
      <c r="D63" t="str">
        <f>IF($A63="","",INDEX('Tournament Setup'!$K:$K,MATCH($A63,'Tournament Setup'!$A:$A,0)))</f>
        <v/>
      </c>
      <c r="E63" t="str">
        <f>IF($A63="","",IF(COUNT(L63:AC63)=0,"Not played",IF(AND($K63&gt;0,$K63&lt;18),IF(INDEX(AD63:AU63,1,$K63)&gt;0,$C63,$D63)&amp;" "&amp;ABS(INDEX(AD63:AU63,1,$K63))&amp;"&amp;"&amp;(18-$K63),IF($J63=0,"Halved (AS)",IF($J63&gt;0,$C63,$D63)&amp;" "&amp;ABS($J63)&amp;" UP"))))</f>
        <v/>
      </c>
      <c r="F63" t="e">
        <f>IF(OR($A63="",COUNT(L63:AC63)=0),"",INDEX('Tournament Setup'!$I:$I,MATCH($A63,'Tournament Setup'!$A:$A,0))*IF(INDEX('Tournament Setup'!$H:$H,MATCH($A63,'Tournament Setup'!$A:$A,0))="Yes",IF($H63&gt;0,1,IF($H63=0,0.5,0))+IF($I63&gt;0,1,IF($I63=0,0.5,0))+IF($J63&gt;0,1,IF($J63=0,0.5,0)),IF(IF(AND($K63&gt;0,$K63&lt;18),INDEX(AD63:AU63,1,$K63),$J63)&gt;0,1,IF(IF(AND($K63&gt;0,$K63&lt;18),INDEX(AD63:AU63,1,$K63),$J63)=0,0.5,0))))</f>
      </c>
      <c r="G63" t="e">
        <f>IF(OR($A63="",COUNT(L63:AC63)=0),"",INDEX('Tournament Setup'!$I:$I,MATCH($A63,'Tournament Setup'!$A:$A,0))*IF(INDEX('Tournament Setup'!$H:$H,MATCH($A63,'Tournament Setup'!$A:$A,0))="Yes",IF($H63&lt;0,1,IF($H63=0,0.5,0))+IF($I63&lt;0,1,IF($I63=0,0.5,0))+IF($J63&lt;0,1,IF($J63=0,0.5,0)),IF(IF(AND($K63&gt;0,$K63&lt;18),INDEX(AD63:AU63,1,$K63),$J63)&lt;0,1,IF(IF(AND($K63&gt;0,$K63&lt;18),INDEX(AD63:AU63,1,$K63),$J63)=0,0.5,0))))</f>
      </c>
      <c r="H63" t="e">
        <f>IF($A63="","",SUM(L63:T63))</f>
      </c>
      <c r="I63" t="e">
        <f>IF($A63="","",SUM(U63:AC63))</f>
      </c>
      <c r="J63" t="e">
        <f>IF($A63="","",SUM(L63:AC63))</f>
      </c>
      <c r="K63" t="e">
        <f>IF($A63="","",MIN(AV63:BM63))</f>
      </c>
      <c r="L63" t="e">
        <f>IF($A63="","",IF(COUNTIFS('Player Rounds'!$A$2:$A$401,$A63,'Player Rounds'!$B$2:$B$401,$B63,'Player Rounds'!$F$2:$F$401,"&gt;0")=0,"",SIGN(_xlfn.MINIFS('Player Rounds'!$Z$2:$Z$401,'Player Rounds'!$A$2:$A$401,$A63,'Player Rounds'!$B$2:$B$401,$B63,'Player Rounds'!$C$2:$C$401,$D63)-_xlfn.MINIFS('Player Rounds'!$Z$2:$Z$401,'Player Rounds'!$A$2:$A$401,$A63,'Player Rounds'!$B$2:$B$401,$B63,'Player Rounds'!$C$2:$C$401,$C63))))</f>
      </c>
      <c r="M63" t="e">
        <f>IF($A63="","",IF(COUNTIFS('Player Rounds'!$A$2:$A$401,$A63,'Player Rounds'!$B$2:$B$401,$B63,'Player Rounds'!$G$2:$G$401,"&gt;0")=0,"",SIGN(_xlfn.MINIFS('Player Rounds'!$AA$2:$AA$401,'Player Rounds'!$A$2:$A$401,$A63,'Player Rounds'!$B$2:$B$401,$B63,'Player Rounds'!$C$2:$C$401,$D63)-_xlfn.MINIFS('Player Rounds'!$AA$2:$AA$401,'Player Rounds'!$A$2:$A$401,$A63,'Player Rounds'!$B$2:$B$401,$B63,'Player Rounds'!$C$2:$C$401,$C63))))</f>
      </c>
      <c r="N63" t="e">
        <f>IF($A63="","",IF(COUNTIFS('Player Rounds'!$A$2:$A$401,$A63,'Player Rounds'!$B$2:$B$401,$B63,'Player Rounds'!$H$2:$H$401,"&gt;0")=0,"",SIGN(_xlfn.MINIFS('Player Rounds'!$AB$2:$AB$401,'Player Rounds'!$A$2:$A$401,$A63,'Player Rounds'!$B$2:$B$401,$B63,'Player Rounds'!$C$2:$C$401,$D63)-_xlfn.MINIFS('Player Rounds'!$AB$2:$AB$401,'Player Rounds'!$A$2:$A$401,$A63,'Player Rounds'!$B$2:$B$401,$B63,'Player Rounds'!$C$2:$C$401,$C63))))</f>
      </c>
      <c r="O63" t="e">
        <f>IF($A63="","",IF(COUNTIFS('Player Rounds'!$A$2:$A$401,$A63,'Player Rounds'!$B$2:$B$401,$B63,'Player Rounds'!$I$2:$I$401,"&gt;0")=0,"",SIGN(_xlfn.MINIFS('Player Rounds'!$AC$2:$AC$401,'Player Rounds'!$A$2:$A$401,$A63,'Player Rounds'!$B$2:$B$401,$B63,'Player Rounds'!$C$2:$C$401,$D63)-_xlfn.MINIFS('Player Rounds'!$AC$2:$AC$401,'Player Rounds'!$A$2:$A$401,$A63,'Player Rounds'!$B$2:$B$401,$B63,'Player Rounds'!$C$2:$C$401,$C63))))</f>
      </c>
      <c r="P63" t="e">
        <f>IF($A63="","",IF(COUNTIFS('Player Rounds'!$A$2:$A$401,$A63,'Player Rounds'!$B$2:$B$401,$B63,'Player Rounds'!$J$2:$J$401,"&gt;0")=0,"",SIGN(_xlfn.MINIFS('Player Rounds'!$AD$2:$AD$401,'Player Rounds'!$A$2:$A$401,$A63,'Player Rounds'!$B$2:$B$401,$B63,'Player Rounds'!$C$2:$C$401,$D63)-_xlfn.MINIFS('Player Rounds'!$AD$2:$AD$401,'Player Rounds'!$A$2:$A$401,$A63,'Player Rounds'!$B$2:$B$401,$B63,'Player Rounds'!$C$2:$C$401,$C63))))</f>
      </c>
      <c r="Q63" t="e">
        <f>IF($A63="","",IF(COUNTIFS('Player Rounds'!$A$2:$A$401,$A63,'Player Rounds'!$B$2:$B$401,$B63,'Player Rounds'!$K$2:$K$401,"&gt;0")=0,"",SIGN(_xlfn.MINIFS('Player Rounds'!$AE$2:$AE$401,'Player Rounds'!$A$2:$A$401,$A63,'Player Rounds'!$B$2:$B$401,$B63,'Player Rounds'!$C$2:$C$401,$D63)-_xlfn.MINIFS('Player Rounds'!$AE$2:$AE$401,'Player Rounds'!$A$2:$A$401,$A63,'Player Rounds'!$B$2:$B$401,$B63,'Player Rounds'!$C$2:$C$401,$C63))))</f>
      </c>
      <c r="R63" t="e">
        <f>IF($A63="","",IF(COUNTIFS('Player Rounds'!$A$2:$A$401,$A63,'Player Rounds'!$B$2:$B$401,$B63,'Player Rounds'!$L$2:$L$401,"&gt;0")=0,"",SIGN(_xlfn.MINIFS('Player Rounds'!$AF$2:$AF$401,'Player Rounds'!$A$2:$A$401,$A63,'Player Rounds'!$B$2:$B$401,$B63,'Player Rounds'!$C$2:$C$401,$D63)-_xlfn.MINIFS('Player Rounds'!$AF$2:$AF$401,'Player Rounds'!$A$2:$A$401,$A63,'Player Rounds'!$B$2:$B$401,$B63,'Player Rounds'!$C$2:$C$401,$C63))))</f>
      </c>
      <c r="S63" t="e">
        <f>IF($A63="","",IF(COUNTIFS('Player Rounds'!$A$2:$A$401,$A63,'Player Rounds'!$B$2:$B$401,$B63,'Player Rounds'!$M$2:$M$401,"&gt;0")=0,"",SIGN(_xlfn.MINIFS('Player Rounds'!$AG$2:$AG$401,'Player Rounds'!$A$2:$A$401,$A63,'Player Rounds'!$B$2:$B$401,$B63,'Player Rounds'!$C$2:$C$401,$D63)-_xlfn.MINIFS('Player Rounds'!$AG$2:$AG$401,'Player Rounds'!$A$2:$A$401,$A63,'Player Rounds'!$B$2:$B$401,$B63,'Player Rounds'!$C$2:$C$401,$C63))))</f>
      </c>
      <c r="T63" t="e">
        <f>IF($A63="","",IF(COUNTIFS('Player Rounds'!$A$2:$A$401,$A63,'Player Rounds'!$B$2:$B$401,$B63,'Player Rounds'!$N$2:$N$401,"&gt;0")=0,"",SIGN(_xlfn.MINIFS('Player Rounds'!$AH$2:$AH$401,'Player Rounds'!$A$2:$A$401,$A63,'Player Rounds'!$B$2:$B$401,$B63,'Player Rounds'!$C$2:$C$401,$D63)-_xlfn.MINIFS('Player Rounds'!$AH$2:$AH$401,'Player Rounds'!$A$2:$A$401,$A63,'Player Rounds'!$B$2:$B$401,$B63,'Player Rounds'!$C$2:$C$401,$C63))))</f>
      </c>
      <c r="U63" t="e">
        <f>IF($A63="","",IF(COUNTIFS('Player Rounds'!$A$2:$A$401,$A63,'Player Rounds'!$B$2:$B$401,$B63,'Player Rounds'!$O$2:$O$401,"&gt;0")=0,"",SIGN(_xlfn.MINIFS('Player Rounds'!$AI$2:$AI$401,'Player Rounds'!$A$2:$A$401,$A63,'Player Rounds'!$B$2:$B$401,$B63,'Player Rounds'!$C$2:$C$401,$D63)-_xlfn.MINIFS('Player Rounds'!$AI$2:$AI$401,'Player Rounds'!$A$2:$A$401,$A63,'Player Rounds'!$B$2:$B$401,$B63,'Player Rounds'!$C$2:$C$401,$C63))))</f>
      </c>
      <c r="V63" t="e">
        <f>IF($A63="","",IF(COUNTIFS('Player Rounds'!$A$2:$A$401,$A63,'Player Rounds'!$B$2:$B$401,$B63,'Player Rounds'!$P$2:$P$401,"&gt;0")=0,"",SIGN(_xlfn.MINIFS('Player Rounds'!$AJ$2:$AJ$401,'Player Rounds'!$A$2:$A$401,$A63,'Player Rounds'!$B$2:$B$401,$B63,'Player Rounds'!$C$2:$C$401,$D63)-_xlfn.MINIFS('Player Rounds'!$AJ$2:$AJ$401,'Player Rounds'!$A$2:$A$401,$A63,'Player Rounds'!$B$2:$B$401,$B63,'Player Rounds'!$C$2:$C$401,$C63))))</f>
      </c>
      <c r="W63" t="e">
        <f>IF($A63="","",IF(COUNTIFS('Player Rounds'!$A$2:$A$401,$A63,'Player Rounds'!$B$2:$B$401,$B63,'Player Rounds'!$Q$2:$Q$401,"&gt;0")=0,"",SIGN(_xlfn.MINIFS('Player Rounds'!$AK$2:$AK$401,'Player Rounds'!$A$2:$A$401,$A63,'Player Rounds'!$B$2:$B$401,$B63,'Player Rounds'!$C$2:$C$401,$D63)-_xlfn.MINIFS('Player Rounds'!$AK$2:$AK$401,'Player Rounds'!$A$2:$A$401,$A63,'Player Rounds'!$B$2:$B$401,$B63,'Player Rounds'!$C$2:$C$401,$C63))))</f>
      </c>
      <c r="X63" t="e">
        <f>IF($A63="","",IF(COUNTIFS('Player Rounds'!$A$2:$A$401,$A63,'Player Rounds'!$B$2:$B$401,$B63,'Player Rounds'!$R$2:$R$401,"&gt;0")=0,"",SIGN(_xlfn.MINIFS('Player Rounds'!$AL$2:$AL$401,'Player Rounds'!$A$2:$A$401,$A63,'Player Rounds'!$B$2:$B$401,$B63,'Player Rounds'!$C$2:$C$401,$D63)-_xlfn.MINIFS('Player Rounds'!$AL$2:$AL$401,'Player Rounds'!$A$2:$A$401,$A63,'Player Rounds'!$B$2:$B$401,$B63,'Player Rounds'!$C$2:$C$401,$C63))))</f>
      </c>
      <c r="Y63" t="e">
        <f>IF($A63="","",IF(COUNTIFS('Player Rounds'!$A$2:$A$401,$A63,'Player Rounds'!$B$2:$B$401,$B63,'Player Rounds'!$S$2:$S$401,"&gt;0")=0,"",SIGN(_xlfn.MINIFS('Player Rounds'!$AM$2:$AM$401,'Player Rounds'!$A$2:$A$401,$A63,'Player Rounds'!$B$2:$B$401,$B63,'Player Rounds'!$C$2:$C$401,$D63)-_xlfn.MINIFS('Player Rounds'!$AM$2:$AM$401,'Player Rounds'!$A$2:$A$401,$A63,'Player Rounds'!$B$2:$B$401,$B63,'Player Rounds'!$C$2:$C$401,$C63))))</f>
      </c>
      <c r="Z63" t="e">
        <f>IF($A63="","",IF(COUNTIFS('Player Rounds'!$A$2:$A$401,$A63,'Player Rounds'!$B$2:$B$401,$B63,'Player Rounds'!$T$2:$T$401,"&gt;0")=0,"",SIGN(_xlfn.MINIFS('Player Rounds'!$AN$2:$AN$401,'Player Rounds'!$A$2:$A$401,$A63,'Player Rounds'!$B$2:$B$401,$B63,'Player Rounds'!$C$2:$C$401,$D63)-_xlfn.MINIFS('Player Rounds'!$AN$2:$AN$401,'Player Rounds'!$A$2:$A$401,$A63,'Player Rounds'!$B$2:$B$401,$B63,'Player Rounds'!$C$2:$C$401,$C63))))</f>
      </c>
      <c r="AA63" t="e">
        <f>IF($A63="","",IF(COUNTIFS('Player Rounds'!$A$2:$A$401,$A63,'Player Rounds'!$B$2:$B$401,$B63,'Player Rounds'!$U$2:$U$401,"&gt;0")=0,"",SIGN(_xlfn.MINIFS('Player Rounds'!$AO$2:$AO$401,'Player Rounds'!$A$2:$A$401,$A63,'Player Rounds'!$B$2:$B$401,$B63,'Player Rounds'!$C$2:$C$401,$D63)-_xlfn.MINIFS('Player Rounds'!$AO$2:$AO$401,'Player Rounds'!$A$2:$A$401,$A63,'Player Rounds'!$B$2:$B$401,$B63,'Player Rounds'!$C$2:$C$401,$C63))))</f>
      </c>
      <c r="AB63" t="e">
        <f>IF($A63="","",IF(COUNTIFS('Player Rounds'!$A$2:$A$401,$A63,'Player Rounds'!$B$2:$B$401,$B63,'Player Rounds'!$V$2:$V$401,"&gt;0")=0,"",SIGN(_xlfn.MINIFS('Player Rounds'!$AP$2:$AP$401,'Player Rounds'!$A$2:$A$401,$A63,'Player Rounds'!$B$2:$B$401,$B63,'Player Rounds'!$C$2:$C$401,$D63)-_xlfn.MINIFS('Player Rounds'!$AP$2:$AP$401,'Player Rounds'!$A$2:$A$401,$A63,'Player Rounds'!$B$2:$B$401,$B63,'Player Rounds'!$C$2:$C$401,$C63))))</f>
      </c>
      <c r="AC63" t="e">
        <f>IF($A63="","",IF(COUNTIFS('Player Rounds'!$A$2:$A$401,$A63,'Player Rounds'!$B$2:$B$401,$B63,'Player Rounds'!$W$2:$W$401,"&gt;0")=0,"",SIGN(_xlfn.MINIFS('Player Rounds'!$AQ$2:$AQ$401,'Player Rounds'!$A$2:$A$401,$A63,'Player Rounds'!$B$2:$B$401,$B63,'Player Rounds'!$C$2:$C$401,$D63)-_xlfn.MINIFS('Player Rounds'!$AQ$2:$AQ$401,'Player Rounds'!$A$2:$A$401,$A63,'Player Rounds'!$B$2:$B$401,$B63,'Player Rounds'!$C$2:$C$401,$C63))))</f>
      </c>
      <c r="AD63" t="e">
        <f>IF($A63="","",SUM($L63:L63))</f>
      </c>
      <c r="AE63" t="e">
        <f>IF($A63="","",SUM($L63:M63))</f>
      </c>
      <c r="AF63" t="e">
        <f>IF($A63="","",SUM($L63:N63))</f>
      </c>
      <c r="AG63" t="e">
        <f>IF($A63="","",SUM($L63:O63))</f>
      </c>
      <c r="AH63" t="e">
        <f>IF($A63="","",SUM($L63:P63))</f>
      </c>
      <c r="AI63" t="e">
        <f>IF($A63="","",SUM($L63:Q63))</f>
      </c>
      <c r="AJ63" t="e">
        <f>IF($A63="","",SUM($L63:R63))</f>
      </c>
      <c r="AK63" t="e">
        <f>IF($A63="","",SUM($L63:S63))</f>
      </c>
      <c r="AL63" t="e">
        <f>IF($A63="","",SUM($L63:T63))</f>
      </c>
      <c r="AM63" t="e">
        <f>IF($A63="","",SUM($L63:U63))</f>
      </c>
      <c r="AN63" t="e">
        <f>IF($A63="","",SUM($L63:V63))</f>
      </c>
      <c r="AO63" t="e">
        <f>IF($A63="","",SUM($L63:W63))</f>
      </c>
      <c r="AP63" t="e">
        <f>IF($A63="","",SUM($L63:X63))</f>
      </c>
      <c r="AQ63" t="e">
        <f>IF($A63="","",SUM($L63:Y63))</f>
      </c>
      <c r="AR63" t="e">
        <f>IF($A63="","",SUM($L63:Z63))</f>
      </c>
      <c r="AS63" t="e">
        <f>IF($A63="","",SUM($L63:AA63))</f>
      </c>
      <c r="AT63" t="e">
        <f>IF($A63="","",SUM($L63:AB63))</f>
      </c>
      <c r="AU63" t="e">
        <f>IF($A63="","",SUM($L63:AC63))</f>
      </c>
      <c r="AV63" t="e">
        <f>IF(OR($A63="",L63=""),"",IF(ABS(AD63)&gt;17,1,""))</f>
      </c>
      <c r="AW63" t="e">
        <f>IF(OR($A63="",M63=""),"",IF(ABS(AE63)&gt;16,2,""))</f>
      </c>
      <c r="AX63" t="e">
        <f>IF(OR($A63="",N63=""),"",IF(ABS(AF63)&gt;15,3,""))</f>
      </c>
      <c r="AY63" t="e">
        <f>IF(OR($A63="",O63=""),"",IF(ABS(AG63)&gt;14,4,""))</f>
      </c>
      <c r="AZ63" t="e">
        <f>IF(OR($A63="",P63=""),"",IF(ABS(AH63)&gt;13,5,""))</f>
      </c>
      <c r="BA63" t="e">
        <f>IF(OR($A63="",Q63=""),"",IF(ABS(AI63)&gt;12,6,""))</f>
      </c>
      <c r="BB63" t="e">
        <f>IF(OR($A63="",R63=""),"",IF(ABS(AJ63)&gt;11,7,""))</f>
      </c>
      <c r="BC63" t="e">
        <f>IF(OR($A63="",S63=""),"",IF(ABS(AK63)&gt;10,8,""))</f>
      </c>
      <c r="BD63" t="e">
        <f>IF(OR($A63="",T63=""),"",IF(ABS(AL63)&gt;9,9,""))</f>
      </c>
      <c r="BE63" t="e">
        <f>IF(OR($A63="",U63=""),"",IF(ABS(AM63)&gt;8,10,""))</f>
      </c>
      <c r="BF63" t="e">
        <f>IF(OR($A63="",V63=""),"",IF(ABS(AN63)&gt;7,11,""))</f>
      </c>
      <c r="BG63" t="e">
        <f>IF(OR($A63="",W63=""),"",IF(ABS(AO63)&gt;6,12,""))</f>
      </c>
      <c r="BH63" t="e">
        <f>IF(OR($A63="",X63=""),"",IF(ABS(AP63)&gt;5,13,""))</f>
      </c>
      <c r="BI63" t="e">
        <f>IF(OR($A63="",Y63=""),"",IF(ABS(AQ63)&gt;4,14,""))</f>
      </c>
      <c r="BJ63" t="e">
        <f>IF(OR($A63="",Z63=""),"",IF(ABS(AR63)&gt;3,15,""))</f>
      </c>
      <c r="BK63" t="e">
        <f>IF(OR($A63="",AA63=""),"",IF(ABS(AS63)&gt;2,16,""))</f>
      </c>
      <c r="BL63" t="e">
        <f>IF(OR($A63="",AB63=""),"",IF(ABS(AT63)&gt;1,17,""))</f>
      </c>
      <c r="BM63" t="e">
        <f>IF(OR($A63="",AC63=""),"",IF(ABS(AU63)&gt;0,18,""))</f>
      </c>
    </row>
    <row r="64">
      <c r="C64" t="str">
        <f>IF($A64="","",INDEX('Tournament Setup'!$J:$J,MATCH($A64,'Tournament Setup'!$A:$A,0)))</f>
        <v/>
      </c>
      <c r="D64" t="str">
        <f>IF($A64="","",INDEX('Tournament Setup'!$K:$K,MATCH($A64,'Tournament Setup'!$A:$A,0)))</f>
        <v/>
      </c>
      <c r="E64" t="str">
        <f>IF($A64="","",IF(COUNT(L64:AC64)=0,"Not played",IF(AND($K64&gt;0,$K64&lt;18),IF(INDEX(AD64:AU64,1,$K64)&gt;0,$C64,$D64)&amp;" "&amp;ABS(INDEX(AD64:AU64,1,$K64))&amp;"&amp;"&amp;(18-$K64),IF($J64=0,"Halved (AS)",IF($J64&gt;0,$C64,$D64)&amp;" "&amp;ABS($J64)&amp;" UP"))))</f>
        <v/>
      </c>
      <c r="F64" t="e">
        <f>IF(OR($A64="",COUNT(L64:AC64)=0),"",INDEX('Tournament Setup'!$I:$I,MATCH($A64,'Tournament Setup'!$A:$A,0))*IF(INDEX('Tournament Setup'!$H:$H,MATCH($A64,'Tournament Setup'!$A:$A,0))="Yes",IF($H64&gt;0,1,IF($H64=0,0.5,0))+IF($I64&gt;0,1,IF($I64=0,0.5,0))+IF($J64&gt;0,1,IF($J64=0,0.5,0)),IF(IF(AND($K64&gt;0,$K64&lt;18),INDEX(AD64:AU64,1,$K64),$J64)&gt;0,1,IF(IF(AND($K64&gt;0,$K64&lt;18),INDEX(AD64:AU64,1,$K64),$J64)=0,0.5,0))))</f>
      </c>
      <c r="G64" t="e">
        <f>IF(OR($A64="",COUNT(L64:AC64)=0),"",INDEX('Tournament Setup'!$I:$I,MATCH($A64,'Tournament Setup'!$A:$A,0))*IF(INDEX('Tournament Setup'!$H:$H,MATCH($A64,'Tournament Setup'!$A:$A,0))="Yes",IF($H64&lt;0,1,IF($H64=0,0.5,0))+IF($I64&lt;0,1,IF($I64=0,0.5,0))+IF($J64&lt;0,1,IF($J64=0,0.5,0)),IF(IF(AND($K64&gt;0,$K64&lt;18),INDEX(AD64:AU64,1,$K64),$J64)&lt;0,1,IF(IF(AND($K64&gt;0,$K64&lt;18),INDEX(AD64:AU64,1,$K64),$J64)=0,0.5,0))))</f>
      </c>
      <c r="H64" t="e">
        <f>IF($A64="","",SUM(L64:T64))</f>
      </c>
      <c r="I64" t="e">
        <f>IF($A64="","",SUM(U64:AC64))</f>
      </c>
      <c r="J64" t="e">
        <f>IF($A64="","",SUM(L64:AC64))</f>
      </c>
      <c r="K64" t="e">
        <f>IF($A64="","",MIN(AV64:BM64))</f>
      </c>
      <c r="L64" t="e">
        <f>IF($A64="","",IF(COUNTIFS('Player Rounds'!$A$2:$A$401,$A64,'Player Rounds'!$B$2:$B$401,$B64,'Player Rounds'!$F$2:$F$401,"&gt;0")=0,"",SIGN(_xlfn.MINIFS('Player Rounds'!$Z$2:$Z$401,'Player Rounds'!$A$2:$A$401,$A64,'Player Rounds'!$B$2:$B$401,$B64,'Player Rounds'!$C$2:$C$401,$D64)-_xlfn.MINIFS('Player Rounds'!$Z$2:$Z$401,'Player Rounds'!$A$2:$A$401,$A64,'Player Rounds'!$B$2:$B$401,$B64,'Player Rounds'!$C$2:$C$401,$C64))))</f>
      </c>
      <c r="M64" t="e">
        <f>IF($A64="","",IF(COUNTIFS('Player Rounds'!$A$2:$A$401,$A64,'Player Rounds'!$B$2:$B$401,$B64,'Player Rounds'!$G$2:$G$401,"&gt;0")=0,"",SIGN(_xlfn.MINIFS('Player Rounds'!$AA$2:$AA$401,'Player Rounds'!$A$2:$A$401,$A64,'Player Rounds'!$B$2:$B$401,$B64,'Player Rounds'!$C$2:$C$401,$D64)-_xlfn.MINIFS('Player Rounds'!$AA$2:$AA$401,'Player Rounds'!$A$2:$A$401,$A64,'Player Rounds'!$B$2:$B$401,$B64,'Player Rounds'!$C$2:$C$401,$C64))))</f>
      </c>
      <c r="N64" t="e">
        <f>IF($A64="","",IF(COUNTIFS('Player Rounds'!$A$2:$A$401,$A64,'Player Rounds'!$B$2:$B$401,$B64,'Player Rounds'!$H$2:$H$401,"&gt;0")=0,"",SIGN(_xlfn.MINIFS('Player Rounds'!$AB$2:$AB$401,'Player Rounds'!$A$2:$A$401,$A64,'Player Rounds'!$B$2:$B$401,$B64,'Player Rounds'!$C$2:$C$401,$D64)-_xlfn.MINIFS('Player Rounds'!$AB$2:$AB$401,'Player Rounds'!$A$2:$A$401,$A64,'Player Rounds'!$B$2:$B$401,$B64,'Player Rounds'!$C$2:$C$401,$C64))))</f>
      </c>
      <c r="O64" t="e">
        <f>IF($A64="","",IF(COUNTIFS('Player Rounds'!$A$2:$A$401,$A64,'Player Rounds'!$B$2:$B$401,$B64,'Player Rounds'!$I$2:$I$401,"&gt;0")=0,"",SIGN(_xlfn.MINIFS('Player Rounds'!$AC$2:$AC$401,'Player Rounds'!$A$2:$A$401,$A64,'Player Rounds'!$B$2:$B$401,$B64,'Player Rounds'!$C$2:$C$401,$D64)-_xlfn.MINIFS('Player Rounds'!$AC$2:$AC$401,'Player Rounds'!$A$2:$A$401,$A64,'Player Rounds'!$B$2:$B$401,$B64,'Player Rounds'!$C$2:$C$401,$C64))))</f>
      </c>
      <c r="P64" t="e">
        <f>IF($A64="","",IF(COUNTIFS('Player Rounds'!$A$2:$A$401,$A64,'Player Rounds'!$B$2:$B$401,$B64,'Player Rounds'!$J$2:$J$401,"&gt;0")=0,"",SIGN(_xlfn.MINIFS('Player Rounds'!$AD$2:$AD$401,'Player Rounds'!$A$2:$A$401,$A64,'Player Rounds'!$B$2:$B$401,$B64,'Player Rounds'!$C$2:$C$401,$D64)-_xlfn.MINIFS('Player Rounds'!$AD$2:$AD$401,'Player Rounds'!$A$2:$A$401,$A64,'Player Rounds'!$B$2:$B$401,$B64,'Player Rounds'!$C$2:$C$401,$C64))))</f>
      </c>
      <c r="Q64" t="e">
        <f>IF($A64="","",IF(COUNTIFS('Player Rounds'!$A$2:$A$401,$A64,'Player Rounds'!$B$2:$B$401,$B64,'Player Rounds'!$K$2:$K$401,"&gt;0")=0,"",SIGN(_xlfn.MINIFS('Player Rounds'!$AE$2:$AE$401,'Player Rounds'!$A$2:$A$401,$A64,'Player Rounds'!$B$2:$B$401,$B64,'Player Rounds'!$C$2:$C$401,$D64)-_xlfn.MINIFS('Player Rounds'!$AE$2:$AE$401,'Player Rounds'!$A$2:$A$401,$A64,'Player Rounds'!$B$2:$B$401,$B64,'Player Rounds'!$C$2:$C$401,$C64))))</f>
      </c>
      <c r="R64" t="e">
        <f>IF($A64="","",IF(COUNTIFS('Player Rounds'!$A$2:$A$401,$A64,'Player Rounds'!$B$2:$B$401,$B64,'Player Rounds'!$L$2:$L$401,"&gt;0")=0,"",SIGN(_xlfn.MINIFS('Player Rounds'!$AF$2:$AF$401,'Player Rounds'!$A$2:$A$401,$A64,'Player Rounds'!$B$2:$B$401,$B64,'Player Rounds'!$C$2:$C$401,$D64)-_xlfn.MINIFS('Player Rounds'!$AF$2:$AF$401,'Player Rounds'!$A$2:$A$401,$A64,'Player Rounds'!$B$2:$B$401,$B64,'Player Rounds'!$C$2:$C$401,$C64))))</f>
      </c>
      <c r="S64" t="e">
        <f>IF($A64="","",IF(COUNTIFS('Player Rounds'!$A$2:$A$401,$A64,'Player Rounds'!$B$2:$B$401,$B64,'Player Rounds'!$M$2:$M$401,"&gt;0")=0,"",SIGN(_xlfn.MINIFS('Player Rounds'!$AG$2:$AG$401,'Player Rounds'!$A$2:$A$401,$A64,'Player Rounds'!$B$2:$B$401,$B64,'Player Rounds'!$C$2:$C$401,$D64)-_xlfn.MINIFS('Player Rounds'!$AG$2:$AG$401,'Player Rounds'!$A$2:$A$401,$A64,'Player Rounds'!$B$2:$B$401,$B64,'Player Rounds'!$C$2:$C$401,$C64))))</f>
      </c>
      <c r="T64" t="e">
        <f>IF($A64="","",IF(COUNTIFS('Player Rounds'!$A$2:$A$401,$A64,'Player Rounds'!$B$2:$B$401,$B64,'Player Rounds'!$N$2:$N$401,"&gt;0")=0,"",SIGN(_xlfn.MINIFS('Player Rounds'!$AH$2:$AH$401,'Player Rounds'!$A$2:$A$401,$A64,'Player Rounds'!$B$2:$B$401,$B64,'Player Rounds'!$C$2:$C$401,$D64)-_xlfn.MINIFS('Player Rounds'!$AH$2:$AH$401,'Player Rounds'!$A$2:$A$401,$A64,'Player Rounds'!$B$2:$B$401,$B64,'Player Rounds'!$C$2:$C$401,$C64))))</f>
      </c>
      <c r="U64" t="e">
        <f>IF($A64="","",IF(COUNTIFS('Player Rounds'!$A$2:$A$401,$A64,'Player Rounds'!$B$2:$B$401,$B64,'Player Rounds'!$O$2:$O$401,"&gt;0")=0,"",SIGN(_xlfn.MINIFS('Player Rounds'!$AI$2:$AI$401,'Player Rounds'!$A$2:$A$401,$A64,'Player Rounds'!$B$2:$B$401,$B64,'Player Rounds'!$C$2:$C$401,$D64)-_xlfn.MINIFS('Player Rounds'!$AI$2:$AI$401,'Player Rounds'!$A$2:$A$401,$A64,'Player Rounds'!$B$2:$B$401,$B64,'Player Rounds'!$C$2:$C$401,$C64))))</f>
      </c>
      <c r="V64" t="e">
        <f>IF($A64="","",IF(COUNTIFS('Player Rounds'!$A$2:$A$401,$A64,'Player Rounds'!$B$2:$B$401,$B64,'Player Rounds'!$P$2:$P$401,"&gt;0")=0,"",SIGN(_xlfn.MINIFS('Player Rounds'!$AJ$2:$AJ$401,'Player Rounds'!$A$2:$A$401,$A64,'Player Rounds'!$B$2:$B$401,$B64,'Player Rounds'!$C$2:$C$401,$D64)-_xlfn.MINIFS('Player Rounds'!$AJ$2:$AJ$401,'Player Rounds'!$A$2:$A$401,$A64,'Player Rounds'!$B$2:$B$401,$B64,'Player Rounds'!$C$2:$C$401,$C64))))</f>
      </c>
      <c r="W64" t="e">
        <f>IF($A64="","",IF(COUNTIFS('Player Rounds'!$A$2:$A$401,$A64,'Player Rounds'!$B$2:$B$401,$B64,'Player Rounds'!$Q$2:$Q$401,"&gt;0")=0,"",SIGN(_xlfn.MINIFS('Player Rounds'!$AK$2:$AK$401,'Player Rounds'!$A$2:$A$401,$A64,'Player Rounds'!$B$2:$B$401,$B64,'Player Rounds'!$C$2:$C$401,$D64)-_xlfn.MINIFS('Player Rounds'!$AK$2:$AK$401,'Player Rounds'!$A$2:$A$401,$A64,'Player Rounds'!$B$2:$B$401,$B64,'Player Rounds'!$C$2:$C$401,$C64))))</f>
      </c>
      <c r="X64" t="e">
        <f>IF($A64="","",IF(COUNTIFS('Player Rounds'!$A$2:$A$401,$A64,'Player Rounds'!$B$2:$B$401,$B64,'Player Rounds'!$R$2:$R$401,"&gt;0")=0,"",SIGN(_xlfn.MINIFS('Player Rounds'!$AL$2:$AL$401,'Player Rounds'!$A$2:$A$401,$A64,'Player Rounds'!$B$2:$B$401,$B64,'Player Rounds'!$C$2:$C$401,$D64)-_xlfn.MINIFS('Player Rounds'!$AL$2:$AL$401,'Player Rounds'!$A$2:$A$401,$A64,'Player Rounds'!$B$2:$B$401,$B64,'Player Rounds'!$C$2:$C$401,$C64))))</f>
      </c>
      <c r="Y64" t="e">
        <f>IF($A64="","",IF(COUNTIFS('Player Rounds'!$A$2:$A$401,$A64,'Player Rounds'!$B$2:$B$401,$B64,'Player Rounds'!$S$2:$S$401,"&gt;0")=0,"",SIGN(_xlfn.MINIFS('Player Rounds'!$AM$2:$AM$401,'Player Rounds'!$A$2:$A$401,$A64,'Player Rounds'!$B$2:$B$401,$B64,'Player Rounds'!$C$2:$C$401,$D64)-_xlfn.MINIFS('Player Rounds'!$AM$2:$AM$401,'Player Rounds'!$A$2:$A$401,$A64,'Player Rounds'!$B$2:$B$401,$B64,'Player Rounds'!$C$2:$C$401,$C64))))</f>
      </c>
      <c r="Z64" t="e">
        <f>IF($A64="","",IF(COUNTIFS('Player Rounds'!$A$2:$A$401,$A64,'Player Rounds'!$B$2:$B$401,$B64,'Player Rounds'!$T$2:$T$401,"&gt;0")=0,"",SIGN(_xlfn.MINIFS('Player Rounds'!$AN$2:$AN$401,'Player Rounds'!$A$2:$A$401,$A64,'Player Rounds'!$B$2:$B$401,$B64,'Player Rounds'!$C$2:$C$401,$D64)-_xlfn.MINIFS('Player Rounds'!$AN$2:$AN$401,'Player Rounds'!$A$2:$A$401,$A64,'Player Rounds'!$B$2:$B$401,$B64,'Player Rounds'!$C$2:$C$401,$C64))))</f>
      </c>
      <c r="AA64" t="e">
        <f>IF($A64="","",IF(COUNTIFS('Player Rounds'!$A$2:$A$401,$A64,'Player Rounds'!$B$2:$B$401,$B64,'Player Rounds'!$U$2:$U$401,"&gt;0")=0,"",SIGN(_xlfn.MINIFS('Player Rounds'!$AO$2:$AO$401,'Player Rounds'!$A$2:$A$401,$A64,'Player Rounds'!$B$2:$B$401,$B64,'Player Rounds'!$C$2:$C$401,$D64)-_xlfn.MINIFS('Player Rounds'!$AO$2:$AO$401,'Player Rounds'!$A$2:$A$401,$A64,'Player Rounds'!$B$2:$B$401,$B64,'Player Rounds'!$C$2:$C$401,$C64))))</f>
      </c>
      <c r="AB64" t="e">
        <f>IF($A64="","",IF(COUNTIFS('Player Rounds'!$A$2:$A$401,$A64,'Player Rounds'!$B$2:$B$401,$B64,'Player Rounds'!$V$2:$V$401,"&gt;0")=0,"",SIGN(_xlfn.MINIFS('Player Rounds'!$AP$2:$AP$401,'Player Rounds'!$A$2:$A$401,$A64,'Player Rounds'!$B$2:$B$401,$B64,'Player Rounds'!$C$2:$C$401,$D64)-_xlfn.MINIFS('Player Rounds'!$AP$2:$AP$401,'Player Rounds'!$A$2:$A$401,$A64,'Player Rounds'!$B$2:$B$401,$B64,'Player Rounds'!$C$2:$C$401,$C64))))</f>
      </c>
      <c r="AC64" t="e">
        <f>IF($A64="","",IF(COUNTIFS('Player Rounds'!$A$2:$A$401,$A64,'Player Rounds'!$B$2:$B$401,$B64,'Player Rounds'!$W$2:$W$401,"&gt;0")=0,"",SIGN(_xlfn.MINIFS('Player Rounds'!$AQ$2:$AQ$401,'Player Rounds'!$A$2:$A$401,$A64,'Player Rounds'!$B$2:$B$401,$B64,'Player Rounds'!$C$2:$C$401,$D64)-_xlfn.MINIFS('Player Rounds'!$AQ$2:$AQ$401,'Player Rounds'!$A$2:$A$401,$A64,'Player Rounds'!$B$2:$B$401,$B64,'Player Rounds'!$C$2:$C$401,$C64))))</f>
      </c>
      <c r="AD64" t="e">
        <f>IF($A64="","",SUM($L64:L64))</f>
      </c>
      <c r="AE64" t="e">
        <f>IF($A64="","",SUM($L64:M64))</f>
      </c>
      <c r="AF64" t="e">
        <f>IF($A64="","",SUM($L64:N64))</f>
      </c>
      <c r="AG64" t="e">
        <f>IF($A64="","",SUM($L64:O64))</f>
      </c>
      <c r="AH64" t="e">
        <f>IF($A64="","",SUM($L64:P64))</f>
      </c>
      <c r="AI64" t="e">
        <f>IF($A64="","",SUM($L64:Q64))</f>
      </c>
      <c r="AJ64" t="e">
        <f>IF($A64="","",SUM($L64:R64))</f>
      </c>
      <c r="AK64" t="e">
        <f>IF($A64="","",SUM($L64:S64))</f>
      </c>
      <c r="AL64" t="e">
        <f>IF($A64="","",SUM($L64:T64))</f>
      </c>
      <c r="AM64" t="e">
        <f>IF($A64="","",SUM($L64:U64))</f>
      </c>
      <c r="AN64" t="e">
        <f>IF($A64="","",SUM($L64:V64))</f>
      </c>
      <c r="AO64" t="e">
        <f>IF($A64="","",SUM($L64:W64))</f>
      </c>
      <c r="AP64" t="e">
        <f>IF($A64="","",SUM($L64:X64))</f>
      </c>
      <c r="AQ64" t="e">
        <f>IF($A64="","",SUM($L64:Y64))</f>
      </c>
      <c r="AR64" t="e">
        <f>IF($A64="","",SUM($L64:Z64))</f>
      </c>
      <c r="AS64" t="e">
        <f>IF($A64="","",SUM($L64:AA64))</f>
      </c>
      <c r="AT64" t="e">
        <f>IF($A64="","",SUM($L64:AB64))</f>
      </c>
      <c r="AU64" t="e">
        <f>IF($A64="","",SUM($L64:AC64))</f>
      </c>
      <c r="AV64" t="e">
        <f>IF(OR($A64="",L64=""),"",IF(ABS(AD64)&gt;17,1,""))</f>
      </c>
      <c r="AW64" t="e">
        <f>IF(OR($A64="",M64=""),"",IF(ABS(AE64)&gt;16,2,""))</f>
      </c>
      <c r="AX64" t="e">
        <f>IF(OR($A64="",N64=""),"",IF(ABS(AF64)&gt;15,3,""))</f>
      </c>
      <c r="AY64" t="e">
        <f>IF(OR($A64="",O64=""),"",IF(ABS(AG64)&gt;14,4,""))</f>
      </c>
      <c r="AZ64" t="e">
        <f>IF(OR($A64="",P64=""),"",IF(ABS(AH64)&gt;13,5,""))</f>
      </c>
      <c r="BA64" t="e">
        <f>IF(OR($A64="",Q64=""),"",IF(ABS(AI64)&gt;12,6,""))</f>
      </c>
      <c r="BB64" t="e">
        <f>IF(OR($A64="",R64=""),"",IF(ABS(AJ64)&gt;11,7,""))</f>
      </c>
      <c r="BC64" t="e">
        <f>IF(OR($A64="",S64=""),"",IF(ABS(AK64)&gt;10,8,""))</f>
      </c>
      <c r="BD64" t="e">
        <f>IF(OR($A64="",T64=""),"",IF(ABS(AL64)&gt;9,9,""))</f>
      </c>
      <c r="BE64" t="e">
        <f>IF(OR($A64="",U64=""),"",IF(ABS(AM64)&gt;8,10,""))</f>
      </c>
      <c r="BF64" t="e">
        <f>IF(OR($A64="",V64=""),"",IF(ABS(AN64)&gt;7,11,""))</f>
      </c>
      <c r="BG64" t="e">
        <f>IF(OR($A64="",W64=""),"",IF(ABS(AO64)&gt;6,12,""))</f>
      </c>
      <c r="BH64" t="e">
        <f>IF(OR($A64="",X64=""),"",IF(ABS(AP64)&gt;5,13,""))</f>
      </c>
      <c r="BI64" t="e">
        <f>IF(OR($A64="",Y64=""),"",IF(ABS(AQ64)&gt;4,14,""))</f>
      </c>
      <c r="BJ64" t="e">
        <f>IF(OR($A64="",Z64=""),"",IF(ABS(AR64)&gt;3,15,""))</f>
      </c>
      <c r="BK64" t="e">
        <f>IF(OR($A64="",AA64=""),"",IF(ABS(AS64)&gt;2,16,""))</f>
      </c>
      <c r="BL64" t="e">
        <f>IF(OR($A64="",AB64=""),"",IF(ABS(AT64)&gt;1,17,""))</f>
      </c>
      <c r="BM64" t="e">
        <f>IF(OR($A64="",AC64=""),"",IF(ABS(AU64)&gt;0,18,""))</f>
      </c>
    </row>
    <row r="65">
      <c r="C65" t="str">
        <f>IF($A65="","",INDEX('Tournament Setup'!$J:$J,MATCH($A65,'Tournament Setup'!$A:$A,0)))</f>
        <v/>
      </c>
      <c r="D65" t="str">
        <f>IF($A65="","",INDEX('Tournament Setup'!$K:$K,MATCH($A65,'Tournament Setup'!$A:$A,0)))</f>
        <v/>
      </c>
      <c r="E65" t="str">
        <f>IF($A65="","",IF(COUNT(L65:AC65)=0,"Not played",IF(AND($K65&gt;0,$K65&lt;18),IF(INDEX(AD65:AU65,1,$K65)&gt;0,$C65,$D65)&amp;" "&amp;ABS(INDEX(AD65:AU65,1,$K65))&amp;"&amp;"&amp;(18-$K65),IF($J65=0,"Halved (AS)",IF($J65&gt;0,$C65,$D65)&amp;" "&amp;ABS($J65)&amp;" UP"))))</f>
        <v/>
      </c>
      <c r="F65" t="e">
        <f>IF(OR($A65="",COUNT(L65:AC65)=0),"",INDEX('Tournament Setup'!$I:$I,MATCH($A65,'Tournament Setup'!$A:$A,0))*IF(INDEX('Tournament Setup'!$H:$H,MATCH($A65,'Tournament Setup'!$A:$A,0))="Yes",IF($H65&gt;0,1,IF($H65=0,0.5,0))+IF($I65&gt;0,1,IF($I65=0,0.5,0))+IF($J65&gt;0,1,IF($J65=0,0.5,0)),IF(IF(AND($K65&gt;0,$K65&lt;18),INDEX(AD65:AU65,1,$K65),$J65)&gt;0,1,IF(IF(AND($K65&gt;0,$K65&lt;18),INDEX(AD65:AU65,1,$K65),$J65)=0,0.5,0))))</f>
      </c>
      <c r="G65" t="e">
        <f>IF(OR($A65="",COUNT(L65:AC65)=0),"",INDEX('Tournament Setup'!$I:$I,MATCH($A65,'Tournament Setup'!$A:$A,0))*IF(INDEX('Tournament Setup'!$H:$H,MATCH($A65,'Tournament Setup'!$A:$A,0))="Yes",IF($H65&lt;0,1,IF($H65=0,0.5,0))+IF($I65&lt;0,1,IF($I65=0,0.5,0))+IF($J65&lt;0,1,IF($J65=0,0.5,0)),IF(IF(AND($K65&gt;0,$K65&lt;18),INDEX(AD65:AU65,1,$K65),$J65)&lt;0,1,IF(IF(AND($K65&gt;0,$K65&lt;18),INDEX(AD65:AU65,1,$K65),$J65)=0,0.5,0))))</f>
      </c>
      <c r="H65" t="e">
        <f>IF($A65="","",SUM(L65:T65))</f>
      </c>
      <c r="I65" t="e">
        <f>IF($A65="","",SUM(U65:AC65))</f>
      </c>
      <c r="J65" t="e">
        <f>IF($A65="","",SUM(L65:AC65))</f>
      </c>
      <c r="K65" t="e">
        <f>IF($A65="","",MIN(AV65:BM65))</f>
      </c>
      <c r="L65" t="e">
        <f>IF($A65="","",IF(COUNTIFS('Player Rounds'!$A$2:$A$401,$A65,'Player Rounds'!$B$2:$B$401,$B65,'Player Rounds'!$F$2:$F$401,"&gt;0")=0,"",SIGN(_xlfn.MINIFS('Player Rounds'!$Z$2:$Z$401,'Player Rounds'!$A$2:$A$401,$A65,'Player Rounds'!$B$2:$B$401,$B65,'Player Rounds'!$C$2:$C$401,$D65)-_xlfn.MINIFS('Player Rounds'!$Z$2:$Z$401,'Player Rounds'!$A$2:$A$401,$A65,'Player Rounds'!$B$2:$B$401,$B65,'Player Rounds'!$C$2:$C$401,$C65))))</f>
      </c>
      <c r="M65" t="e">
        <f>IF($A65="","",IF(COUNTIFS('Player Rounds'!$A$2:$A$401,$A65,'Player Rounds'!$B$2:$B$401,$B65,'Player Rounds'!$G$2:$G$401,"&gt;0")=0,"",SIGN(_xlfn.MINIFS('Player Rounds'!$AA$2:$AA$401,'Player Rounds'!$A$2:$A$401,$A65,'Player Rounds'!$B$2:$B$401,$B65,'Player Rounds'!$C$2:$C$401,$D65)-_xlfn.MINIFS('Player Rounds'!$AA$2:$AA$401,'Player Rounds'!$A$2:$A$401,$A65,'Player Rounds'!$B$2:$B$401,$B65,'Player Rounds'!$C$2:$C$401,$C65))))</f>
      </c>
      <c r="N65" t="e">
        <f>IF($A65="","",IF(COUNTIFS('Player Rounds'!$A$2:$A$401,$A65,'Player Rounds'!$B$2:$B$401,$B65,'Player Rounds'!$H$2:$H$401,"&gt;0")=0,"",SIGN(_xlfn.MINIFS('Player Rounds'!$AB$2:$AB$401,'Player Rounds'!$A$2:$A$401,$A65,'Player Rounds'!$B$2:$B$401,$B65,'Player Rounds'!$C$2:$C$401,$D65)-_xlfn.MINIFS('Player Rounds'!$AB$2:$AB$401,'Player Rounds'!$A$2:$A$401,$A65,'Player Rounds'!$B$2:$B$401,$B65,'Player Rounds'!$C$2:$C$401,$C65))))</f>
      </c>
      <c r="O65" t="e">
        <f>IF($A65="","",IF(COUNTIFS('Player Rounds'!$A$2:$A$401,$A65,'Player Rounds'!$B$2:$B$401,$B65,'Player Rounds'!$I$2:$I$401,"&gt;0")=0,"",SIGN(_xlfn.MINIFS('Player Rounds'!$AC$2:$AC$401,'Player Rounds'!$A$2:$A$401,$A65,'Player Rounds'!$B$2:$B$401,$B65,'Player Rounds'!$C$2:$C$401,$D65)-_xlfn.MINIFS('Player Rounds'!$AC$2:$AC$401,'Player Rounds'!$A$2:$A$401,$A65,'Player Rounds'!$B$2:$B$401,$B65,'Player Rounds'!$C$2:$C$401,$C65))))</f>
      </c>
      <c r="P65" t="e">
        <f>IF($A65="","",IF(COUNTIFS('Player Rounds'!$A$2:$A$401,$A65,'Player Rounds'!$B$2:$B$401,$B65,'Player Rounds'!$J$2:$J$401,"&gt;0")=0,"",SIGN(_xlfn.MINIFS('Player Rounds'!$AD$2:$AD$401,'Player Rounds'!$A$2:$A$401,$A65,'Player Rounds'!$B$2:$B$401,$B65,'Player Rounds'!$C$2:$C$401,$D65)-_xlfn.MINIFS('Player Rounds'!$AD$2:$AD$401,'Player Rounds'!$A$2:$A$401,$A65,'Player Rounds'!$B$2:$B$401,$B65,'Player Rounds'!$C$2:$C$401,$C65))))</f>
      </c>
      <c r="Q65" t="e">
        <f>IF($A65="","",IF(COUNTIFS('Player Rounds'!$A$2:$A$401,$A65,'Player Rounds'!$B$2:$B$401,$B65,'Player Rounds'!$K$2:$K$401,"&gt;0")=0,"",SIGN(_xlfn.MINIFS('Player Rounds'!$AE$2:$AE$401,'Player Rounds'!$A$2:$A$401,$A65,'Player Rounds'!$B$2:$B$401,$B65,'Player Rounds'!$C$2:$C$401,$D65)-_xlfn.MINIFS('Player Rounds'!$AE$2:$AE$401,'Player Rounds'!$A$2:$A$401,$A65,'Player Rounds'!$B$2:$B$401,$B65,'Player Rounds'!$C$2:$C$401,$C65))))</f>
      </c>
      <c r="R65" t="e">
        <f>IF($A65="","",IF(COUNTIFS('Player Rounds'!$A$2:$A$401,$A65,'Player Rounds'!$B$2:$B$401,$B65,'Player Rounds'!$L$2:$L$401,"&gt;0")=0,"",SIGN(_xlfn.MINIFS('Player Rounds'!$AF$2:$AF$401,'Player Rounds'!$A$2:$A$401,$A65,'Player Rounds'!$B$2:$B$401,$B65,'Player Rounds'!$C$2:$C$401,$D65)-_xlfn.MINIFS('Player Rounds'!$AF$2:$AF$401,'Player Rounds'!$A$2:$A$401,$A65,'Player Rounds'!$B$2:$B$401,$B65,'Player Rounds'!$C$2:$C$401,$C65))))</f>
      </c>
      <c r="S65" t="e">
        <f>IF($A65="","",IF(COUNTIFS('Player Rounds'!$A$2:$A$401,$A65,'Player Rounds'!$B$2:$B$401,$B65,'Player Rounds'!$M$2:$M$401,"&gt;0")=0,"",SIGN(_xlfn.MINIFS('Player Rounds'!$AG$2:$AG$401,'Player Rounds'!$A$2:$A$401,$A65,'Player Rounds'!$B$2:$B$401,$B65,'Player Rounds'!$C$2:$C$401,$D65)-_xlfn.MINIFS('Player Rounds'!$AG$2:$AG$401,'Player Rounds'!$A$2:$A$401,$A65,'Player Rounds'!$B$2:$B$401,$B65,'Player Rounds'!$C$2:$C$401,$C65))))</f>
      </c>
      <c r="T65" t="e">
        <f>IF($A65="","",IF(COUNTIFS('Player Rounds'!$A$2:$A$401,$A65,'Player Rounds'!$B$2:$B$401,$B65,'Player Rounds'!$N$2:$N$401,"&gt;0")=0,"",SIGN(_xlfn.MINIFS('Player Rounds'!$AH$2:$AH$401,'Player Rounds'!$A$2:$A$401,$A65,'Player Rounds'!$B$2:$B$401,$B65,'Player Rounds'!$C$2:$C$401,$D65)-_xlfn.MINIFS('Player Rounds'!$AH$2:$AH$401,'Player Rounds'!$A$2:$A$401,$A65,'Player Rounds'!$B$2:$B$401,$B65,'Player Rounds'!$C$2:$C$401,$C65))))</f>
      </c>
      <c r="U65" t="e">
        <f>IF($A65="","",IF(COUNTIFS('Player Rounds'!$A$2:$A$401,$A65,'Player Rounds'!$B$2:$B$401,$B65,'Player Rounds'!$O$2:$O$401,"&gt;0")=0,"",SIGN(_xlfn.MINIFS('Player Rounds'!$AI$2:$AI$401,'Player Rounds'!$A$2:$A$401,$A65,'Player Rounds'!$B$2:$B$401,$B65,'Player Rounds'!$C$2:$C$401,$D65)-_xlfn.MINIFS('Player Rounds'!$AI$2:$AI$401,'Player Rounds'!$A$2:$A$401,$A65,'Player Rounds'!$B$2:$B$401,$B65,'Player Rounds'!$C$2:$C$401,$C65))))</f>
      </c>
      <c r="V65" t="e">
        <f>IF($A65="","",IF(COUNTIFS('Player Rounds'!$A$2:$A$401,$A65,'Player Rounds'!$B$2:$B$401,$B65,'Player Rounds'!$P$2:$P$401,"&gt;0")=0,"",SIGN(_xlfn.MINIFS('Player Rounds'!$AJ$2:$AJ$401,'Player Rounds'!$A$2:$A$401,$A65,'Player Rounds'!$B$2:$B$401,$B65,'Player Rounds'!$C$2:$C$401,$D65)-_xlfn.MINIFS('Player Rounds'!$AJ$2:$AJ$401,'Player Rounds'!$A$2:$A$401,$A65,'Player Rounds'!$B$2:$B$401,$B65,'Player Rounds'!$C$2:$C$401,$C65))))</f>
      </c>
      <c r="W65" t="e">
        <f>IF($A65="","",IF(COUNTIFS('Player Rounds'!$A$2:$A$401,$A65,'Player Rounds'!$B$2:$B$401,$B65,'Player Rounds'!$Q$2:$Q$401,"&gt;0")=0,"",SIGN(_xlfn.MINIFS('Player Rounds'!$AK$2:$AK$401,'Player Rounds'!$A$2:$A$401,$A65,'Player Rounds'!$B$2:$B$401,$B65,'Player Rounds'!$C$2:$C$401,$D65)-_xlfn.MINIFS('Player Rounds'!$AK$2:$AK$401,'Player Rounds'!$A$2:$A$401,$A65,'Player Rounds'!$B$2:$B$401,$B65,'Player Rounds'!$C$2:$C$401,$C65))))</f>
      </c>
      <c r="X65" t="e">
        <f>IF($A65="","",IF(COUNTIFS('Player Rounds'!$A$2:$A$401,$A65,'Player Rounds'!$B$2:$B$401,$B65,'Player Rounds'!$R$2:$R$401,"&gt;0")=0,"",SIGN(_xlfn.MINIFS('Player Rounds'!$AL$2:$AL$401,'Player Rounds'!$A$2:$A$401,$A65,'Player Rounds'!$B$2:$B$401,$B65,'Player Rounds'!$C$2:$C$401,$D65)-_xlfn.MINIFS('Player Rounds'!$AL$2:$AL$401,'Player Rounds'!$A$2:$A$401,$A65,'Player Rounds'!$B$2:$B$401,$B65,'Player Rounds'!$C$2:$C$401,$C65))))</f>
      </c>
      <c r="Y65" t="e">
        <f>IF($A65="","",IF(COUNTIFS('Player Rounds'!$A$2:$A$401,$A65,'Player Rounds'!$B$2:$B$401,$B65,'Player Rounds'!$S$2:$S$401,"&gt;0")=0,"",SIGN(_xlfn.MINIFS('Player Rounds'!$AM$2:$AM$401,'Player Rounds'!$A$2:$A$401,$A65,'Player Rounds'!$B$2:$B$401,$B65,'Player Rounds'!$C$2:$C$401,$D65)-_xlfn.MINIFS('Player Rounds'!$AM$2:$AM$401,'Player Rounds'!$A$2:$A$401,$A65,'Player Rounds'!$B$2:$B$401,$B65,'Player Rounds'!$C$2:$C$401,$C65))))</f>
      </c>
      <c r="Z65" t="e">
        <f>IF($A65="","",IF(COUNTIFS('Player Rounds'!$A$2:$A$401,$A65,'Player Rounds'!$B$2:$B$401,$B65,'Player Rounds'!$T$2:$T$401,"&gt;0")=0,"",SIGN(_xlfn.MINIFS('Player Rounds'!$AN$2:$AN$401,'Player Rounds'!$A$2:$A$401,$A65,'Player Rounds'!$B$2:$B$401,$B65,'Player Rounds'!$C$2:$C$401,$D65)-_xlfn.MINIFS('Player Rounds'!$AN$2:$AN$401,'Player Rounds'!$A$2:$A$401,$A65,'Player Rounds'!$B$2:$B$401,$B65,'Player Rounds'!$C$2:$C$401,$C65))))</f>
      </c>
      <c r="AA65" t="e">
        <f>IF($A65="","",IF(COUNTIFS('Player Rounds'!$A$2:$A$401,$A65,'Player Rounds'!$B$2:$B$401,$B65,'Player Rounds'!$U$2:$U$401,"&gt;0")=0,"",SIGN(_xlfn.MINIFS('Player Rounds'!$AO$2:$AO$401,'Player Rounds'!$A$2:$A$401,$A65,'Player Rounds'!$B$2:$B$401,$B65,'Player Rounds'!$C$2:$C$401,$D65)-_xlfn.MINIFS('Player Rounds'!$AO$2:$AO$401,'Player Rounds'!$A$2:$A$401,$A65,'Player Rounds'!$B$2:$B$401,$B65,'Player Rounds'!$C$2:$C$401,$C65))))</f>
      </c>
      <c r="AB65" t="e">
        <f>IF($A65="","",IF(COUNTIFS('Player Rounds'!$A$2:$A$401,$A65,'Player Rounds'!$B$2:$B$401,$B65,'Player Rounds'!$V$2:$V$401,"&gt;0")=0,"",SIGN(_xlfn.MINIFS('Player Rounds'!$AP$2:$AP$401,'Player Rounds'!$A$2:$A$401,$A65,'Player Rounds'!$B$2:$B$401,$B65,'Player Rounds'!$C$2:$C$401,$D65)-_xlfn.MINIFS('Player Rounds'!$AP$2:$AP$401,'Player Rounds'!$A$2:$A$401,$A65,'Player Rounds'!$B$2:$B$401,$B65,'Player Rounds'!$C$2:$C$401,$C65))))</f>
      </c>
      <c r="AC65" t="e">
        <f>IF($A65="","",IF(COUNTIFS('Player Rounds'!$A$2:$A$401,$A65,'Player Rounds'!$B$2:$B$401,$B65,'Player Rounds'!$W$2:$W$401,"&gt;0")=0,"",SIGN(_xlfn.MINIFS('Player Rounds'!$AQ$2:$AQ$401,'Player Rounds'!$A$2:$A$401,$A65,'Player Rounds'!$B$2:$B$401,$B65,'Player Rounds'!$C$2:$C$401,$D65)-_xlfn.MINIFS('Player Rounds'!$AQ$2:$AQ$401,'Player Rounds'!$A$2:$A$401,$A65,'Player Rounds'!$B$2:$B$401,$B65,'Player Rounds'!$C$2:$C$401,$C65))))</f>
      </c>
      <c r="AD65" t="e">
        <f>IF($A65="","",SUM($L65:L65))</f>
      </c>
      <c r="AE65" t="e">
        <f>IF($A65="","",SUM($L65:M65))</f>
      </c>
      <c r="AF65" t="e">
        <f>IF($A65="","",SUM($L65:N65))</f>
      </c>
      <c r="AG65" t="e">
        <f>IF($A65="","",SUM($L65:O65))</f>
      </c>
      <c r="AH65" t="e">
        <f>IF($A65="","",SUM($L65:P65))</f>
      </c>
      <c r="AI65" t="e">
        <f>IF($A65="","",SUM($L65:Q65))</f>
      </c>
      <c r="AJ65" t="e">
        <f>IF($A65="","",SUM($L65:R65))</f>
      </c>
      <c r="AK65" t="e">
        <f>IF($A65="","",SUM($L65:S65))</f>
      </c>
      <c r="AL65" t="e">
        <f>IF($A65="","",SUM($L65:T65))</f>
      </c>
      <c r="AM65" t="e">
        <f>IF($A65="","",SUM($L65:U65))</f>
      </c>
      <c r="AN65" t="e">
        <f>IF($A65="","",SUM($L65:V65))</f>
      </c>
      <c r="AO65" t="e">
        <f>IF($A65="","",SUM($L65:W65))</f>
      </c>
      <c r="AP65" t="e">
        <f>IF($A65="","",SUM($L65:X65))</f>
      </c>
      <c r="AQ65" t="e">
        <f>IF($A65="","",SUM($L65:Y65))</f>
      </c>
      <c r="AR65" t="e">
        <f>IF($A65="","",SUM($L65:Z65))</f>
      </c>
      <c r="AS65" t="e">
        <f>IF($A65="","",SUM($L65:AA65))</f>
      </c>
      <c r="AT65" t="e">
        <f>IF($A65="","",SUM($L65:AB65))</f>
      </c>
      <c r="AU65" t="e">
        <f>IF($A65="","",SUM($L65:AC65))</f>
      </c>
      <c r="AV65" t="e">
        <f>IF(OR($A65="",L65=""),"",IF(ABS(AD65)&gt;17,1,""))</f>
      </c>
      <c r="AW65" t="e">
        <f>IF(OR($A65="",M65=""),"",IF(ABS(AE65)&gt;16,2,""))</f>
      </c>
      <c r="AX65" t="e">
        <f>IF(OR($A65="",N65=""),"",IF(ABS(AF65)&gt;15,3,""))</f>
      </c>
      <c r="AY65" t="e">
        <f>IF(OR($A65="",O65=""),"",IF(ABS(AG65)&gt;14,4,""))</f>
      </c>
      <c r="AZ65" t="e">
        <f>IF(OR($A65="",P65=""),"",IF(ABS(AH65)&gt;13,5,""))</f>
      </c>
      <c r="BA65" t="e">
        <f>IF(OR($A65="",Q65=""),"",IF(ABS(AI65)&gt;12,6,""))</f>
      </c>
      <c r="BB65" t="e">
        <f>IF(OR($A65="",R65=""),"",IF(ABS(AJ65)&gt;11,7,""))</f>
      </c>
      <c r="BC65" t="e">
        <f>IF(OR($A65="",S65=""),"",IF(ABS(AK65)&gt;10,8,""))</f>
      </c>
      <c r="BD65" t="e">
        <f>IF(OR($A65="",T65=""),"",IF(ABS(AL65)&gt;9,9,""))</f>
      </c>
      <c r="BE65" t="e">
        <f>IF(OR($A65="",U65=""),"",IF(ABS(AM65)&gt;8,10,""))</f>
      </c>
      <c r="BF65" t="e">
        <f>IF(OR($A65="",V65=""),"",IF(ABS(AN65)&gt;7,11,""))</f>
      </c>
      <c r="BG65" t="e">
        <f>IF(OR($A65="",W65=""),"",IF(ABS(AO65)&gt;6,12,""))</f>
      </c>
      <c r="BH65" t="e">
        <f>IF(OR($A65="",X65=""),"",IF(ABS(AP65)&gt;5,13,""))</f>
      </c>
      <c r="BI65" t="e">
        <f>IF(OR($A65="",Y65=""),"",IF(ABS(AQ65)&gt;4,14,""))</f>
      </c>
      <c r="BJ65" t="e">
        <f>IF(OR($A65="",Z65=""),"",IF(ABS(AR65)&gt;3,15,""))</f>
      </c>
      <c r="BK65" t="e">
        <f>IF(OR($A65="",AA65=""),"",IF(ABS(AS65)&gt;2,16,""))</f>
      </c>
      <c r="BL65" t="e">
        <f>IF(OR($A65="",AB65=""),"",IF(ABS(AT65)&gt;1,17,""))</f>
      </c>
      <c r="BM65" t="e">
        <f>IF(OR($A65="",AC65=""),"",IF(ABS(AU65)&gt;0,18,""))</f>
      </c>
    </row>
    <row r="66">
      <c r="C66" t="str">
        <f>IF($A66="","",INDEX('Tournament Setup'!$J:$J,MATCH($A66,'Tournament Setup'!$A:$A,0)))</f>
        <v/>
      </c>
      <c r="D66" t="str">
        <f>IF($A66="","",INDEX('Tournament Setup'!$K:$K,MATCH($A66,'Tournament Setup'!$A:$A,0)))</f>
        <v/>
      </c>
      <c r="E66" t="str">
        <f>IF($A66="","",IF(COUNT(L66:AC66)=0,"Not played",IF(AND($K66&gt;0,$K66&lt;18),IF(INDEX(AD66:AU66,1,$K66)&gt;0,$C66,$D66)&amp;" "&amp;ABS(INDEX(AD66:AU66,1,$K66))&amp;"&amp;"&amp;(18-$K66),IF($J66=0,"Halved (AS)",IF($J66&gt;0,$C66,$D66)&amp;" "&amp;ABS($J66)&amp;" UP"))))</f>
        <v/>
      </c>
      <c r="F66" t="e">
        <f>IF(OR($A66="",COUNT(L66:AC66)=0),"",INDEX('Tournament Setup'!$I:$I,MATCH($A66,'Tournament Setup'!$A:$A,0))*IF(INDEX('Tournament Setup'!$H:$H,MATCH($A66,'Tournament Setup'!$A:$A,0))="Yes",IF($H66&gt;0,1,IF($H66=0,0.5,0))+IF($I66&gt;0,1,IF($I66=0,0.5,0))+IF($J66&gt;0,1,IF($J66=0,0.5,0)),IF(IF(AND($K66&gt;0,$K66&lt;18),INDEX(AD66:AU66,1,$K66),$J66)&gt;0,1,IF(IF(AND($K66&gt;0,$K66&lt;18),INDEX(AD66:AU66,1,$K66),$J66)=0,0.5,0))))</f>
      </c>
      <c r="G66" t="e">
        <f>IF(OR($A66="",COUNT(L66:AC66)=0),"",INDEX('Tournament Setup'!$I:$I,MATCH($A66,'Tournament Setup'!$A:$A,0))*IF(INDEX('Tournament Setup'!$H:$H,MATCH($A66,'Tournament Setup'!$A:$A,0))="Yes",IF($H66&lt;0,1,IF($H66=0,0.5,0))+IF($I66&lt;0,1,IF($I66=0,0.5,0))+IF($J66&lt;0,1,IF($J66=0,0.5,0)),IF(IF(AND($K66&gt;0,$K66&lt;18),INDEX(AD66:AU66,1,$K66),$J66)&lt;0,1,IF(IF(AND($K66&gt;0,$K66&lt;18),INDEX(AD66:AU66,1,$K66),$J66)=0,0.5,0))))</f>
      </c>
      <c r="H66" t="e">
        <f>IF($A66="","",SUM(L66:T66))</f>
      </c>
      <c r="I66" t="e">
        <f>IF($A66="","",SUM(U66:AC66))</f>
      </c>
      <c r="J66" t="e">
        <f>IF($A66="","",SUM(L66:AC66))</f>
      </c>
      <c r="K66" t="e">
        <f>IF($A66="","",MIN(AV66:BM66))</f>
      </c>
      <c r="L66" t="e">
        <f>IF($A66="","",IF(COUNTIFS('Player Rounds'!$A$2:$A$401,$A66,'Player Rounds'!$B$2:$B$401,$B66,'Player Rounds'!$F$2:$F$401,"&gt;0")=0,"",SIGN(_xlfn.MINIFS('Player Rounds'!$Z$2:$Z$401,'Player Rounds'!$A$2:$A$401,$A66,'Player Rounds'!$B$2:$B$401,$B66,'Player Rounds'!$C$2:$C$401,$D66)-_xlfn.MINIFS('Player Rounds'!$Z$2:$Z$401,'Player Rounds'!$A$2:$A$401,$A66,'Player Rounds'!$B$2:$B$401,$B66,'Player Rounds'!$C$2:$C$401,$C66))))</f>
      </c>
      <c r="M66" t="e">
        <f>IF($A66="","",IF(COUNTIFS('Player Rounds'!$A$2:$A$401,$A66,'Player Rounds'!$B$2:$B$401,$B66,'Player Rounds'!$G$2:$G$401,"&gt;0")=0,"",SIGN(_xlfn.MINIFS('Player Rounds'!$AA$2:$AA$401,'Player Rounds'!$A$2:$A$401,$A66,'Player Rounds'!$B$2:$B$401,$B66,'Player Rounds'!$C$2:$C$401,$D66)-_xlfn.MINIFS('Player Rounds'!$AA$2:$AA$401,'Player Rounds'!$A$2:$A$401,$A66,'Player Rounds'!$B$2:$B$401,$B66,'Player Rounds'!$C$2:$C$401,$C66))))</f>
      </c>
      <c r="N66" t="e">
        <f>IF($A66="","",IF(COUNTIFS('Player Rounds'!$A$2:$A$401,$A66,'Player Rounds'!$B$2:$B$401,$B66,'Player Rounds'!$H$2:$H$401,"&gt;0")=0,"",SIGN(_xlfn.MINIFS('Player Rounds'!$AB$2:$AB$401,'Player Rounds'!$A$2:$A$401,$A66,'Player Rounds'!$B$2:$B$401,$B66,'Player Rounds'!$C$2:$C$401,$D66)-_xlfn.MINIFS('Player Rounds'!$AB$2:$AB$401,'Player Rounds'!$A$2:$A$401,$A66,'Player Rounds'!$B$2:$B$401,$B66,'Player Rounds'!$C$2:$C$401,$C66))))</f>
      </c>
      <c r="O66" t="e">
        <f>IF($A66="","",IF(COUNTIFS('Player Rounds'!$A$2:$A$401,$A66,'Player Rounds'!$B$2:$B$401,$B66,'Player Rounds'!$I$2:$I$401,"&gt;0")=0,"",SIGN(_xlfn.MINIFS('Player Rounds'!$AC$2:$AC$401,'Player Rounds'!$A$2:$A$401,$A66,'Player Rounds'!$B$2:$B$401,$B66,'Player Rounds'!$C$2:$C$401,$D66)-_xlfn.MINIFS('Player Rounds'!$AC$2:$AC$401,'Player Rounds'!$A$2:$A$401,$A66,'Player Rounds'!$B$2:$B$401,$B66,'Player Rounds'!$C$2:$C$401,$C66))))</f>
      </c>
      <c r="P66" t="e">
        <f>IF($A66="","",IF(COUNTIFS('Player Rounds'!$A$2:$A$401,$A66,'Player Rounds'!$B$2:$B$401,$B66,'Player Rounds'!$J$2:$J$401,"&gt;0")=0,"",SIGN(_xlfn.MINIFS('Player Rounds'!$AD$2:$AD$401,'Player Rounds'!$A$2:$A$401,$A66,'Player Rounds'!$B$2:$B$401,$B66,'Player Rounds'!$C$2:$C$401,$D66)-_xlfn.MINIFS('Player Rounds'!$AD$2:$AD$401,'Player Rounds'!$A$2:$A$401,$A66,'Player Rounds'!$B$2:$B$401,$B66,'Player Rounds'!$C$2:$C$401,$C66))))</f>
      </c>
      <c r="Q66" t="e">
        <f>IF($A66="","",IF(COUNTIFS('Player Rounds'!$A$2:$A$401,$A66,'Player Rounds'!$B$2:$B$401,$B66,'Player Rounds'!$K$2:$K$401,"&gt;0")=0,"",SIGN(_xlfn.MINIFS('Player Rounds'!$AE$2:$AE$401,'Player Rounds'!$A$2:$A$401,$A66,'Player Rounds'!$B$2:$B$401,$B66,'Player Rounds'!$C$2:$C$401,$D66)-_xlfn.MINIFS('Player Rounds'!$AE$2:$AE$401,'Player Rounds'!$A$2:$A$401,$A66,'Player Rounds'!$B$2:$B$401,$B66,'Player Rounds'!$C$2:$C$401,$C66))))</f>
      </c>
      <c r="R66" t="e">
        <f>IF($A66="","",IF(COUNTIFS('Player Rounds'!$A$2:$A$401,$A66,'Player Rounds'!$B$2:$B$401,$B66,'Player Rounds'!$L$2:$L$401,"&gt;0")=0,"",SIGN(_xlfn.MINIFS('Player Rounds'!$AF$2:$AF$401,'Player Rounds'!$A$2:$A$401,$A66,'Player Rounds'!$B$2:$B$401,$B66,'Player Rounds'!$C$2:$C$401,$D66)-_xlfn.MINIFS('Player Rounds'!$AF$2:$AF$401,'Player Rounds'!$A$2:$A$401,$A66,'Player Rounds'!$B$2:$B$401,$B66,'Player Rounds'!$C$2:$C$401,$C66))))</f>
      </c>
      <c r="S66" t="e">
        <f>IF($A66="","",IF(COUNTIFS('Player Rounds'!$A$2:$A$401,$A66,'Player Rounds'!$B$2:$B$401,$B66,'Player Rounds'!$M$2:$M$401,"&gt;0")=0,"",SIGN(_xlfn.MINIFS('Player Rounds'!$AG$2:$AG$401,'Player Rounds'!$A$2:$A$401,$A66,'Player Rounds'!$B$2:$B$401,$B66,'Player Rounds'!$C$2:$C$401,$D66)-_xlfn.MINIFS('Player Rounds'!$AG$2:$AG$401,'Player Rounds'!$A$2:$A$401,$A66,'Player Rounds'!$B$2:$B$401,$B66,'Player Rounds'!$C$2:$C$401,$C66))))</f>
      </c>
      <c r="T66" t="e">
        <f>IF($A66="","",IF(COUNTIFS('Player Rounds'!$A$2:$A$401,$A66,'Player Rounds'!$B$2:$B$401,$B66,'Player Rounds'!$N$2:$N$401,"&gt;0")=0,"",SIGN(_xlfn.MINIFS('Player Rounds'!$AH$2:$AH$401,'Player Rounds'!$A$2:$A$401,$A66,'Player Rounds'!$B$2:$B$401,$B66,'Player Rounds'!$C$2:$C$401,$D66)-_xlfn.MINIFS('Player Rounds'!$AH$2:$AH$401,'Player Rounds'!$A$2:$A$401,$A66,'Player Rounds'!$B$2:$B$401,$B66,'Player Rounds'!$C$2:$C$401,$C66))))</f>
      </c>
      <c r="U66" t="e">
        <f>IF($A66="","",IF(COUNTIFS('Player Rounds'!$A$2:$A$401,$A66,'Player Rounds'!$B$2:$B$401,$B66,'Player Rounds'!$O$2:$O$401,"&gt;0")=0,"",SIGN(_xlfn.MINIFS('Player Rounds'!$AI$2:$AI$401,'Player Rounds'!$A$2:$A$401,$A66,'Player Rounds'!$B$2:$B$401,$B66,'Player Rounds'!$C$2:$C$401,$D66)-_xlfn.MINIFS('Player Rounds'!$AI$2:$AI$401,'Player Rounds'!$A$2:$A$401,$A66,'Player Rounds'!$B$2:$B$401,$B66,'Player Rounds'!$C$2:$C$401,$C66))))</f>
      </c>
      <c r="V66" t="e">
        <f>IF($A66="","",IF(COUNTIFS('Player Rounds'!$A$2:$A$401,$A66,'Player Rounds'!$B$2:$B$401,$B66,'Player Rounds'!$P$2:$P$401,"&gt;0")=0,"",SIGN(_xlfn.MINIFS('Player Rounds'!$AJ$2:$AJ$401,'Player Rounds'!$A$2:$A$401,$A66,'Player Rounds'!$B$2:$B$401,$B66,'Player Rounds'!$C$2:$C$401,$D66)-_xlfn.MINIFS('Player Rounds'!$AJ$2:$AJ$401,'Player Rounds'!$A$2:$A$401,$A66,'Player Rounds'!$B$2:$B$401,$B66,'Player Rounds'!$C$2:$C$401,$C66))))</f>
      </c>
      <c r="W66" t="e">
        <f>IF($A66="","",IF(COUNTIFS('Player Rounds'!$A$2:$A$401,$A66,'Player Rounds'!$B$2:$B$401,$B66,'Player Rounds'!$Q$2:$Q$401,"&gt;0")=0,"",SIGN(_xlfn.MINIFS('Player Rounds'!$AK$2:$AK$401,'Player Rounds'!$A$2:$A$401,$A66,'Player Rounds'!$B$2:$B$401,$B66,'Player Rounds'!$C$2:$C$401,$D66)-_xlfn.MINIFS('Player Rounds'!$AK$2:$AK$401,'Player Rounds'!$A$2:$A$401,$A66,'Player Rounds'!$B$2:$B$401,$B66,'Player Rounds'!$C$2:$C$401,$C66))))</f>
      </c>
      <c r="X66" t="e">
        <f>IF($A66="","",IF(COUNTIFS('Player Rounds'!$A$2:$A$401,$A66,'Player Rounds'!$B$2:$B$401,$B66,'Player Rounds'!$R$2:$R$401,"&gt;0")=0,"",SIGN(_xlfn.MINIFS('Player Rounds'!$AL$2:$AL$401,'Player Rounds'!$A$2:$A$401,$A66,'Player Rounds'!$B$2:$B$401,$B66,'Player Rounds'!$C$2:$C$401,$D66)-_xlfn.MINIFS('Player Rounds'!$AL$2:$AL$401,'Player Rounds'!$A$2:$A$401,$A66,'Player Rounds'!$B$2:$B$401,$B66,'Player Rounds'!$C$2:$C$401,$C66))))</f>
      </c>
      <c r="Y66" t="e">
        <f>IF($A66="","",IF(COUNTIFS('Player Rounds'!$A$2:$A$401,$A66,'Player Rounds'!$B$2:$B$401,$B66,'Player Rounds'!$S$2:$S$401,"&gt;0")=0,"",SIGN(_xlfn.MINIFS('Player Rounds'!$AM$2:$AM$401,'Player Rounds'!$A$2:$A$401,$A66,'Player Rounds'!$B$2:$B$401,$B66,'Player Rounds'!$C$2:$C$401,$D66)-_xlfn.MINIFS('Player Rounds'!$AM$2:$AM$401,'Player Rounds'!$A$2:$A$401,$A66,'Player Rounds'!$B$2:$B$401,$B66,'Player Rounds'!$C$2:$C$401,$C66))))</f>
      </c>
      <c r="Z66" t="e">
        <f>IF($A66="","",IF(COUNTIFS('Player Rounds'!$A$2:$A$401,$A66,'Player Rounds'!$B$2:$B$401,$B66,'Player Rounds'!$T$2:$T$401,"&gt;0")=0,"",SIGN(_xlfn.MINIFS('Player Rounds'!$AN$2:$AN$401,'Player Rounds'!$A$2:$A$401,$A66,'Player Rounds'!$B$2:$B$401,$B66,'Player Rounds'!$C$2:$C$401,$D66)-_xlfn.MINIFS('Player Rounds'!$AN$2:$AN$401,'Player Rounds'!$A$2:$A$401,$A66,'Player Rounds'!$B$2:$B$401,$B66,'Player Rounds'!$C$2:$C$401,$C66))))</f>
      </c>
      <c r="AA66" t="e">
        <f>IF($A66="","",IF(COUNTIFS('Player Rounds'!$A$2:$A$401,$A66,'Player Rounds'!$B$2:$B$401,$B66,'Player Rounds'!$U$2:$U$401,"&gt;0")=0,"",SIGN(_xlfn.MINIFS('Player Rounds'!$AO$2:$AO$401,'Player Rounds'!$A$2:$A$401,$A66,'Player Rounds'!$B$2:$B$401,$B66,'Player Rounds'!$C$2:$C$401,$D66)-_xlfn.MINIFS('Player Rounds'!$AO$2:$AO$401,'Player Rounds'!$A$2:$A$401,$A66,'Player Rounds'!$B$2:$B$401,$B66,'Player Rounds'!$C$2:$C$401,$C66))))</f>
      </c>
      <c r="AB66" t="e">
        <f>IF($A66="","",IF(COUNTIFS('Player Rounds'!$A$2:$A$401,$A66,'Player Rounds'!$B$2:$B$401,$B66,'Player Rounds'!$V$2:$V$401,"&gt;0")=0,"",SIGN(_xlfn.MINIFS('Player Rounds'!$AP$2:$AP$401,'Player Rounds'!$A$2:$A$401,$A66,'Player Rounds'!$B$2:$B$401,$B66,'Player Rounds'!$C$2:$C$401,$D66)-_xlfn.MINIFS('Player Rounds'!$AP$2:$AP$401,'Player Rounds'!$A$2:$A$401,$A66,'Player Rounds'!$B$2:$B$401,$B66,'Player Rounds'!$C$2:$C$401,$C66))))</f>
      </c>
      <c r="AC66" t="e">
        <f>IF($A66="","",IF(COUNTIFS('Player Rounds'!$A$2:$A$401,$A66,'Player Rounds'!$B$2:$B$401,$B66,'Player Rounds'!$W$2:$W$401,"&gt;0")=0,"",SIGN(_xlfn.MINIFS('Player Rounds'!$AQ$2:$AQ$401,'Player Rounds'!$A$2:$A$401,$A66,'Player Rounds'!$B$2:$B$401,$B66,'Player Rounds'!$C$2:$C$401,$D66)-_xlfn.MINIFS('Player Rounds'!$AQ$2:$AQ$401,'Player Rounds'!$A$2:$A$401,$A66,'Player Rounds'!$B$2:$B$401,$B66,'Player Rounds'!$C$2:$C$401,$C66))))</f>
      </c>
      <c r="AD66" t="e">
        <f>IF($A66="","",SUM($L66:L66))</f>
      </c>
      <c r="AE66" t="e">
        <f>IF($A66="","",SUM($L66:M66))</f>
      </c>
      <c r="AF66" t="e">
        <f>IF($A66="","",SUM($L66:N66))</f>
      </c>
      <c r="AG66" t="e">
        <f>IF($A66="","",SUM($L66:O66))</f>
      </c>
      <c r="AH66" t="e">
        <f>IF($A66="","",SUM($L66:P66))</f>
      </c>
      <c r="AI66" t="e">
        <f>IF($A66="","",SUM($L66:Q66))</f>
      </c>
      <c r="AJ66" t="e">
        <f>IF($A66="","",SUM($L66:R66))</f>
      </c>
      <c r="AK66" t="e">
        <f>IF($A66="","",SUM($L66:S66))</f>
      </c>
      <c r="AL66" t="e">
        <f>IF($A66="","",SUM($L66:T66))</f>
      </c>
      <c r="AM66" t="e">
        <f>IF($A66="","",SUM($L66:U66))</f>
      </c>
      <c r="AN66" t="e">
        <f>IF($A66="","",SUM($L66:V66))</f>
      </c>
      <c r="AO66" t="e">
        <f>IF($A66="","",SUM($L66:W66))</f>
      </c>
      <c r="AP66" t="e">
        <f>IF($A66="","",SUM($L66:X66))</f>
      </c>
      <c r="AQ66" t="e">
        <f>IF($A66="","",SUM($L66:Y66))</f>
      </c>
      <c r="AR66" t="e">
        <f>IF($A66="","",SUM($L66:Z66))</f>
      </c>
      <c r="AS66" t="e">
        <f>IF($A66="","",SUM($L66:AA66))</f>
      </c>
      <c r="AT66" t="e">
        <f>IF($A66="","",SUM($L66:AB66))</f>
      </c>
      <c r="AU66" t="e">
        <f>IF($A66="","",SUM($L66:AC66))</f>
      </c>
      <c r="AV66" t="e">
        <f>IF(OR($A66="",L66=""),"",IF(ABS(AD66)&gt;17,1,""))</f>
      </c>
      <c r="AW66" t="e">
        <f>IF(OR($A66="",M66=""),"",IF(ABS(AE66)&gt;16,2,""))</f>
      </c>
      <c r="AX66" t="e">
        <f>IF(OR($A66="",N66=""),"",IF(ABS(AF66)&gt;15,3,""))</f>
      </c>
      <c r="AY66" t="e">
        <f>IF(OR($A66="",O66=""),"",IF(ABS(AG66)&gt;14,4,""))</f>
      </c>
      <c r="AZ66" t="e">
        <f>IF(OR($A66="",P66=""),"",IF(ABS(AH66)&gt;13,5,""))</f>
      </c>
      <c r="BA66" t="e">
        <f>IF(OR($A66="",Q66=""),"",IF(ABS(AI66)&gt;12,6,""))</f>
      </c>
      <c r="BB66" t="e">
        <f>IF(OR($A66="",R66=""),"",IF(ABS(AJ66)&gt;11,7,""))</f>
      </c>
      <c r="BC66" t="e">
        <f>IF(OR($A66="",S66=""),"",IF(ABS(AK66)&gt;10,8,""))</f>
      </c>
      <c r="BD66" t="e">
        <f>IF(OR($A66="",T66=""),"",IF(ABS(AL66)&gt;9,9,""))</f>
      </c>
      <c r="BE66" t="e">
        <f>IF(OR($A66="",U66=""),"",IF(ABS(AM66)&gt;8,10,""))</f>
      </c>
      <c r="BF66" t="e">
        <f>IF(OR($A66="",V66=""),"",IF(ABS(AN66)&gt;7,11,""))</f>
      </c>
      <c r="BG66" t="e">
        <f>IF(OR($A66="",W66=""),"",IF(ABS(AO66)&gt;6,12,""))</f>
      </c>
      <c r="BH66" t="e">
        <f>IF(OR($A66="",X66=""),"",IF(ABS(AP66)&gt;5,13,""))</f>
      </c>
      <c r="BI66" t="e">
        <f>IF(OR($A66="",Y66=""),"",IF(ABS(AQ66)&gt;4,14,""))</f>
      </c>
      <c r="BJ66" t="e">
        <f>IF(OR($A66="",Z66=""),"",IF(ABS(AR66)&gt;3,15,""))</f>
      </c>
      <c r="BK66" t="e">
        <f>IF(OR($A66="",AA66=""),"",IF(ABS(AS66)&gt;2,16,""))</f>
      </c>
      <c r="BL66" t="e">
        <f>IF(OR($A66="",AB66=""),"",IF(ABS(AT66)&gt;1,17,""))</f>
      </c>
      <c r="BM66" t="e">
        <f>IF(OR($A66="",AC66=""),"",IF(ABS(AU66)&gt;0,18,""))</f>
      </c>
    </row>
    <row r="67">
      <c r="C67" t="str">
        <f>IF($A67="","",INDEX('Tournament Setup'!$J:$J,MATCH($A67,'Tournament Setup'!$A:$A,0)))</f>
        <v/>
      </c>
      <c r="D67" t="str">
        <f>IF($A67="","",INDEX('Tournament Setup'!$K:$K,MATCH($A67,'Tournament Setup'!$A:$A,0)))</f>
        <v/>
      </c>
      <c r="E67" t="str">
        <f>IF($A67="","",IF(COUNT(L67:AC67)=0,"Not played",IF(AND($K67&gt;0,$K67&lt;18),IF(INDEX(AD67:AU67,1,$K67)&gt;0,$C67,$D67)&amp;" "&amp;ABS(INDEX(AD67:AU67,1,$K67))&amp;"&amp;"&amp;(18-$K67),IF($J67=0,"Halved (AS)",IF($J67&gt;0,$C67,$D67)&amp;" "&amp;ABS($J67)&amp;" UP"))))</f>
        <v/>
      </c>
      <c r="F67" t="e">
        <f>IF(OR($A67="",COUNT(L67:AC67)=0),"",INDEX('Tournament Setup'!$I:$I,MATCH($A67,'Tournament Setup'!$A:$A,0))*IF(INDEX('Tournament Setup'!$H:$H,MATCH($A67,'Tournament Setup'!$A:$A,0))="Yes",IF($H67&gt;0,1,IF($H67=0,0.5,0))+IF($I67&gt;0,1,IF($I67=0,0.5,0))+IF($J67&gt;0,1,IF($J67=0,0.5,0)),IF(IF(AND($K67&gt;0,$K67&lt;18),INDEX(AD67:AU67,1,$K67),$J67)&gt;0,1,IF(IF(AND($K67&gt;0,$K67&lt;18),INDEX(AD67:AU67,1,$K67),$J67)=0,0.5,0))))</f>
      </c>
      <c r="G67" t="e">
        <f>IF(OR($A67="",COUNT(L67:AC67)=0),"",INDEX('Tournament Setup'!$I:$I,MATCH($A67,'Tournament Setup'!$A:$A,0))*IF(INDEX('Tournament Setup'!$H:$H,MATCH($A67,'Tournament Setup'!$A:$A,0))="Yes",IF($H67&lt;0,1,IF($H67=0,0.5,0))+IF($I67&lt;0,1,IF($I67=0,0.5,0))+IF($J67&lt;0,1,IF($J67=0,0.5,0)),IF(IF(AND($K67&gt;0,$K67&lt;18),INDEX(AD67:AU67,1,$K67),$J67)&lt;0,1,IF(IF(AND($K67&gt;0,$K67&lt;18),INDEX(AD67:AU67,1,$K67),$J67)=0,0.5,0))))</f>
      </c>
      <c r="H67" t="e">
        <f>IF($A67="","",SUM(L67:T67))</f>
      </c>
      <c r="I67" t="e">
        <f>IF($A67="","",SUM(U67:AC67))</f>
      </c>
      <c r="J67" t="e">
        <f>IF($A67="","",SUM(L67:AC67))</f>
      </c>
      <c r="K67" t="e">
        <f>IF($A67="","",MIN(AV67:BM67))</f>
      </c>
      <c r="L67" t="e">
        <f>IF($A67="","",IF(COUNTIFS('Player Rounds'!$A$2:$A$401,$A67,'Player Rounds'!$B$2:$B$401,$B67,'Player Rounds'!$F$2:$F$401,"&gt;0")=0,"",SIGN(_xlfn.MINIFS('Player Rounds'!$Z$2:$Z$401,'Player Rounds'!$A$2:$A$401,$A67,'Player Rounds'!$B$2:$B$401,$B67,'Player Rounds'!$C$2:$C$401,$D67)-_xlfn.MINIFS('Player Rounds'!$Z$2:$Z$401,'Player Rounds'!$A$2:$A$401,$A67,'Player Rounds'!$B$2:$B$401,$B67,'Player Rounds'!$C$2:$C$401,$C67))))</f>
      </c>
      <c r="M67" t="e">
        <f>IF($A67="","",IF(COUNTIFS('Player Rounds'!$A$2:$A$401,$A67,'Player Rounds'!$B$2:$B$401,$B67,'Player Rounds'!$G$2:$G$401,"&gt;0")=0,"",SIGN(_xlfn.MINIFS('Player Rounds'!$AA$2:$AA$401,'Player Rounds'!$A$2:$A$401,$A67,'Player Rounds'!$B$2:$B$401,$B67,'Player Rounds'!$C$2:$C$401,$D67)-_xlfn.MINIFS('Player Rounds'!$AA$2:$AA$401,'Player Rounds'!$A$2:$A$401,$A67,'Player Rounds'!$B$2:$B$401,$B67,'Player Rounds'!$C$2:$C$401,$C67))))</f>
      </c>
      <c r="N67" t="e">
        <f>IF($A67="","",IF(COUNTIFS('Player Rounds'!$A$2:$A$401,$A67,'Player Rounds'!$B$2:$B$401,$B67,'Player Rounds'!$H$2:$H$401,"&gt;0")=0,"",SIGN(_xlfn.MINIFS('Player Rounds'!$AB$2:$AB$401,'Player Rounds'!$A$2:$A$401,$A67,'Player Rounds'!$B$2:$B$401,$B67,'Player Rounds'!$C$2:$C$401,$D67)-_xlfn.MINIFS('Player Rounds'!$AB$2:$AB$401,'Player Rounds'!$A$2:$A$401,$A67,'Player Rounds'!$B$2:$B$401,$B67,'Player Rounds'!$C$2:$C$401,$C67))))</f>
      </c>
      <c r="O67" t="e">
        <f>IF($A67="","",IF(COUNTIFS('Player Rounds'!$A$2:$A$401,$A67,'Player Rounds'!$B$2:$B$401,$B67,'Player Rounds'!$I$2:$I$401,"&gt;0")=0,"",SIGN(_xlfn.MINIFS('Player Rounds'!$AC$2:$AC$401,'Player Rounds'!$A$2:$A$401,$A67,'Player Rounds'!$B$2:$B$401,$B67,'Player Rounds'!$C$2:$C$401,$D67)-_xlfn.MINIFS('Player Rounds'!$AC$2:$AC$401,'Player Rounds'!$A$2:$A$401,$A67,'Player Rounds'!$B$2:$B$401,$B67,'Player Rounds'!$C$2:$C$401,$C67))))</f>
      </c>
      <c r="P67" t="e">
        <f>IF($A67="","",IF(COUNTIFS('Player Rounds'!$A$2:$A$401,$A67,'Player Rounds'!$B$2:$B$401,$B67,'Player Rounds'!$J$2:$J$401,"&gt;0")=0,"",SIGN(_xlfn.MINIFS('Player Rounds'!$AD$2:$AD$401,'Player Rounds'!$A$2:$A$401,$A67,'Player Rounds'!$B$2:$B$401,$B67,'Player Rounds'!$C$2:$C$401,$D67)-_xlfn.MINIFS('Player Rounds'!$AD$2:$AD$401,'Player Rounds'!$A$2:$A$401,$A67,'Player Rounds'!$B$2:$B$401,$B67,'Player Rounds'!$C$2:$C$401,$C67))))</f>
      </c>
      <c r="Q67" t="e">
        <f>IF($A67="","",IF(COUNTIFS('Player Rounds'!$A$2:$A$401,$A67,'Player Rounds'!$B$2:$B$401,$B67,'Player Rounds'!$K$2:$K$401,"&gt;0")=0,"",SIGN(_xlfn.MINIFS('Player Rounds'!$AE$2:$AE$401,'Player Rounds'!$A$2:$A$401,$A67,'Player Rounds'!$B$2:$B$401,$B67,'Player Rounds'!$C$2:$C$401,$D67)-_xlfn.MINIFS('Player Rounds'!$AE$2:$AE$401,'Player Rounds'!$A$2:$A$401,$A67,'Player Rounds'!$B$2:$B$401,$B67,'Player Rounds'!$C$2:$C$401,$C67))))</f>
      </c>
      <c r="R67" t="e">
        <f>IF($A67="","",IF(COUNTIFS('Player Rounds'!$A$2:$A$401,$A67,'Player Rounds'!$B$2:$B$401,$B67,'Player Rounds'!$L$2:$L$401,"&gt;0")=0,"",SIGN(_xlfn.MINIFS('Player Rounds'!$AF$2:$AF$401,'Player Rounds'!$A$2:$A$401,$A67,'Player Rounds'!$B$2:$B$401,$B67,'Player Rounds'!$C$2:$C$401,$D67)-_xlfn.MINIFS('Player Rounds'!$AF$2:$AF$401,'Player Rounds'!$A$2:$A$401,$A67,'Player Rounds'!$B$2:$B$401,$B67,'Player Rounds'!$C$2:$C$401,$C67))))</f>
      </c>
      <c r="S67" t="e">
        <f>IF($A67="","",IF(COUNTIFS('Player Rounds'!$A$2:$A$401,$A67,'Player Rounds'!$B$2:$B$401,$B67,'Player Rounds'!$M$2:$M$401,"&gt;0")=0,"",SIGN(_xlfn.MINIFS('Player Rounds'!$AG$2:$AG$401,'Player Rounds'!$A$2:$A$401,$A67,'Player Rounds'!$B$2:$B$401,$B67,'Player Rounds'!$C$2:$C$401,$D67)-_xlfn.MINIFS('Player Rounds'!$AG$2:$AG$401,'Player Rounds'!$A$2:$A$401,$A67,'Player Rounds'!$B$2:$B$401,$B67,'Player Rounds'!$C$2:$C$401,$C67))))</f>
      </c>
      <c r="T67" t="e">
        <f>IF($A67="","",IF(COUNTIFS('Player Rounds'!$A$2:$A$401,$A67,'Player Rounds'!$B$2:$B$401,$B67,'Player Rounds'!$N$2:$N$401,"&gt;0")=0,"",SIGN(_xlfn.MINIFS('Player Rounds'!$AH$2:$AH$401,'Player Rounds'!$A$2:$A$401,$A67,'Player Rounds'!$B$2:$B$401,$B67,'Player Rounds'!$C$2:$C$401,$D67)-_xlfn.MINIFS('Player Rounds'!$AH$2:$AH$401,'Player Rounds'!$A$2:$A$401,$A67,'Player Rounds'!$B$2:$B$401,$B67,'Player Rounds'!$C$2:$C$401,$C67))))</f>
      </c>
      <c r="U67" t="e">
        <f>IF($A67="","",IF(COUNTIFS('Player Rounds'!$A$2:$A$401,$A67,'Player Rounds'!$B$2:$B$401,$B67,'Player Rounds'!$O$2:$O$401,"&gt;0")=0,"",SIGN(_xlfn.MINIFS('Player Rounds'!$AI$2:$AI$401,'Player Rounds'!$A$2:$A$401,$A67,'Player Rounds'!$B$2:$B$401,$B67,'Player Rounds'!$C$2:$C$401,$D67)-_xlfn.MINIFS('Player Rounds'!$AI$2:$AI$401,'Player Rounds'!$A$2:$A$401,$A67,'Player Rounds'!$B$2:$B$401,$B67,'Player Rounds'!$C$2:$C$401,$C67))))</f>
      </c>
      <c r="V67" t="e">
        <f>IF($A67="","",IF(COUNTIFS('Player Rounds'!$A$2:$A$401,$A67,'Player Rounds'!$B$2:$B$401,$B67,'Player Rounds'!$P$2:$P$401,"&gt;0")=0,"",SIGN(_xlfn.MINIFS('Player Rounds'!$AJ$2:$AJ$401,'Player Rounds'!$A$2:$A$401,$A67,'Player Rounds'!$B$2:$B$401,$B67,'Player Rounds'!$C$2:$C$401,$D67)-_xlfn.MINIFS('Player Rounds'!$AJ$2:$AJ$401,'Player Rounds'!$A$2:$A$401,$A67,'Player Rounds'!$B$2:$B$401,$B67,'Player Rounds'!$C$2:$C$401,$C67))))</f>
      </c>
      <c r="W67" t="e">
        <f>IF($A67="","",IF(COUNTIFS('Player Rounds'!$A$2:$A$401,$A67,'Player Rounds'!$B$2:$B$401,$B67,'Player Rounds'!$Q$2:$Q$401,"&gt;0")=0,"",SIGN(_xlfn.MINIFS('Player Rounds'!$AK$2:$AK$401,'Player Rounds'!$A$2:$A$401,$A67,'Player Rounds'!$B$2:$B$401,$B67,'Player Rounds'!$C$2:$C$401,$D67)-_xlfn.MINIFS('Player Rounds'!$AK$2:$AK$401,'Player Rounds'!$A$2:$A$401,$A67,'Player Rounds'!$B$2:$B$401,$B67,'Player Rounds'!$C$2:$C$401,$C67))))</f>
      </c>
      <c r="X67" t="e">
        <f>IF($A67="","",IF(COUNTIFS('Player Rounds'!$A$2:$A$401,$A67,'Player Rounds'!$B$2:$B$401,$B67,'Player Rounds'!$R$2:$R$401,"&gt;0")=0,"",SIGN(_xlfn.MINIFS('Player Rounds'!$AL$2:$AL$401,'Player Rounds'!$A$2:$A$401,$A67,'Player Rounds'!$B$2:$B$401,$B67,'Player Rounds'!$C$2:$C$401,$D67)-_xlfn.MINIFS('Player Rounds'!$AL$2:$AL$401,'Player Rounds'!$A$2:$A$401,$A67,'Player Rounds'!$B$2:$B$401,$B67,'Player Rounds'!$C$2:$C$401,$C67))))</f>
      </c>
      <c r="Y67" t="e">
        <f>IF($A67="","",IF(COUNTIFS('Player Rounds'!$A$2:$A$401,$A67,'Player Rounds'!$B$2:$B$401,$B67,'Player Rounds'!$S$2:$S$401,"&gt;0")=0,"",SIGN(_xlfn.MINIFS('Player Rounds'!$AM$2:$AM$401,'Player Rounds'!$A$2:$A$401,$A67,'Player Rounds'!$B$2:$B$401,$B67,'Player Rounds'!$C$2:$C$401,$D67)-_xlfn.MINIFS('Player Rounds'!$AM$2:$AM$401,'Player Rounds'!$A$2:$A$401,$A67,'Player Rounds'!$B$2:$B$401,$B67,'Player Rounds'!$C$2:$C$401,$C67))))</f>
      </c>
      <c r="Z67" t="e">
        <f>IF($A67="","",IF(COUNTIFS('Player Rounds'!$A$2:$A$401,$A67,'Player Rounds'!$B$2:$B$401,$B67,'Player Rounds'!$T$2:$T$401,"&gt;0")=0,"",SIGN(_xlfn.MINIFS('Player Rounds'!$AN$2:$AN$401,'Player Rounds'!$A$2:$A$401,$A67,'Player Rounds'!$B$2:$B$401,$B67,'Player Rounds'!$C$2:$C$401,$D67)-_xlfn.MINIFS('Player Rounds'!$AN$2:$AN$401,'Player Rounds'!$A$2:$A$401,$A67,'Player Rounds'!$B$2:$B$401,$B67,'Player Rounds'!$C$2:$C$401,$C67))))</f>
      </c>
      <c r="AA67" t="e">
        <f>IF($A67="","",IF(COUNTIFS('Player Rounds'!$A$2:$A$401,$A67,'Player Rounds'!$B$2:$B$401,$B67,'Player Rounds'!$U$2:$U$401,"&gt;0")=0,"",SIGN(_xlfn.MINIFS('Player Rounds'!$AO$2:$AO$401,'Player Rounds'!$A$2:$A$401,$A67,'Player Rounds'!$B$2:$B$401,$B67,'Player Rounds'!$C$2:$C$401,$D67)-_xlfn.MINIFS('Player Rounds'!$AO$2:$AO$401,'Player Rounds'!$A$2:$A$401,$A67,'Player Rounds'!$B$2:$B$401,$B67,'Player Rounds'!$C$2:$C$401,$C67))))</f>
      </c>
      <c r="AB67" t="e">
        <f>IF($A67="","",IF(COUNTIFS('Player Rounds'!$A$2:$A$401,$A67,'Player Rounds'!$B$2:$B$401,$B67,'Player Rounds'!$V$2:$V$401,"&gt;0")=0,"",SIGN(_xlfn.MINIFS('Player Rounds'!$AP$2:$AP$401,'Player Rounds'!$A$2:$A$401,$A67,'Player Rounds'!$B$2:$B$401,$B67,'Player Rounds'!$C$2:$C$401,$D67)-_xlfn.MINIFS('Player Rounds'!$AP$2:$AP$401,'Player Rounds'!$A$2:$A$401,$A67,'Player Rounds'!$B$2:$B$401,$B67,'Player Rounds'!$C$2:$C$401,$C67))))</f>
      </c>
      <c r="AC67" t="e">
        <f>IF($A67="","",IF(COUNTIFS('Player Rounds'!$A$2:$A$401,$A67,'Player Rounds'!$B$2:$B$401,$B67,'Player Rounds'!$W$2:$W$401,"&gt;0")=0,"",SIGN(_xlfn.MINIFS('Player Rounds'!$AQ$2:$AQ$401,'Player Rounds'!$A$2:$A$401,$A67,'Player Rounds'!$B$2:$B$401,$B67,'Player Rounds'!$C$2:$C$401,$D67)-_xlfn.MINIFS('Player Rounds'!$AQ$2:$AQ$401,'Player Rounds'!$A$2:$A$401,$A67,'Player Rounds'!$B$2:$B$401,$B67,'Player Rounds'!$C$2:$C$401,$C67))))</f>
      </c>
      <c r="AD67" t="e">
        <f>IF($A67="","",SUM($L67:L67))</f>
      </c>
      <c r="AE67" t="e">
        <f>IF($A67="","",SUM($L67:M67))</f>
      </c>
      <c r="AF67" t="e">
        <f>IF($A67="","",SUM($L67:N67))</f>
      </c>
      <c r="AG67" t="e">
        <f>IF($A67="","",SUM($L67:O67))</f>
      </c>
      <c r="AH67" t="e">
        <f>IF($A67="","",SUM($L67:P67))</f>
      </c>
      <c r="AI67" t="e">
        <f>IF($A67="","",SUM($L67:Q67))</f>
      </c>
      <c r="AJ67" t="e">
        <f>IF($A67="","",SUM($L67:R67))</f>
      </c>
      <c r="AK67" t="e">
        <f>IF($A67="","",SUM($L67:S67))</f>
      </c>
      <c r="AL67" t="e">
        <f>IF($A67="","",SUM($L67:T67))</f>
      </c>
      <c r="AM67" t="e">
        <f>IF($A67="","",SUM($L67:U67))</f>
      </c>
      <c r="AN67" t="e">
        <f>IF($A67="","",SUM($L67:V67))</f>
      </c>
      <c r="AO67" t="e">
        <f>IF($A67="","",SUM($L67:W67))</f>
      </c>
      <c r="AP67" t="e">
        <f>IF($A67="","",SUM($L67:X67))</f>
      </c>
      <c r="AQ67" t="e">
        <f>IF($A67="","",SUM($L67:Y67))</f>
      </c>
      <c r="AR67" t="e">
        <f>IF($A67="","",SUM($L67:Z67))</f>
      </c>
      <c r="AS67" t="e">
        <f>IF($A67="","",SUM($L67:AA67))</f>
      </c>
      <c r="AT67" t="e">
        <f>IF($A67="","",SUM($L67:AB67))</f>
      </c>
      <c r="AU67" t="e">
        <f>IF($A67="","",SUM($L67:AC67))</f>
      </c>
      <c r="AV67" t="e">
        <f>IF(OR($A67="",L67=""),"",IF(ABS(AD67)&gt;17,1,""))</f>
      </c>
      <c r="AW67" t="e">
        <f>IF(OR($A67="",M67=""),"",IF(ABS(AE67)&gt;16,2,""))</f>
      </c>
      <c r="AX67" t="e">
        <f>IF(OR($A67="",N67=""),"",IF(ABS(AF67)&gt;15,3,""))</f>
      </c>
      <c r="AY67" t="e">
        <f>IF(OR($A67="",O67=""),"",IF(ABS(AG67)&gt;14,4,""))</f>
      </c>
      <c r="AZ67" t="e">
        <f>IF(OR($A67="",P67=""),"",IF(ABS(AH67)&gt;13,5,""))</f>
      </c>
      <c r="BA67" t="e">
        <f>IF(OR($A67="",Q67=""),"",IF(ABS(AI67)&gt;12,6,""))</f>
      </c>
      <c r="BB67" t="e">
        <f>IF(OR($A67="",R67=""),"",IF(ABS(AJ67)&gt;11,7,""))</f>
      </c>
      <c r="BC67" t="e">
        <f>IF(OR($A67="",S67=""),"",IF(ABS(AK67)&gt;10,8,""))</f>
      </c>
      <c r="BD67" t="e">
        <f>IF(OR($A67="",T67=""),"",IF(ABS(AL67)&gt;9,9,""))</f>
      </c>
      <c r="BE67" t="e">
        <f>IF(OR($A67="",U67=""),"",IF(ABS(AM67)&gt;8,10,""))</f>
      </c>
      <c r="BF67" t="e">
        <f>IF(OR($A67="",V67=""),"",IF(ABS(AN67)&gt;7,11,""))</f>
      </c>
      <c r="BG67" t="e">
        <f>IF(OR($A67="",W67=""),"",IF(ABS(AO67)&gt;6,12,""))</f>
      </c>
      <c r="BH67" t="e">
        <f>IF(OR($A67="",X67=""),"",IF(ABS(AP67)&gt;5,13,""))</f>
      </c>
      <c r="BI67" t="e">
        <f>IF(OR($A67="",Y67=""),"",IF(ABS(AQ67)&gt;4,14,""))</f>
      </c>
      <c r="BJ67" t="e">
        <f>IF(OR($A67="",Z67=""),"",IF(ABS(AR67)&gt;3,15,""))</f>
      </c>
      <c r="BK67" t="e">
        <f>IF(OR($A67="",AA67=""),"",IF(ABS(AS67)&gt;2,16,""))</f>
      </c>
      <c r="BL67" t="e">
        <f>IF(OR($A67="",AB67=""),"",IF(ABS(AT67)&gt;1,17,""))</f>
      </c>
      <c r="BM67" t="e">
        <f>IF(OR($A67="",AC67=""),"",IF(ABS(AU67)&gt;0,18,""))</f>
      </c>
    </row>
    <row r="68">
      <c r="C68" t="str">
        <f>IF($A68="","",INDEX('Tournament Setup'!$J:$J,MATCH($A68,'Tournament Setup'!$A:$A,0)))</f>
        <v/>
      </c>
      <c r="D68" t="str">
        <f>IF($A68="","",INDEX('Tournament Setup'!$K:$K,MATCH($A68,'Tournament Setup'!$A:$A,0)))</f>
        <v/>
      </c>
      <c r="E68" t="str">
        <f>IF($A68="","",IF(COUNT(L68:AC68)=0,"Not played",IF(AND($K68&gt;0,$K68&lt;18),IF(INDEX(AD68:AU68,1,$K68)&gt;0,$C68,$D68)&amp;" "&amp;ABS(INDEX(AD68:AU68,1,$K68))&amp;"&amp;"&amp;(18-$K68),IF($J68=0,"Halved (AS)",IF($J68&gt;0,$C68,$D68)&amp;" "&amp;ABS($J68)&amp;" UP"))))</f>
        <v/>
      </c>
      <c r="F68" t="e">
        <f>IF(OR($A68="",COUNT(L68:AC68)=0),"",INDEX('Tournament Setup'!$I:$I,MATCH($A68,'Tournament Setup'!$A:$A,0))*IF(INDEX('Tournament Setup'!$H:$H,MATCH($A68,'Tournament Setup'!$A:$A,0))="Yes",IF($H68&gt;0,1,IF($H68=0,0.5,0))+IF($I68&gt;0,1,IF($I68=0,0.5,0))+IF($J68&gt;0,1,IF($J68=0,0.5,0)),IF(IF(AND($K68&gt;0,$K68&lt;18),INDEX(AD68:AU68,1,$K68),$J68)&gt;0,1,IF(IF(AND($K68&gt;0,$K68&lt;18),INDEX(AD68:AU68,1,$K68),$J68)=0,0.5,0))))</f>
      </c>
      <c r="G68" t="e">
        <f>IF(OR($A68="",COUNT(L68:AC68)=0),"",INDEX('Tournament Setup'!$I:$I,MATCH($A68,'Tournament Setup'!$A:$A,0))*IF(INDEX('Tournament Setup'!$H:$H,MATCH($A68,'Tournament Setup'!$A:$A,0))="Yes",IF($H68&lt;0,1,IF($H68=0,0.5,0))+IF($I68&lt;0,1,IF($I68=0,0.5,0))+IF($J68&lt;0,1,IF($J68=0,0.5,0)),IF(IF(AND($K68&gt;0,$K68&lt;18),INDEX(AD68:AU68,1,$K68),$J68)&lt;0,1,IF(IF(AND($K68&gt;0,$K68&lt;18),INDEX(AD68:AU68,1,$K68),$J68)=0,0.5,0))))</f>
      </c>
      <c r="H68" t="e">
        <f>IF($A68="","",SUM(L68:T68))</f>
      </c>
      <c r="I68" t="e">
        <f>IF($A68="","",SUM(U68:AC68))</f>
      </c>
      <c r="J68" t="e">
        <f>IF($A68="","",SUM(L68:AC68))</f>
      </c>
      <c r="K68" t="e">
        <f>IF($A68="","",MIN(AV68:BM68))</f>
      </c>
      <c r="L68" t="e">
        <f>IF($A68="","",IF(COUNTIFS('Player Rounds'!$A$2:$A$401,$A68,'Player Rounds'!$B$2:$B$401,$B68,'Player Rounds'!$F$2:$F$401,"&gt;0")=0,"",SIGN(_xlfn.MINIFS('Player Rounds'!$Z$2:$Z$401,'Player Rounds'!$A$2:$A$401,$A68,'Player Rounds'!$B$2:$B$401,$B68,'Player Rounds'!$C$2:$C$401,$D68)-_xlfn.MINIFS('Player Rounds'!$Z$2:$Z$401,'Player Rounds'!$A$2:$A$401,$A68,'Player Rounds'!$B$2:$B$401,$B68,'Player Rounds'!$C$2:$C$401,$C68))))</f>
      </c>
      <c r="M68" t="e">
        <f>IF($A68="","",IF(COUNTIFS('Player Rounds'!$A$2:$A$401,$A68,'Player Rounds'!$B$2:$B$401,$B68,'Player Rounds'!$G$2:$G$401,"&gt;0")=0,"",SIGN(_xlfn.MINIFS('Player Rounds'!$AA$2:$AA$401,'Player Rounds'!$A$2:$A$401,$A68,'Player Rounds'!$B$2:$B$401,$B68,'Player Rounds'!$C$2:$C$401,$D68)-_xlfn.MINIFS('Player Rounds'!$AA$2:$AA$401,'Player Rounds'!$A$2:$A$401,$A68,'Player Rounds'!$B$2:$B$401,$B68,'Player Rounds'!$C$2:$C$401,$C68))))</f>
      </c>
      <c r="N68" t="e">
        <f>IF($A68="","",IF(COUNTIFS('Player Rounds'!$A$2:$A$401,$A68,'Player Rounds'!$B$2:$B$401,$B68,'Player Rounds'!$H$2:$H$401,"&gt;0")=0,"",SIGN(_xlfn.MINIFS('Player Rounds'!$AB$2:$AB$401,'Player Rounds'!$A$2:$A$401,$A68,'Player Rounds'!$B$2:$B$401,$B68,'Player Rounds'!$C$2:$C$401,$D68)-_xlfn.MINIFS('Player Rounds'!$AB$2:$AB$401,'Player Rounds'!$A$2:$A$401,$A68,'Player Rounds'!$B$2:$B$401,$B68,'Player Rounds'!$C$2:$C$401,$C68))))</f>
      </c>
      <c r="O68" t="e">
        <f>IF($A68="","",IF(COUNTIFS('Player Rounds'!$A$2:$A$401,$A68,'Player Rounds'!$B$2:$B$401,$B68,'Player Rounds'!$I$2:$I$401,"&gt;0")=0,"",SIGN(_xlfn.MINIFS('Player Rounds'!$AC$2:$AC$401,'Player Rounds'!$A$2:$A$401,$A68,'Player Rounds'!$B$2:$B$401,$B68,'Player Rounds'!$C$2:$C$401,$D68)-_xlfn.MINIFS('Player Rounds'!$AC$2:$AC$401,'Player Rounds'!$A$2:$A$401,$A68,'Player Rounds'!$B$2:$B$401,$B68,'Player Rounds'!$C$2:$C$401,$C68))))</f>
      </c>
      <c r="P68" t="e">
        <f>IF($A68="","",IF(COUNTIFS('Player Rounds'!$A$2:$A$401,$A68,'Player Rounds'!$B$2:$B$401,$B68,'Player Rounds'!$J$2:$J$401,"&gt;0")=0,"",SIGN(_xlfn.MINIFS('Player Rounds'!$AD$2:$AD$401,'Player Rounds'!$A$2:$A$401,$A68,'Player Rounds'!$B$2:$B$401,$B68,'Player Rounds'!$C$2:$C$401,$D68)-_xlfn.MINIFS('Player Rounds'!$AD$2:$AD$401,'Player Rounds'!$A$2:$A$401,$A68,'Player Rounds'!$B$2:$B$401,$B68,'Player Rounds'!$C$2:$C$401,$C68))))</f>
      </c>
      <c r="Q68" t="e">
        <f>IF($A68="","",IF(COUNTIFS('Player Rounds'!$A$2:$A$401,$A68,'Player Rounds'!$B$2:$B$401,$B68,'Player Rounds'!$K$2:$K$401,"&gt;0")=0,"",SIGN(_xlfn.MINIFS('Player Rounds'!$AE$2:$AE$401,'Player Rounds'!$A$2:$A$401,$A68,'Player Rounds'!$B$2:$B$401,$B68,'Player Rounds'!$C$2:$C$401,$D68)-_xlfn.MINIFS('Player Rounds'!$AE$2:$AE$401,'Player Rounds'!$A$2:$A$401,$A68,'Player Rounds'!$B$2:$B$401,$B68,'Player Rounds'!$C$2:$C$401,$C68))))</f>
      </c>
      <c r="R68" t="e">
        <f>IF($A68="","",IF(COUNTIFS('Player Rounds'!$A$2:$A$401,$A68,'Player Rounds'!$B$2:$B$401,$B68,'Player Rounds'!$L$2:$L$401,"&gt;0")=0,"",SIGN(_xlfn.MINIFS('Player Rounds'!$AF$2:$AF$401,'Player Rounds'!$A$2:$A$401,$A68,'Player Rounds'!$B$2:$B$401,$B68,'Player Rounds'!$C$2:$C$401,$D68)-_xlfn.MINIFS('Player Rounds'!$AF$2:$AF$401,'Player Rounds'!$A$2:$A$401,$A68,'Player Rounds'!$B$2:$B$401,$B68,'Player Rounds'!$C$2:$C$401,$C68))))</f>
      </c>
      <c r="S68" t="e">
        <f>IF($A68="","",IF(COUNTIFS('Player Rounds'!$A$2:$A$401,$A68,'Player Rounds'!$B$2:$B$401,$B68,'Player Rounds'!$M$2:$M$401,"&gt;0")=0,"",SIGN(_xlfn.MINIFS('Player Rounds'!$AG$2:$AG$401,'Player Rounds'!$A$2:$A$401,$A68,'Player Rounds'!$B$2:$B$401,$B68,'Player Rounds'!$C$2:$C$401,$D68)-_xlfn.MINIFS('Player Rounds'!$AG$2:$AG$401,'Player Rounds'!$A$2:$A$401,$A68,'Player Rounds'!$B$2:$B$401,$B68,'Player Rounds'!$C$2:$C$401,$C68))))</f>
      </c>
      <c r="T68" t="e">
        <f>IF($A68="","",IF(COUNTIFS('Player Rounds'!$A$2:$A$401,$A68,'Player Rounds'!$B$2:$B$401,$B68,'Player Rounds'!$N$2:$N$401,"&gt;0")=0,"",SIGN(_xlfn.MINIFS('Player Rounds'!$AH$2:$AH$401,'Player Rounds'!$A$2:$A$401,$A68,'Player Rounds'!$B$2:$B$401,$B68,'Player Rounds'!$C$2:$C$401,$D68)-_xlfn.MINIFS('Player Rounds'!$AH$2:$AH$401,'Player Rounds'!$A$2:$A$401,$A68,'Player Rounds'!$B$2:$B$401,$B68,'Player Rounds'!$C$2:$C$401,$C68))))</f>
      </c>
      <c r="U68" t="e">
        <f>IF($A68="","",IF(COUNTIFS('Player Rounds'!$A$2:$A$401,$A68,'Player Rounds'!$B$2:$B$401,$B68,'Player Rounds'!$O$2:$O$401,"&gt;0")=0,"",SIGN(_xlfn.MINIFS('Player Rounds'!$AI$2:$AI$401,'Player Rounds'!$A$2:$A$401,$A68,'Player Rounds'!$B$2:$B$401,$B68,'Player Rounds'!$C$2:$C$401,$D68)-_xlfn.MINIFS('Player Rounds'!$AI$2:$AI$401,'Player Rounds'!$A$2:$A$401,$A68,'Player Rounds'!$B$2:$B$401,$B68,'Player Rounds'!$C$2:$C$401,$C68))))</f>
      </c>
      <c r="V68" t="e">
        <f>IF($A68="","",IF(COUNTIFS('Player Rounds'!$A$2:$A$401,$A68,'Player Rounds'!$B$2:$B$401,$B68,'Player Rounds'!$P$2:$P$401,"&gt;0")=0,"",SIGN(_xlfn.MINIFS('Player Rounds'!$AJ$2:$AJ$401,'Player Rounds'!$A$2:$A$401,$A68,'Player Rounds'!$B$2:$B$401,$B68,'Player Rounds'!$C$2:$C$401,$D68)-_xlfn.MINIFS('Player Rounds'!$AJ$2:$AJ$401,'Player Rounds'!$A$2:$A$401,$A68,'Player Rounds'!$B$2:$B$401,$B68,'Player Rounds'!$C$2:$C$401,$C68))))</f>
      </c>
      <c r="W68" t="e">
        <f>IF($A68="","",IF(COUNTIFS('Player Rounds'!$A$2:$A$401,$A68,'Player Rounds'!$B$2:$B$401,$B68,'Player Rounds'!$Q$2:$Q$401,"&gt;0")=0,"",SIGN(_xlfn.MINIFS('Player Rounds'!$AK$2:$AK$401,'Player Rounds'!$A$2:$A$401,$A68,'Player Rounds'!$B$2:$B$401,$B68,'Player Rounds'!$C$2:$C$401,$D68)-_xlfn.MINIFS('Player Rounds'!$AK$2:$AK$401,'Player Rounds'!$A$2:$A$401,$A68,'Player Rounds'!$B$2:$B$401,$B68,'Player Rounds'!$C$2:$C$401,$C68))))</f>
      </c>
      <c r="X68" t="e">
        <f>IF($A68="","",IF(COUNTIFS('Player Rounds'!$A$2:$A$401,$A68,'Player Rounds'!$B$2:$B$401,$B68,'Player Rounds'!$R$2:$R$401,"&gt;0")=0,"",SIGN(_xlfn.MINIFS('Player Rounds'!$AL$2:$AL$401,'Player Rounds'!$A$2:$A$401,$A68,'Player Rounds'!$B$2:$B$401,$B68,'Player Rounds'!$C$2:$C$401,$D68)-_xlfn.MINIFS('Player Rounds'!$AL$2:$AL$401,'Player Rounds'!$A$2:$A$401,$A68,'Player Rounds'!$B$2:$B$401,$B68,'Player Rounds'!$C$2:$C$401,$C68))))</f>
      </c>
      <c r="Y68" t="e">
        <f>IF($A68="","",IF(COUNTIFS('Player Rounds'!$A$2:$A$401,$A68,'Player Rounds'!$B$2:$B$401,$B68,'Player Rounds'!$S$2:$S$401,"&gt;0")=0,"",SIGN(_xlfn.MINIFS('Player Rounds'!$AM$2:$AM$401,'Player Rounds'!$A$2:$A$401,$A68,'Player Rounds'!$B$2:$B$401,$B68,'Player Rounds'!$C$2:$C$401,$D68)-_xlfn.MINIFS('Player Rounds'!$AM$2:$AM$401,'Player Rounds'!$A$2:$A$401,$A68,'Player Rounds'!$B$2:$B$401,$B68,'Player Rounds'!$C$2:$C$401,$C68))))</f>
      </c>
      <c r="Z68" t="e">
        <f>IF($A68="","",IF(COUNTIFS('Player Rounds'!$A$2:$A$401,$A68,'Player Rounds'!$B$2:$B$401,$B68,'Player Rounds'!$T$2:$T$401,"&gt;0")=0,"",SIGN(_xlfn.MINIFS('Player Rounds'!$AN$2:$AN$401,'Player Rounds'!$A$2:$A$401,$A68,'Player Rounds'!$B$2:$B$401,$B68,'Player Rounds'!$C$2:$C$401,$D68)-_xlfn.MINIFS('Player Rounds'!$AN$2:$AN$401,'Player Rounds'!$A$2:$A$401,$A68,'Player Rounds'!$B$2:$B$401,$B68,'Player Rounds'!$C$2:$C$401,$C68))))</f>
      </c>
      <c r="AA68" t="e">
        <f>IF($A68="","",IF(COUNTIFS('Player Rounds'!$A$2:$A$401,$A68,'Player Rounds'!$B$2:$B$401,$B68,'Player Rounds'!$U$2:$U$401,"&gt;0")=0,"",SIGN(_xlfn.MINIFS('Player Rounds'!$AO$2:$AO$401,'Player Rounds'!$A$2:$A$401,$A68,'Player Rounds'!$B$2:$B$401,$B68,'Player Rounds'!$C$2:$C$401,$D68)-_xlfn.MINIFS('Player Rounds'!$AO$2:$AO$401,'Player Rounds'!$A$2:$A$401,$A68,'Player Rounds'!$B$2:$B$401,$B68,'Player Rounds'!$C$2:$C$401,$C68))))</f>
      </c>
      <c r="AB68" t="e">
        <f>IF($A68="","",IF(COUNTIFS('Player Rounds'!$A$2:$A$401,$A68,'Player Rounds'!$B$2:$B$401,$B68,'Player Rounds'!$V$2:$V$401,"&gt;0")=0,"",SIGN(_xlfn.MINIFS('Player Rounds'!$AP$2:$AP$401,'Player Rounds'!$A$2:$A$401,$A68,'Player Rounds'!$B$2:$B$401,$B68,'Player Rounds'!$C$2:$C$401,$D68)-_xlfn.MINIFS('Player Rounds'!$AP$2:$AP$401,'Player Rounds'!$A$2:$A$401,$A68,'Player Rounds'!$B$2:$B$401,$B68,'Player Rounds'!$C$2:$C$401,$C68))))</f>
      </c>
      <c r="AC68" t="e">
        <f>IF($A68="","",IF(COUNTIFS('Player Rounds'!$A$2:$A$401,$A68,'Player Rounds'!$B$2:$B$401,$B68,'Player Rounds'!$W$2:$W$401,"&gt;0")=0,"",SIGN(_xlfn.MINIFS('Player Rounds'!$AQ$2:$AQ$401,'Player Rounds'!$A$2:$A$401,$A68,'Player Rounds'!$B$2:$B$401,$B68,'Player Rounds'!$C$2:$C$401,$D68)-_xlfn.MINIFS('Player Rounds'!$AQ$2:$AQ$401,'Player Rounds'!$A$2:$A$401,$A68,'Player Rounds'!$B$2:$B$401,$B68,'Player Rounds'!$C$2:$C$401,$C68))))</f>
      </c>
      <c r="AD68" t="e">
        <f>IF($A68="","",SUM($L68:L68))</f>
      </c>
      <c r="AE68" t="e">
        <f>IF($A68="","",SUM($L68:M68))</f>
      </c>
      <c r="AF68" t="e">
        <f>IF($A68="","",SUM($L68:N68))</f>
      </c>
      <c r="AG68" t="e">
        <f>IF($A68="","",SUM($L68:O68))</f>
      </c>
      <c r="AH68" t="e">
        <f>IF($A68="","",SUM($L68:P68))</f>
      </c>
      <c r="AI68" t="e">
        <f>IF($A68="","",SUM($L68:Q68))</f>
      </c>
      <c r="AJ68" t="e">
        <f>IF($A68="","",SUM($L68:R68))</f>
      </c>
      <c r="AK68" t="e">
        <f>IF($A68="","",SUM($L68:S68))</f>
      </c>
      <c r="AL68" t="e">
        <f>IF($A68="","",SUM($L68:T68))</f>
      </c>
      <c r="AM68" t="e">
        <f>IF($A68="","",SUM($L68:U68))</f>
      </c>
      <c r="AN68" t="e">
        <f>IF($A68="","",SUM($L68:V68))</f>
      </c>
      <c r="AO68" t="e">
        <f>IF($A68="","",SUM($L68:W68))</f>
      </c>
      <c r="AP68" t="e">
        <f>IF($A68="","",SUM($L68:X68))</f>
      </c>
      <c r="AQ68" t="e">
        <f>IF($A68="","",SUM($L68:Y68))</f>
      </c>
      <c r="AR68" t="e">
        <f>IF($A68="","",SUM($L68:Z68))</f>
      </c>
      <c r="AS68" t="e">
        <f>IF($A68="","",SUM($L68:AA68))</f>
      </c>
      <c r="AT68" t="e">
        <f>IF($A68="","",SUM($L68:AB68))</f>
      </c>
      <c r="AU68" t="e">
        <f>IF($A68="","",SUM($L68:AC68))</f>
      </c>
      <c r="AV68" t="e">
        <f>IF(OR($A68="",L68=""),"",IF(ABS(AD68)&gt;17,1,""))</f>
      </c>
      <c r="AW68" t="e">
        <f>IF(OR($A68="",M68=""),"",IF(ABS(AE68)&gt;16,2,""))</f>
      </c>
      <c r="AX68" t="e">
        <f>IF(OR($A68="",N68=""),"",IF(ABS(AF68)&gt;15,3,""))</f>
      </c>
      <c r="AY68" t="e">
        <f>IF(OR($A68="",O68=""),"",IF(ABS(AG68)&gt;14,4,""))</f>
      </c>
      <c r="AZ68" t="e">
        <f>IF(OR($A68="",P68=""),"",IF(ABS(AH68)&gt;13,5,""))</f>
      </c>
      <c r="BA68" t="e">
        <f>IF(OR($A68="",Q68=""),"",IF(ABS(AI68)&gt;12,6,""))</f>
      </c>
      <c r="BB68" t="e">
        <f>IF(OR($A68="",R68=""),"",IF(ABS(AJ68)&gt;11,7,""))</f>
      </c>
      <c r="BC68" t="e">
        <f>IF(OR($A68="",S68=""),"",IF(ABS(AK68)&gt;10,8,""))</f>
      </c>
      <c r="BD68" t="e">
        <f>IF(OR($A68="",T68=""),"",IF(ABS(AL68)&gt;9,9,""))</f>
      </c>
      <c r="BE68" t="e">
        <f>IF(OR($A68="",U68=""),"",IF(ABS(AM68)&gt;8,10,""))</f>
      </c>
      <c r="BF68" t="e">
        <f>IF(OR($A68="",V68=""),"",IF(ABS(AN68)&gt;7,11,""))</f>
      </c>
      <c r="BG68" t="e">
        <f>IF(OR($A68="",W68=""),"",IF(ABS(AO68)&gt;6,12,""))</f>
      </c>
      <c r="BH68" t="e">
        <f>IF(OR($A68="",X68=""),"",IF(ABS(AP68)&gt;5,13,""))</f>
      </c>
      <c r="BI68" t="e">
        <f>IF(OR($A68="",Y68=""),"",IF(ABS(AQ68)&gt;4,14,""))</f>
      </c>
      <c r="BJ68" t="e">
        <f>IF(OR($A68="",Z68=""),"",IF(ABS(AR68)&gt;3,15,""))</f>
      </c>
      <c r="BK68" t="e">
        <f>IF(OR($A68="",AA68=""),"",IF(ABS(AS68)&gt;2,16,""))</f>
      </c>
      <c r="BL68" t="e">
        <f>IF(OR($A68="",AB68=""),"",IF(ABS(AT68)&gt;1,17,""))</f>
      </c>
      <c r="BM68" t="e">
        <f>IF(OR($A68="",AC68=""),"",IF(ABS(AU68)&gt;0,18,""))</f>
      </c>
    </row>
    <row r="69">
      <c r="C69" t="str">
        <f>IF($A69="","",INDEX('Tournament Setup'!$J:$J,MATCH($A69,'Tournament Setup'!$A:$A,0)))</f>
        <v/>
      </c>
      <c r="D69" t="str">
        <f>IF($A69="","",INDEX('Tournament Setup'!$K:$K,MATCH($A69,'Tournament Setup'!$A:$A,0)))</f>
        <v/>
      </c>
      <c r="E69" t="str">
        <f>IF($A69="","",IF(COUNT(L69:AC69)=0,"Not played",IF(AND($K69&gt;0,$K69&lt;18),IF(INDEX(AD69:AU69,1,$K69)&gt;0,$C69,$D69)&amp;" "&amp;ABS(INDEX(AD69:AU69,1,$K69))&amp;"&amp;"&amp;(18-$K69),IF($J69=0,"Halved (AS)",IF($J69&gt;0,$C69,$D69)&amp;" "&amp;ABS($J69)&amp;" UP"))))</f>
        <v/>
      </c>
      <c r="F69" t="e">
        <f>IF(OR($A69="",COUNT(L69:AC69)=0),"",INDEX('Tournament Setup'!$I:$I,MATCH($A69,'Tournament Setup'!$A:$A,0))*IF(INDEX('Tournament Setup'!$H:$H,MATCH($A69,'Tournament Setup'!$A:$A,0))="Yes",IF($H69&gt;0,1,IF($H69=0,0.5,0))+IF($I69&gt;0,1,IF($I69=0,0.5,0))+IF($J69&gt;0,1,IF($J69=0,0.5,0)),IF(IF(AND($K69&gt;0,$K69&lt;18),INDEX(AD69:AU69,1,$K69),$J69)&gt;0,1,IF(IF(AND($K69&gt;0,$K69&lt;18),INDEX(AD69:AU69,1,$K69),$J69)=0,0.5,0))))</f>
      </c>
      <c r="G69" t="e">
        <f>IF(OR($A69="",COUNT(L69:AC69)=0),"",INDEX('Tournament Setup'!$I:$I,MATCH($A69,'Tournament Setup'!$A:$A,0))*IF(INDEX('Tournament Setup'!$H:$H,MATCH($A69,'Tournament Setup'!$A:$A,0))="Yes",IF($H69&lt;0,1,IF($H69=0,0.5,0))+IF($I69&lt;0,1,IF($I69=0,0.5,0))+IF($J69&lt;0,1,IF($J69=0,0.5,0)),IF(IF(AND($K69&gt;0,$K69&lt;18),INDEX(AD69:AU69,1,$K69),$J69)&lt;0,1,IF(IF(AND($K69&gt;0,$K69&lt;18),INDEX(AD69:AU69,1,$K69),$J69)=0,0.5,0))))</f>
      </c>
      <c r="H69" t="e">
        <f>IF($A69="","",SUM(L69:T69))</f>
      </c>
      <c r="I69" t="e">
        <f>IF($A69="","",SUM(U69:AC69))</f>
      </c>
      <c r="J69" t="e">
        <f>IF($A69="","",SUM(L69:AC69))</f>
      </c>
      <c r="K69" t="e">
        <f>IF($A69="","",MIN(AV69:BM69))</f>
      </c>
      <c r="L69" t="e">
        <f>IF($A69="","",IF(COUNTIFS('Player Rounds'!$A$2:$A$401,$A69,'Player Rounds'!$B$2:$B$401,$B69,'Player Rounds'!$F$2:$F$401,"&gt;0")=0,"",SIGN(_xlfn.MINIFS('Player Rounds'!$Z$2:$Z$401,'Player Rounds'!$A$2:$A$401,$A69,'Player Rounds'!$B$2:$B$401,$B69,'Player Rounds'!$C$2:$C$401,$D69)-_xlfn.MINIFS('Player Rounds'!$Z$2:$Z$401,'Player Rounds'!$A$2:$A$401,$A69,'Player Rounds'!$B$2:$B$401,$B69,'Player Rounds'!$C$2:$C$401,$C69))))</f>
      </c>
      <c r="M69" t="e">
        <f>IF($A69="","",IF(COUNTIFS('Player Rounds'!$A$2:$A$401,$A69,'Player Rounds'!$B$2:$B$401,$B69,'Player Rounds'!$G$2:$G$401,"&gt;0")=0,"",SIGN(_xlfn.MINIFS('Player Rounds'!$AA$2:$AA$401,'Player Rounds'!$A$2:$A$401,$A69,'Player Rounds'!$B$2:$B$401,$B69,'Player Rounds'!$C$2:$C$401,$D69)-_xlfn.MINIFS('Player Rounds'!$AA$2:$AA$401,'Player Rounds'!$A$2:$A$401,$A69,'Player Rounds'!$B$2:$B$401,$B69,'Player Rounds'!$C$2:$C$401,$C69))))</f>
      </c>
      <c r="N69" t="e">
        <f>IF($A69="","",IF(COUNTIFS('Player Rounds'!$A$2:$A$401,$A69,'Player Rounds'!$B$2:$B$401,$B69,'Player Rounds'!$H$2:$H$401,"&gt;0")=0,"",SIGN(_xlfn.MINIFS('Player Rounds'!$AB$2:$AB$401,'Player Rounds'!$A$2:$A$401,$A69,'Player Rounds'!$B$2:$B$401,$B69,'Player Rounds'!$C$2:$C$401,$D69)-_xlfn.MINIFS('Player Rounds'!$AB$2:$AB$401,'Player Rounds'!$A$2:$A$401,$A69,'Player Rounds'!$B$2:$B$401,$B69,'Player Rounds'!$C$2:$C$401,$C69))))</f>
      </c>
      <c r="O69" t="e">
        <f>IF($A69="","",IF(COUNTIFS('Player Rounds'!$A$2:$A$401,$A69,'Player Rounds'!$B$2:$B$401,$B69,'Player Rounds'!$I$2:$I$401,"&gt;0")=0,"",SIGN(_xlfn.MINIFS('Player Rounds'!$AC$2:$AC$401,'Player Rounds'!$A$2:$A$401,$A69,'Player Rounds'!$B$2:$B$401,$B69,'Player Rounds'!$C$2:$C$401,$D69)-_xlfn.MINIFS('Player Rounds'!$AC$2:$AC$401,'Player Rounds'!$A$2:$A$401,$A69,'Player Rounds'!$B$2:$B$401,$B69,'Player Rounds'!$C$2:$C$401,$C69))))</f>
      </c>
      <c r="P69" t="e">
        <f>IF($A69="","",IF(COUNTIFS('Player Rounds'!$A$2:$A$401,$A69,'Player Rounds'!$B$2:$B$401,$B69,'Player Rounds'!$J$2:$J$401,"&gt;0")=0,"",SIGN(_xlfn.MINIFS('Player Rounds'!$AD$2:$AD$401,'Player Rounds'!$A$2:$A$401,$A69,'Player Rounds'!$B$2:$B$401,$B69,'Player Rounds'!$C$2:$C$401,$D69)-_xlfn.MINIFS('Player Rounds'!$AD$2:$AD$401,'Player Rounds'!$A$2:$A$401,$A69,'Player Rounds'!$B$2:$B$401,$B69,'Player Rounds'!$C$2:$C$401,$C69))))</f>
      </c>
      <c r="Q69" t="e">
        <f>IF($A69="","",IF(COUNTIFS('Player Rounds'!$A$2:$A$401,$A69,'Player Rounds'!$B$2:$B$401,$B69,'Player Rounds'!$K$2:$K$401,"&gt;0")=0,"",SIGN(_xlfn.MINIFS('Player Rounds'!$AE$2:$AE$401,'Player Rounds'!$A$2:$A$401,$A69,'Player Rounds'!$B$2:$B$401,$B69,'Player Rounds'!$C$2:$C$401,$D69)-_xlfn.MINIFS('Player Rounds'!$AE$2:$AE$401,'Player Rounds'!$A$2:$A$401,$A69,'Player Rounds'!$B$2:$B$401,$B69,'Player Rounds'!$C$2:$C$401,$C69))))</f>
      </c>
      <c r="R69" t="e">
        <f>IF($A69="","",IF(COUNTIFS('Player Rounds'!$A$2:$A$401,$A69,'Player Rounds'!$B$2:$B$401,$B69,'Player Rounds'!$L$2:$L$401,"&gt;0")=0,"",SIGN(_xlfn.MINIFS('Player Rounds'!$AF$2:$AF$401,'Player Rounds'!$A$2:$A$401,$A69,'Player Rounds'!$B$2:$B$401,$B69,'Player Rounds'!$C$2:$C$401,$D69)-_xlfn.MINIFS('Player Rounds'!$AF$2:$AF$401,'Player Rounds'!$A$2:$A$401,$A69,'Player Rounds'!$B$2:$B$401,$B69,'Player Rounds'!$C$2:$C$401,$C69))))</f>
      </c>
      <c r="S69" t="e">
        <f>IF($A69="","",IF(COUNTIFS('Player Rounds'!$A$2:$A$401,$A69,'Player Rounds'!$B$2:$B$401,$B69,'Player Rounds'!$M$2:$M$401,"&gt;0")=0,"",SIGN(_xlfn.MINIFS('Player Rounds'!$AG$2:$AG$401,'Player Rounds'!$A$2:$A$401,$A69,'Player Rounds'!$B$2:$B$401,$B69,'Player Rounds'!$C$2:$C$401,$D69)-_xlfn.MINIFS('Player Rounds'!$AG$2:$AG$401,'Player Rounds'!$A$2:$A$401,$A69,'Player Rounds'!$B$2:$B$401,$B69,'Player Rounds'!$C$2:$C$401,$C69))))</f>
      </c>
      <c r="T69" t="e">
        <f>IF($A69="","",IF(COUNTIFS('Player Rounds'!$A$2:$A$401,$A69,'Player Rounds'!$B$2:$B$401,$B69,'Player Rounds'!$N$2:$N$401,"&gt;0")=0,"",SIGN(_xlfn.MINIFS('Player Rounds'!$AH$2:$AH$401,'Player Rounds'!$A$2:$A$401,$A69,'Player Rounds'!$B$2:$B$401,$B69,'Player Rounds'!$C$2:$C$401,$D69)-_xlfn.MINIFS('Player Rounds'!$AH$2:$AH$401,'Player Rounds'!$A$2:$A$401,$A69,'Player Rounds'!$B$2:$B$401,$B69,'Player Rounds'!$C$2:$C$401,$C69))))</f>
      </c>
      <c r="U69" t="e">
        <f>IF($A69="","",IF(COUNTIFS('Player Rounds'!$A$2:$A$401,$A69,'Player Rounds'!$B$2:$B$401,$B69,'Player Rounds'!$O$2:$O$401,"&gt;0")=0,"",SIGN(_xlfn.MINIFS('Player Rounds'!$AI$2:$AI$401,'Player Rounds'!$A$2:$A$401,$A69,'Player Rounds'!$B$2:$B$401,$B69,'Player Rounds'!$C$2:$C$401,$D69)-_xlfn.MINIFS('Player Rounds'!$AI$2:$AI$401,'Player Rounds'!$A$2:$A$401,$A69,'Player Rounds'!$B$2:$B$401,$B69,'Player Rounds'!$C$2:$C$401,$C69))))</f>
      </c>
      <c r="V69" t="e">
        <f>IF($A69="","",IF(COUNTIFS('Player Rounds'!$A$2:$A$401,$A69,'Player Rounds'!$B$2:$B$401,$B69,'Player Rounds'!$P$2:$P$401,"&gt;0")=0,"",SIGN(_xlfn.MINIFS('Player Rounds'!$AJ$2:$AJ$401,'Player Rounds'!$A$2:$A$401,$A69,'Player Rounds'!$B$2:$B$401,$B69,'Player Rounds'!$C$2:$C$401,$D69)-_xlfn.MINIFS('Player Rounds'!$AJ$2:$AJ$401,'Player Rounds'!$A$2:$A$401,$A69,'Player Rounds'!$B$2:$B$401,$B69,'Player Rounds'!$C$2:$C$401,$C69))))</f>
      </c>
      <c r="W69" t="e">
        <f>IF($A69="","",IF(COUNTIFS('Player Rounds'!$A$2:$A$401,$A69,'Player Rounds'!$B$2:$B$401,$B69,'Player Rounds'!$Q$2:$Q$401,"&gt;0")=0,"",SIGN(_xlfn.MINIFS('Player Rounds'!$AK$2:$AK$401,'Player Rounds'!$A$2:$A$401,$A69,'Player Rounds'!$B$2:$B$401,$B69,'Player Rounds'!$C$2:$C$401,$D69)-_xlfn.MINIFS('Player Rounds'!$AK$2:$AK$401,'Player Rounds'!$A$2:$A$401,$A69,'Player Rounds'!$B$2:$B$401,$B69,'Player Rounds'!$C$2:$C$401,$C69))))</f>
      </c>
      <c r="X69" t="e">
        <f>IF($A69="","",IF(COUNTIFS('Player Rounds'!$A$2:$A$401,$A69,'Player Rounds'!$B$2:$B$401,$B69,'Player Rounds'!$R$2:$R$401,"&gt;0")=0,"",SIGN(_xlfn.MINIFS('Player Rounds'!$AL$2:$AL$401,'Player Rounds'!$A$2:$A$401,$A69,'Player Rounds'!$B$2:$B$401,$B69,'Player Rounds'!$C$2:$C$401,$D69)-_xlfn.MINIFS('Player Rounds'!$AL$2:$AL$401,'Player Rounds'!$A$2:$A$401,$A69,'Player Rounds'!$B$2:$B$401,$B69,'Player Rounds'!$C$2:$C$401,$C69))))</f>
      </c>
      <c r="Y69" t="e">
        <f>IF($A69="","",IF(COUNTIFS('Player Rounds'!$A$2:$A$401,$A69,'Player Rounds'!$B$2:$B$401,$B69,'Player Rounds'!$S$2:$S$401,"&gt;0")=0,"",SIGN(_xlfn.MINIFS('Player Rounds'!$AM$2:$AM$401,'Player Rounds'!$A$2:$A$401,$A69,'Player Rounds'!$B$2:$B$401,$B69,'Player Rounds'!$C$2:$C$401,$D69)-_xlfn.MINIFS('Player Rounds'!$AM$2:$AM$401,'Player Rounds'!$A$2:$A$401,$A69,'Player Rounds'!$B$2:$B$401,$B69,'Player Rounds'!$C$2:$C$401,$C69))))</f>
      </c>
      <c r="Z69" t="e">
        <f>IF($A69="","",IF(COUNTIFS('Player Rounds'!$A$2:$A$401,$A69,'Player Rounds'!$B$2:$B$401,$B69,'Player Rounds'!$T$2:$T$401,"&gt;0")=0,"",SIGN(_xlfn.MINIFS('Player Rounds'!$AN$2:$AN$401,'Player Rounds'!$A$2:$A$401,$A69,'Player Rounds'!$B$2:$B$401,$B69,'Player Rounds'!$C$2:$C$401,$D69)-_xlfn.MINIFS('Player Rounds'!$AN$2:$AN$401,'Player Rounds'!$A$2:$A$401,$A69,'Player Rounds'!$B$2:$B$401,$B69,'Player Rounds'!$C$2:$C$401,$C69))))</f>
      </c>
      <c r="AA69" t="e">
        <f>IF($A69="","",IF(COUNTIFS('Player Rounds'!$A$2:$A$401,$A69,'Player Rounds'!$B$2:$B$401,$B69,'Player Rounds'!$U$2:$U$401,"&gt;0")=0,"",SIGN(_xlfn.MINIFS('Player Rounds'!$AO$2:$AO$401,'Player Rounds'!$A$2:$A$401,$A69,'Player Rounds'!$B$2:$B$401,$B69,'Player Rounds'!$C$2:$C$401,$D69)-_xlfn.MINIFS('Player Rounds'!$AO$2:$AO$401,'Player Rounds'!$A$2:$A$401,$A69,'Player Rounds'!$B$2:$B$401,$B69,'Player Rounds'!$C$2:$C$401,$C69))))</f>
      </c>
      <c r="AB69" t="e">
        <f>IF($A69="","",IF(COUNTIFS('Player Rounds'!$A$2:$A$401,$A69,'Player Rounds'!$B$2:$B$401,$B69,'Player Rounds'!$V$2:$V$401,"&gt;0")=0,"",SIGN(_xlfn.MINIFS('Player Rounds'!$AP$2:$AP$401,'Player Rounds'!$A$2:$A$401,$A69,'Player Rounds'!$B$2:$B$401,$B69,'Player Rounds'!$C$2:$C$401,$D69)-_xlfn.MINIFS('Player Rounds'!$AP$2:$AP$401,'Player Rounds'!$A$2:$A$401,$A69,'Player Rounds'!$B$2:$B$401,$B69,'Player Rounds'!$C$2:$C$401,$C69))))</f>
      </c>
      <c r="AC69" t="e">
        <f>IF($A69="","",IF(COUNTIFS('Player Rounds'!$A$2:$A$401,$A69,'Player Rounds'!$B$2:$B$401,$B69,'Player Rounds'!$W$2:$W$401,"&gt;0")=0,"",SIGN(_xlfn.MINIFS('Player Rounds'!$AQ$2:$AQ$401,'Player Rounds'!$A$2:$A$401,$A69,'Player Rounds'!$B$2:$B$401,$B69,'Player Rounds'!$C$2:$C$401,$D69)-_xlfn.MINIFS('Player Rounds'!$AQ$2:$AQ$401,'Player Rounds'!$A$2:$A$401,$A69,'Player Rounds'!$B$2:$B$401,$B69,'Player Rounds'!$C$2:$C$401,$C69))))</f>
      </c>
      <c r="AD69" t="e">
        <f>IF($A69="","",SUM($L69:L69))</f>
      </c>
      <c r="AE69" t="e">
        <f>IF($A69="","",SUM($L69:M69))</f>
      </c>
      <c r="AF69" t="e">
        <f>IF($A69="","",SUM($L69:N69))</f>
      </c>
      <c r="AG69" t="e">
        <f>IF($A69="","",SUM($L69:O69))</f>
      </c>
      <c r="AH69" t="e">
        <f>IF($A69="","",SUM($L69:P69))</f>
      </c>
      <c r="AI69" t="e">
        <f>IF($A69="","",SUM($L69:Q69))</f>
      </c>
      <c r="AJ69" t="e">
        <f>IF($A69="","",SUM($L69:R69))</f>
      </c>
      <c r="AK69" t="e">
        <f>IF($A69="","",SUM($L69:S69))</f>
      </c>
      <c r="AL69" t="e">
        <f>IF($A69="","",SUM($L69:T69))</f>
      </c>
      <c r="AM69" t="e">
        <f>IF($A69="","",SUM($L69:U69))</f>
      </c>
      <c r="AN69" t="e">
        <f>IF($A69="","",SUM($L69:V69))</f>
      </c>
      <c r="AO69" t="e">
        <f>IF($A69="","",SUM($L69:W69))</f>
      </c>
      <c r="AP69" t="e">
        <f>IF($A69="","",SUM($L69:X69))</f>
      </c>
      <c r="AQ69" t="e">
        <f>IF($A69="","",SUM($L69:Y69))</f>
      </c>
      <c r="AR69" t="e">
        <f>IF($A69="","",SUM($L69:Z69))</f>
      </c>
      <c r="AS69" t="e">
        <f>IF($A69="","",SUM($L69:AA69))</f>
      </c>
      <c r="AT69" t="e">
        <f>IF($A69="","",SUM($L69:AB69))</f>
      </c>
      <c r="AU69" t="e">
        <f>IF($A69="","",SUM($L69:AC69))</f>
      </c>
      <c r="AV69" t="e">
        <f>IF(OR($A69="",L69=""),"",IF(ABS(AD69)&gt;17,1,""))</f>
      </c>
      <c r="AW69" t="e">
        <f>IF(OR($A69="",M69=""),"",IF(ABS(AE69)&gt;16,2,""))</f>
      </c>
      <c r="AX69" t="e">
        <f>IF(OR($A69="",N69=""),"",IF(ABS(AF69)&gt;15,3,""))</f>
      </c>
      <c r="AY69" t="e">
        <f>IF(OR($A69="",O69=""),"",IF(ABS(AG69)&gt;14,4,""))</f>
      </c>
      <c r="AZ69" t="e">
        <f>IF(OR($A69="",P69=""),"",IF(ABS(AH69)&gt;13,5,""))</f>
      </c>
      <c r="BA69" t="e">
        <f>IF(OR($A69="",Q69=""),"",IF(ABS(AI69)&gt;12,6,""))</f>
      </c>
      <c r="BB69" t="e">
        <f>IF(OR($A69="",R69=""),"",IF(ABS(AJ69)&gt;11,7,""))</f>
      </c>
      <c r="BC69" t="e">
        <f>IF(OR($A69="",S69=""),"",IF(ABS(AK69)&gt;10,8,""))</f>
      </c>
      <c r="BD69" t="e">
        <f>IF(OR($A69="",T69=""),"",IF(ABS(AL69)&gt;9,9,""))</f>
      </c>
      <c r="BE69" t="e">
        <f>IF(OR($A69="",U69=""),"",IF(ABS(AM69)&gt;8,10,""))</f>
      </c>
      <c r="BF69" t="e">
        <f>IF(OR($A69="",V69=""),"",IF(ABS(AN69)&gt;7,11,""))</f>
      </c>
      <c r="BG69" t="e">
        <f>IF(OR($A69="",W69=""),"",IF(ABS(AO69)&gt;6,12,""))</f>
      </c>
      <c r="BH69" t="e">
        <f>IF(OR($A69="",X69=""),"",IF(ABS(AP69)&gt;5,13,""))</f>
      </c>
      <c r="BI69" t="e">
        <f>IF(OR($A69="",Y69=""),"",IF(ABS(AQ69)&gt;4,14,""))</f>
      </c>
      <c r="BJ69" t="e">
        <f>IF(OR($A69="",Z69=""),"",IF(ABS(AR69)&gt;3,15,""))</f>
      </c>
      <c r="BK69" t="e">
        <f>IF(OR($A69="",AA69=""),"",IF(ABS(AS69)&gt;2,16,""))</f>
      </c>
      <c r="BL69" t="e">
        <f>IF(OR($A69="",AB69=""),"",IF(ABS(AT69)&gt;1,17,""))</f>
      </c>
      <c r="BM69" t="e">
        <f>IF(OR($A69="",AC69=""),"",IF(ABS(AU69)&gt;0,18,""))</f>
      </c>
    </row>
    <row r="70">
      <c r="C70" t="str">
        <f>IF($A70="","",INDEX('Tournament Setup'!$J:$J,MATCH($A70,'Tournament Setup'!$A:$A,0)))</f>
        <v/>
      </c>
      <c r="D70" t="str">
        <f>IF($A70="","",INDEX('Tournament Setup'!$K:$K,MATCH($A70,'Tournament Setup'!$A:$A,0)))</f>
        <v/>
      </c>
      <c r="E70" t="str">
        <f>IF($A70="","",IF(COUNT(L70:AC70)=0,"Not played",IF(AND($K70&gt;0,$K70&lt;18),IF(INDEX(AD70:AU70,1,$K70)&gt;0,$C70,$D70)&amp;" "&amp;ABS(INDEX(AD70:AU70,1,$K70))&amp;"&amp;"&amp;(18-$K70),IF($J70=0,"Halved (AS)",IF($J70&gt;0,$C70,$D70)&amp;" "&amp;ABS($J70)&amp;" UP"))))</f>
        <v/>
      </c>
      <c r="F70" t="e">
        <f>IF(OR($A70="",COUNT(L70:AC70)=0),"",INDEX('Tournament Setup'!$I:$I,MATCH($A70,'Tournament Setup'!$A:$A,0))*IF(INDEX('Tournament Setup'!$H:$H,MATCH($A70,'Tournament Setup'!$A:$A,0))="Yes",IF($H70&gt;0,1,IF($H70=0,0.5,0))+IF($I70&gt;0,1,IF($I70=0,0.5,0))+IF($J70&gt;0,1,IF($J70=0,0.5,0)),IF(IF(AND($K70&gt;0,$K70&lt;18),INDEX(AD70:AU70,1,$K70),$J70)&gt;0,1,IF(IF(AND($K70&gt;0,$K70&lt;18),INDEX(AD70:AU70,1,$K70),$J70)=0,0.5,0))))</f>
      </c>
      <c r="G70" t="e">
        <f>IF(OR($A70="",COUNT(L70:AC70)=0),"",INDEX('Tournament Setup'!$I:$I,MATCH($A70,'Tournament Setup'!$A:$A,0))*IF(INDEX('Tournament Setup'!$H:$H,MATCH($A70,'Tournament Setup'!$A:$A,0))="Yes",IF($H70&lt;0,1,IF($H70=0,0.5,0))+IF($I70&lt;0,1,IF($I70=0,0.5,0))+IF($J70&lt;0,1,IF($J70=0,0.5,0)),IF(IF(AND($K70&gt;0,$K70&lt;18),INDEX(AD70:AU70,1,$K70),$J70)&lt;0,1,IF(IF(AND($K70&gt;0,$K70&lt;18),INDEX(AD70:AU70,1,$K70),$J70)=0,0.5,0))))</f>
      </c>
      <c r="H70" t="e">
        <f>IF($A70="","",SUM(L70:T70))</f>
      </c>
      <c r="I70" t="e">
        <f>IF($A70="","",SUM(U70:AC70))</f>
      </c>
      <c r="J70" t="e">
        <f>IF($A70="","",SUM(L70:AC70))</f>
      </c>
      <c r="K70" t="e">
        <f>IF($A70="","",MIN(AV70:BM70))</f>
      </c>
      <c r="L70" t="e">
        <f>IF($A70="","",IF(COUNTIFS('Player Rounds'!$A$2:$A$401,$A70,'Player Rounds'!$B$2:$B$401,$B70,'Player Rounds'!$F$2:$F$401,"&gt;0")=0,"",SIGN(_xlfn.MINIFS('Player Rounds'!$Z$2:$Z$401,'Player Rounds'!$A$2:$A$401,$A70,'Player Rounds'!$B$2:$B$401,$B70,'Player Rounds'!$C$2:$C$401,$D70)-_xlfn.MINIFS('Player Rounds'!$Z$2:$Z$401,'Player Rounds'!$A$2:$A$401,$A70,'Player Rounds'!$B$2:$B$401,$B70,'Player Rounds'!$C$2:$C$401,$C70))))</f>
      </c>
      <c r="M70" t="e">
        <f>IF($A70="","",IF(COUNTIFS('Player Rounds'!$A$2:$A$401,$A70,'Player Rounds'!$B$2:$B$401,$B70,'Player Rounds'!$G$2:$G$401,"&gt;0")=0,"",SIGN(_xlfn.MINIFS('Player Rounds'!$AA$2:$AA$401,'Player Rounds'!$A$2:$A$401,$A70,'Player Rounds'!$B$2:$B$401,$B70,'Player Rounds'!$C$2:$C$401,$D70)-_xlfn.MINIFS('Player Rounds'!$AA$2:$AA$401,'Player Rounds'!$A$2:$A$401,$A70,'Player Rounds'!$B$2:$B$401,$B70,'Player Rounds'!$C$2:$C$401,$C70))))</f>
      </c>
      <c r="N70" t="e">
        <f>IF($A70="","",IF(COUNTIFS('Player Rounds'!$A$2:$A$401,$A70,'Player Rounds'!$B$2:$B$401,$B70,'Player Rounds'!$H$2:$H$401,"&gt;0")=0,"",SIGN(_xlfn.MINIFS('Player Rounds'!$AB$2:$AB$401,'Player Rounds'!$A$2:$A$401,$A70,'Player Rounds'!$B$2:$B$401,$B70,'Player Rounds'!$C$2:$C$401,$D70)-_xlfn.MINIFS('Player Rounds'!$AB$2:$AB$401,'Player Rounds'!$A$2:$A$401,$A70,'Player Rounds'!$B$2:$B$401,$B70,'Player Rounds'!$C$2:$C$401,$C70))))</f>
      </c>
      <c r="O70" t="e">
        <f>IF($A70="","",IF(COUNTIFS('Player Rounds'!$A$2:$A$401,$A70,'Player Rounds'!$B$2:$B$401,$B70,'Player Rounds'!$I$2:$I$401,"&gt;0")=0,"",SIGN(_xlfn.MINIFS('Player Rounds'!$AC$2:$AC$401,'Player Rounds'!$A$2:$A$401,$A70,'Player Rounds'!$B$2:$B$401,$B70,'Player Rounds'!$C$2:$C$401,$D70)-_xlfn.MINIFS('Player Rounds'!$AC$2:$AC$401,'Player Rounds'!$A$2:$A$401,$A70,'Player Rounds'!$B$2:$B$401,$B70,'Player Rounds'!$C$2:$C$401,$C70))))</f>
      </c>
      <c r="P70" t="e">
        <f>IF($A70="","",IF(COUNTIFS('Player Rounds'!$A$2:$A$401,$A70,'Player Rounds'!$B$2:$B$401,$B70,'Player Rounds'!$J$2:$J$401,"&gt;0")=0,"",SIGN(_xlfn.MINIFS('Player Rounds'!$AD$2:$AD$401,'Player Rounds'!$A$2:$A$401,$A70,'Player Rounds'!$B$2:$B$401,$B70,'Player Rounds'!$C$2:$C$401,$D70)-_xlfn.MINIFS('Player Rounds'!$AD$2:$AD$401,'Player Rounds'!$A$2:$A$401,$A70,'Player Rounds'!$B$2:$B$401,$B70,'Player Rounds'!$C$2:$C$401,$C70))))</f>
      </c>
      <c r="Q70" t="e">
        <f>IF($A70="","",IF(COUNTIFS('Player Rounds'!$A$2:$A$401,$A70,'Player Rounds'!$B$2:$B$401,$B70,'Player Rounds'!$K$2:$K$401,"&gt;0")=0,"",SIGN(_xlfn.MINIFS('Player Rounds'!$AE$2:$AE$401,'Player Rounds'!$A$2:$A$401,$A70,'Player Rounds'!$B$2:$B$401,$B70,'Player Rounds'!$C$2:$C$401,$D70)-_xlfn.MINIFS('Player Rounds'!$AE$2:$AE$401,'Player Rounds'!$A$2:$A$401,$A70,'Player Rounds'!$B$2:$B$401,$B70,'Player Rounds'!$C$2:$C$401,$C70))))</f>
      </c>
      <c r="R70" t="e">
        <f>IF($A70="","",IF(COUNTIFS('Player Rounds'!$A$2:$A$401,$A70,'Player Rounds'!$B$2:$B$401,$B70,'Player Rounds'!$L$2:$L$401,"&gt;0")=0,"",SIGN(_xlfn.MINIFS('Player Rounds'!$AF$2:$AF$401,'Player Rounds'!$A$2:$A$401,$A70,'Player Rounds'!$B$2:$B$401,$B70,'Player Rounds'!$C$2:$C$401,$D70)-_xlfn.MINIFS('Player Rounds'!$AF$2:$AF$401,'Player Rounds'!$A$2:$A$401,$A70,'Player Rounds'!$B$2:$B$401,$B70,'Player Rounds'!$C$2:$C$401,$C70))))</f>
      </c>
      <c r="S70" t="e">
        <f>IF($A70="","",IF(COUNTIFS('Player Rounds'!$A$2:$A$401,$A70,'Player Rounds'!$B$2:$B$401,$B70,'Player Rounds'!$M$2:$M$401,"&gt;0")=0,"",SIGN(_xlfn.MINIFS('Player Rounds'!$AG$2:$AG$401,'Player Rounds'!$A$2:$A$401,$A70,'Player Rounds'!$B$2:$B$401,$B70,'Player Rounds'!$C$2:$C$401,$D70)-_xlfn.MINIFS('Player Rounds'!$AG$2:$AG$401,'Player Rounds'!$A$2:$A$401,$A70,'Player Rounds'!$B$2:$B$401,$B70,'Player Rounds'!$C$2:$C$401,$C70))))</f>
      </c>
      <c r="T70" t="e">
        <f>IF($A70="","",IF(COUNTIFS('Player Rounds'!$A$2:$A$401,$A70,'Player Rounds'!$B$2:$B$401,$B70,'Player Rounds'!$N$2:$N$401,"&gt;0")=0,"",SIGN(_xlfn.MINIFS('Player Rounds'!$AH$2:$AH$401,'Player Rounds'!$A$2:$A$401,$A70,'Player Rounds'!$B$2:$B$401,$B70,'Player Rounds'!$C$2:$C$401,$D70)-_xlfn.MINIFS('Player Rounds'!$AH$2:$AH$401,'Player Rounds'!$A$2:$A$401,$A70,'Player Rounds'!$B$2:$B$401,$B70,'Player Rounds'!$C$2:$C$401,$C70))))</f>
      </c>
      <c r="U70" t="e">
        <f>IF($A70="","",IF(COUNTIFS('Player Rounds'!$A$2:$A$401,$A70,'Player Rounds'!$B$2:$B$401,$B70,'Player Rounds'!$O$2:$O$401,"&gt;0")=0,"",SIGN(_xlfn.MINIFS('Player Rounds'!$AI$2:$AI$401,'Player Rounds'!$A$2:$A$401,$A70,'Player Rounds'!$B$2:$B$401,$B70,'Player Rounds'!$C$2:$C$401,$D70)-_xlfn.MINIFS('Player Rounds'!$AI$2:$AI$401,'Player Rounds'!$A$2:$A$401,$A70,'Player Rounds'!$B$2:$B$401,$B70,'Player Rounds'!$C$2:$C$401,$C70))))</f>
      </c>
      <c r="V70" t="e">
        <f>IF($A70="","",IF(COUNTIFS('Player Rounds'!$A$2:$A$401,$A70,'Player Rounds'!$B$2:$B$401,$B70,'Player Rounds'!$P$2:$P$401,"&gt;0")=0,"",SIGN(_xlfn.MINIFS('Player Rounds'!$AJ$2:$AJ$401,'Player Rounds'!$A$2:$A$401,$A70,'Player Rounds'!$B$2:$B$401,$B70,'Player Rounds'!$C$2:$C$401,$D70)-_xlfn.MINIFS('Player Rounds'!$AJ$2:$AJ$401,'Player Rounds'!$A$2:$A$401,$A70,'Player Rounds'!$B$2:$B$401,$B70,'Player Rounds'!$C$2:$C$401,$C70))))</f>
      </c>
      <c r="W70" t="e">
        <f>IF($A70="","",IF(COUNTIFS('Player Rounds'!$A$2:$A$401,$A70,'Player Rounds'!$B$2:$B$401,$B70,'Player Rounds'!$Q$2:$Q$401,"&gt;0")=0,"",SIGN(_xlfn.MINIFS('Player Rounds'!$AK$2:$AK$401,'Player Rounds'!$A$2:$A$401,$A70,'Player Rounds'!$B$2:$B$401,$B70,'Player Rounds'!$C$2:$C$401,$D70)-_xlfn.MINIFS('Player Rounds'!$AK$2:$AK$401,'Player Rounds'!$A$2:$A$401,$A70,'Player Rounds'!$B$2:$B$401,$B70,'Player Rounds'!$C$2:$C$401,$C70))))</f>
      </c>
      <c r="X70" t="e">
        <f>IF($A70="","",IF(COUNTIFS('Player Rounds'!$A$2:$A$401,$A70,'Player Rounds'!$B$2:$B$401,$B70,'Player Rounds'!$R$2:$R$401,"&gt;0")=0,"",SIGN(_xlfn.MINIFS('Player Rounds'!$AL$2:$AL$401,'Player Rounds'!$A$2:$A$401,$A70,'Player Rounds'!$B$2:$B$401,$B70,'Player Rounds'!$C$2:$C$401,$D70)-_xlfn.MINIFS('Player Rounds'!$AL$2:$AL$401,'Player Rounds'!$A$2:$A$401,$A70,'Player Rounds'!$B$2:$B$401,$B70,'Player Rounds'!$C$2:$C$401,$C70))))</f>
      </c>
      <c r="Y70" t="e">
        <f>IF($A70="","",IF(COUNTIFS('Player Rounds'!$A$2:$A$401,$A70,'Player Rounds'!$B$2:$B$401,$B70,'Player Rounds'!$S$2:$S$401,"&gt;0")=0,"",SIGN(_xlfn.MINIFS('Player Rounds'!$AM$2:$AM$401,'Player Rounds'!$A$2:$A$401,$A70,'Player Rounds'!$B$2:$B$401,$B70,'Player Rounds'!$C$2:$C$401,$D70)-_xlfn.MINIFS('Player Rounds'!$AM$2:$AM$401,'Player Rounds'!$A$2:$A$401,$A70,'Player Rounds'!$B$2:$B$401,$B70,'Player Rounds'!$C$2:$C$401,$C70))))</f>
      </c>
      <c r="Z70" t="e">
        <f>IF($A70="","",IF(COUNTIFS('Player Rounds'!$A$2:$A$401,$A70,'Player Rounds'!$B$2:$B$401,$B70,'Player Rounds'!$T$2:$T$401,"&gt;0")=0,"",SIGN(_xlfn.MINIFS('Player Rounds'!$AN$2:$AN$401,'Player Rounds'!$A$2:$A$401,$A70,'Player Rounds'!$B$2:$B$401,$B70,'Player Rounds'!$C$2:$C$401,$D70)-_xlfn.MINIFS('Player Rounds'!$AN$2:$AN$401,'Player Rounds'!$A$2:$A$401,$A70,'Player Rounds'!$B$2:$B$401,$B70,'Player Rounds'!$C$2:$C$401,$C70))))</f>
      </c>
      <c r="AA70" t="e">
        <f>IF($A70="","",IF(COUNTIFS('Player Rounds'!$A$2:$A$401,$A70,'Player Rounds'!$B$2:$B$401,$B70,'Player Rounds'!$U$2:$U$401,"&gt;0")=0,"",SIGN(_xlfn.MINIFS('Player Rounds'!$AO$2:$AO$401,'Player Rounds'!$A$2:$A$401,$A70,'Player Rounds'!$B$2:$B$401,$B70,'Player Rounds'!$C$2:$C$401,$D70)-_xlfn.MINIFS('Player Rounds'!$AO$2:$AO$401,'Player Rounds'!$A$2:$A$401,$A70,'Player Rounds'!$B$2:$B$401,$B70,'Player Rounds'!$C$2:$C$401,$C70))))</f>
      </c>
      <c r="AB70" t="e">
        <f>IF($A70="","",IF(COUNTIFS('Player Rounds'!$A$2:$A$401,$A70,'Player Rounds'!$B$2:$B$401,$B70,'Player Rounds'!$V$2:$V$401,"&gt;0")=0,"",SIGN(_xlfn.MINIFS('Player Rounds'!$AP$2:$AP$401,'Player Rounds'!$A$2:$A$401,$A70,'Player Rounds'!$B$2:$B$401,$B70,'Player Rounds'!$C$2:$C$401,$D70)-_xlfn.MINIFS('Player Rounds'!$AP$2:$AP$401,'Player Rounds'!$A$2:$A$401,$A70,'Player Rounds'!$B$2:$B$401,$B70,'Player Rounds'!$C$2:$C$401,$C70))))</f>
      </c>
      <c r="AC70" t="e">
        <f>IF($A70="","",IF(COUNTIFS('Player Rounds'!$A$2:$A$401,$A70,'Player Rounds'!$B$2:$B$401,$B70,'Player Rounds'!$W$2:$W$401,"&gt;0")=0,"",SIGN(_xlfn.MINIFS('Player Rounds'!$AQ$2:$AQ$401,'Player Rounds'!$A$2:$A$401,$A70,'Player Rounds'!$B$2:$B$401,$B70,'Player Rounds'!$C$2:$C$401,$D70)-_xlfn.MINIFS('Player Rounds'!$AQ$2:$AQ$401,'Player Rounds'!$A$2:$A$401,$A70,'Player Rounds'!$B$2:$B$401,$B70,'Player Rounds'!$C$2:$C$401,$C70))))</f>
      </c>
      <c r="AD70" t="e">
        <f>IF($A70="","",SUM($L70:L70))</f>
      </c>
      <c r="AE70" t="e">
        <f>IF($A70="","",SUM($L70:M70))</f>
      </c>
      <c r="AF70" t="e">
        <f>IF($A70="","",SUM($L70:N70))</f>
      </c>
      <c r="AG70" t="e">
        <f>IF($A70="","",SUM($L70:O70))</f>
      </c>
      <c r="AH70" t="e">
        <f>IF($A70="","",SUM($L70:P70))</f>
      </c>
      <c r="AI70" t="e">
        <f>IF($A70="","",SUM($L70:Q70))</f>
      </c>
      <c r="AJ70" t="e">
        <f>IF($A70="","",SUM($L70:R70))</f>
      </c>
      <c r="AK70" t="e">
        <f>IF($A70="","",SUM($L70:S70))</f>
      </c>
      <c r="AL70" t="e">
        <f>IF($A70="","",SUM($L70:T70))</f>
      </c>
      <c r="AM70" t="e">
        <f>IF($A70="","",SUM($L70:U70))</f>
      </c>
      <c r="AN70" t="e">
        <f>IF($A70="","",SUM($L70:V70))</f>
      </c>
      <c r="AO70" t="e">
        <f>IF($A70="","",SUM($L70:W70))</f>
      </c>
      <c r="AP70" t="e">
        <f>IF($A70="","",SUM($L70:X70))</f>
      </c>
      <c r="AQ70" t="e">
        <f>IF($A70="","",SUM($L70:Y70))</f>
      </c>
      <c r="AR70" t="e">
        <f>IF($A70="","",SUM($L70:Z70))</f>
      </c>
      <c r="AS70" t="e">
        <f>IF($A70="","",SUM($L70:AA70))</f>
      </c>
      <c r="AT70" t="e">
        <f>IF($A70="","",SUM($L70:AB70))</f>
      </c>
      <c r="AU70" t="e">
        <f>IF($A70="","",SUM($L70:AC70))</f>
      </c>
      <c r="AV70" t="e">
        <f>IF(OR($A70="",L70=""),"",IF(ABS(AD70)&gt;17,1,""))</f>
      </c>
      <c r="AW70" t="e">
        <f>IF(OR($A70="",M70=""),"",IF(ABS(AE70)&gt;16,2,""))</f>
      </c>
      <c r="AX70" t="e">
        <f>IF(OR($A70="",N70=""),"",IF(ABS(AF70)&gt;15,3,""))</f>
      </c>
      <c r="AY70" t="e">
        <f>IF(OR($A70="",O70=""),"",IF(ABS(AG70)&gt;14,4,""))</f>
      </c>
      <c r="AZ70" t="e">
        <f>IF(OR($A70="",P70=""),"",IF(ABS(AH70)&gt;13,5,""))</f>
      </c>
      <c r="BA70" t="e">
        <f>IF(OR($A70="",Q70=""),"",IF(ABS(AI70)&gt;12,6,""))</f>
      </c>
      <c r="BB70" t="e">
        <f>IF(OR($A70="",R70=""),"",IF(ABS(AJ70)&gt;11,7,""))</f>
      </c>
      <c r="BC70" t="e">
        <f>IF(OR($A70="",S70=""),"",IF(ABS(AK70)&gt;10,8,""))</f>
      </c>
      <c r="BD70" t="e">
        <f>IF(OR($A70="",T70=""),"",IF(ABS(AL70)&gt;9,9,""))</f>
      </c>
      <c r="BE70" t="e">
        <f>IF(OR($A70="",U70=""),"",IF(ABS(AM70)&gt;8,10,""))</f>
      </c>
      <c r="BF70" t="e">
        <f>IF(OR($A70="",V70=""),"",IF(ABS(AN70)&gt;7,11,""))</f>
      </c>
      <c r="BG70" t="e">
        <f>IF(OR($A70="",W70=""),"",IF(ABS(AO70)&gt;6,12,""))</f>
      </c>
      <c r="BH70" t="e">
        <f>IF(OR($A70="",X70=""),"",IF(ABS(AP70)&gt;5,13,""))</f>
      </c>
      <c r="BI70" t="e">
        <f>IF(OR($A70="",Y70=""),"",IF(ABS(AQ70)&gt;4,14,""))</f>
      </c>
      <c r="BJ70" t="e">
        <f>IF(OR($A70="",Z70=""),"",IF(ABS(AR70)&gt;3,15,""))</f>
      </c>
      <c r="BK70" t="e">
        <f>IF(OR($A70="",AA70=""),"",IF(ABS(AS70)&gt;2,16,""))</f>
      </c>
      <c r="BL70" t="e">
        <f>IF(OR($A70="",AB70=""),"",IF(ABS(AT70)&gt;1,17,""))</f>
      </c>
      <c r="BM70" t="e">
        <f>IF(OR($A70="",AC70=""),"",IF(ABS(AU70)&gt;0,18,""))</f>
      </c>
    </row>
    <row r="71">
      <c r="C71" t="str">
        <f>IF($A71="","",INDEX('Tournament Setup'!$J:$J,MATCH($A71,'Tournament Setup'!$A:$A,0)))</f>
        <v/>
      </c>
      <c r="D71" t="str">
        <f>IF($A71="","",INDEX('Tournament Setup'!$K:$K,MATCH($A71,'Tournament Setup'!$A:$A,0)))</f>
        <v/>
      </c>
      <c r="E71" t="str">
        <f>IF($A71="","",IF(COUNT(L71:AC71)=0,"Not played",IF(AND($K71&gt;0,$K71&lt;18),IF(INDEX(AD71:AU71,1,$K71)&gt;0,$C71,$D71)&amp;" "&amp;ABS(INDEX(AD71:AU71,1,$K71))&amp;"&amp;"&amp;(18-$K71),IF($J71=0,"Halved (AS)",IF($J71&gt;0,$C71,$D71)&amp;" "&amp;ABS($J71)&amp;" UP"))))</f>
        <v/>
      </c>
      <c r="F71" t="e">
        <f>IF(OR($A71="",COUNT(L71:AC71)=0),"",INDEX('Tournament Setup'!$I:$I,MATCH($A71,'Tournament Setup'!$A:$A,0))*IF(INDEX('Tournament Setup'!$H:$H,MATCH($A71,'Tournament Setup'!$A:$A,0))="Yes",IF($H71&gt;0,1,IF($H71=0,0.5,0))+IF($I71&gt;0,1,IF($I71=0,0.5,0))+IF($J71&gt;0,1,IF($J71=0,0.5,0)),IF(IF(AND($K71&gt;0,$K71&lt;18),INDEX(AD71:AU71,1,$K71),$J71)&gt;0,1,IF(IF(AND($K71&gt;0,$K71&lt;18),INDEX(AD71:AU71,1,$K71),$J71)=0,0.5,0))))</f>
      </c>
      <c r="G71" t="e">
        <f>IF(OR($A71="",COUNT(L71:AC71)=0),"",INDEX('Tournament Setup'!$I:$I,MATCH($A71,'Tournament Setup'!$A:$A,0))*IF(INDEX('Tournament Setup'!$H:$H,MATCH($A71,'Tournament Setup'!$A:$A,0))="Yes",IF($H71&lt;0,1,IF($H71=0,0.5,0))+IF($I71&lt;0,1,IF($I71=0,0.5,0))+IF($J71&lt;0,1,IF($J71=0,0.5,0)),IF(IF(AND($K71&gt;0,$K71&lt;18),INDEX(AD71:AU71,1,$K71),$J71)&lt;0,1,IF(IF(AND($K71&gt;0,$K71&lt;18),INDEX(AD71:AU71,1,$K71),$J71)=0,0.5,0))))</f>
      </c>
      <c r="H71" t="e">
        <f>IF($A71="","",SUM(L71:T71))</f>
      </c>
      <c r="I71" t="e">
        <f>IF($A71="","",SUM(U71:AC71))</f>
      </c>
      <c r="J71" t="e">
        <f>IF($A71="","",SUM(L71:AC71))</f>
      </c>
      <c r="K71" t="e">
        <f>IF($A71="","",MIN(AV71:BM71))</f>
      </c>
      <c r="L71" t="e">
        <f>IF($A71="","",IF(COUNTIFS('Player Rounds'!$A$2:$A$401,$A71,'Player Rounds'!$B$2:$B$401,$B71,'Player Rounds'!$F$2:$F$401,"&gt;0")=0,"",SIGN(_xlfn.MINIFS('Player Rounds'!$Z$2:$Z$401,'Player Rounds'!$A$2:$A$401,$A71,'Player Rounds'!$B$2:$B$401,$B71,'Player Rounds'!$C$2:$C$401,$D71)-_xlfn.MINIFS('Player Rounds'!$Z$2:$Z$401,'Player Rounds'!$A$2:$A$401,$A71,'Player Rounds'!$B$2:$B$401,$B71,'Player Rounds'!$C$2:$C$401,$C71))))</f>
      </c>
      <c r="M71" t="e">
        <f>IF($A71="","",IF(COUNTIFS('Player Rounds'!$A$2:$A$401,$A71,'Player Rounds'!$B$2:$B$401,$B71,'Player Rounds'!$G$2:$G$401,"&gt;0")=0,"",SIGN(_xlfn.MINIFS('Player Rounds'!$AA$2:$AA$401,'Player Rounds'!$A$2:$A$401,$A71,'Player Rounds'!$B$2:$B$401,$B71,'Player Rounds'!$C$2:$C$401,$D71)-_xlfn.MINIFS('Player Rounds'!$AA$2:$AA$401,'Player Rounds'!$A$2:$A$401,$A71,'Player Rounds'!$B$2:$B$401,$B71,'Player Rounds'!$C$2:$C$401,$C71))))</f>
      </c>
      <c r="N71" t="e">
        <f>IF($A71="","",IF(COUNTIFS('Player Rounds'!$A$2:$A$401,$A71,'Player Rounds'!$B$2:$B$401,$B71,'Player Rounds'!$H$2:$H$401,"&gt;0")=0,"",SIGN(_xlfn.MINIFS('Player Rounds'!$AB$2:$AB$401,'Player Rounds'!$A$2:$A$401,$A71,'Player Rounds'!$B$2:$B$401,$B71,'Player Rounds'!$C$2:$C$401,$D71)-_xlfn.MINIFS('Player Rounds'!$AB$2:$AB$401,'Player Rounds'!$A$2:$A$401,$A71,'Player Rounds'!$B$2:$B$401,$B71,'Player Rounds'!$C$2:$C$401,$C71))))</f>
      </c>
      <c r="O71" t="e">
        <f>IF($A71="","",IF(COUNTIFS('Player Rounds'!$A$2:$A$401,$A71,'Player Rounds'!$B$2:$B$401,$B71,'Player Rounds'!$I$2:$I$401,"&gt;0")=0,"",SIGN(_xlfn.MINIFS('Player Rounds'!$AC$2:$AC$401,'Player Rounds'!$A$2:$A$401,$A71,'Player Rounds'!$B$2:$B$401,$B71,'Player Rounds'!$C$2:$C$401,$D71)-_xlfn.MINIFS('Player Rounds'!$AC$2:$AC$401,'Player Rounds'!$A$2:$A$401,$A71,'Player Rounds'!$B$2:$B$401,$B71,'Player Rounds'!$C$2:$C$401,$C71))))</f>
      </c>
      <c r="P71" t="e">
        <f>IF($A71="","",IF(COUNTIFS('Player Rounds'!$A$2:$A$401,$A71,'Player Rounds'!$B$2:$B$401,$B71,'Player Rounds'!$J$2:$J$401,"&gt;0")=0,"",SIGN(_xlfn.MINIFS('Player Rounds'!$AD$2:$AD$401,'Player Rounds'!$A$2:$A$401,$A71,'Player Rounds'!$B$2:$B$401,$B71,'Player Rounds'!$C$2:$C$401,$D71)-_xlfn.MINIFS('Player Rounds'!$AD$2:$AD$401,'Player Rounds'!$A$2:$A$401,$A71,'Player Rounds'!$B$2:$B$401,$B71,'Player Rounds'!$C$2:$C$401,$C71))))</f>
      </c>
      <c r="Q71" t="e">
        <f>IF($A71="","",IF(COUNTIFS('Player Rounds'!$A$2:$A$401,$A71,'Player Rounds'!$B$2:$B$401,$B71,'Player Rounds'!$K$2:$K$401,"&gt;0")=0,"",SIGN(_xlfn.MINIFS('Player Rounds'!$AE$2:$AE$401,'Player Rounds'!$A$2:$A$401,$A71,'Player Rounds'!$B$2:$B$401,$B71,'Player Rounds'!$C$2:$C$401,$D71)-_xlfn.MINIFS('Player Rounds'!$AE$2:$AE$401,'Player Rounds'!$A$2:$A$401,$A71,'Player Rounds'!$B$2:$B$401,$B71,'Player Rounds'!$C$2:$C$401,$C71))))</f>
      </c>
      <c r="R71" t="e">
        <f>IF($A71="","",IF(COUNTIFS('Player Rounds'!$A$2:$A$401,$A71,'Player Rounds'!$B$2:$B$401,$B71,'Player Rounds'!$L$2:$L$401,"&gt;0")=0,"",SIGN(_xlfn.MINIFS('Player Rounds'!$AF$2:$AF$401,'Player Rounds'!$A$2:$A$401,$A71,'Player Rounds'!$B$2:$B$401,$B71,'Player Rounds'!$C$2:$C$401,$D71)-_xlfn.MINIFS('Player Rounds'!$AF$2:$AF$401,'Player Rounds'!$A$2:$A$401,$A71,'Player Rounds'!$B$2:$B$401,$B71,'Player Rounds'!$C$2:$C$401,$C71))))</f>
      </c>
      <c r="S71" t="e">
        <f>IF($A71="","",IF(COUNTIFS('Player Rounds'!$A$2:$A$401,$A71,'Player Rounds'!$B$2:$B$401,$B71,'Player Rounds'!$M$2:$M$401,"&gt;0")=0,"",SIGN(_xlfn.MINIFS('Player Rounds'!$AG$2:$AG$401,'Player Rounds'!$A$2:$A$401,$A71,'Player Rounds'!$B$2:$B$401,$B71,'Player Rounds'!$C$2:$C$401,$D71)-_xlfn.MINIFS('Player Rounds'!$AG$2:$AG$401,'Player Rounds'!$A$2:$A$401,$A71,'Player Rounds'!$B$2:$B$401,$B71,'Player Rounds'!$C$2:$C$401,$C71))))</f>
      </c>
      <c r="T71" t="e">
        <f>IF($A71="","",IF(COUNTIFS('Player Rounds'!$A$2:$A$401,$A71,'Player Rounds'!$B$2:$B$401,$B71,'Player Rounds'!$N$2:$N$401,"&gt;0")=0,"",SIGN(_xlfn.MINIFS('Player Rounds'!$AH$2:$AH$401,'Player Rounds'!$A$2:$A$401,$A71,'Player Rounds'!$B$2:$B$401,$B71,'Player Rounds'!$C$2:$C$401,$D71)-_xlfn.MINIFS('Player Rounds'!$AH$2:$AH$401,'Player Rounds'!$A$2:$A$401,$A71,'Player Rounds'!$B$2:$B$401,$B71,'Player Rounds'!$C$2:$C$401,$C71))))</f>
      </c>
      <c r="U71" t="e">
        <f>IF($A71="","",IF(COUNTIFS('Player Rounds'!$A$2:$A$401,$A71,'Player Rounds'!$B$2:$B$401,$B71,'Player Rounds'!$O$2:$O$401,"&gt;0")=0,"",SIGN(_xlfn.MINIFS('Player Rounds'!$AI$2:$AI$401,'Player Rounds'!$A$2:$A$401,$A71,'Player Rounds'!$B$2:$B$401,$B71,'Player Rounds'!$C$2:$C$401,$D71)-_xlfn.MINIFS('Player Rounds'!$AI$2:$AI$401,'Player Rounds'!$A$2:$A$401,$A71,'Player Rounds'!$B$2:$B$401,$B71,'Player Rounds'!$C$2:$C$401,$C71))))</f>
      </c>
      <c r="V71" t="e">
        <f>IF($A71="","",IF(COUNTIFS('Player Rounds'!$A$2:$A$401,$A71,'Player Rounds'!$B$2:$B$401,$B71,'Player Rounds'!$P$2:$P$401,"&gt;0")=0,"",SIGN(_xlfn.MINIFS('Player Rounds'!$AJ$2:$AJ$401,'Player Rounds'!$A$2:$A$401,$A71,'Player Rounds'!$B$2:$B$401,$B71,'Player Rounds'!$C$2:$C$401,$D71)-_xlfn.MINIFS('Player Rounds'!$AJ$2:$AJ$401,'Player Rounds'!$A$2:$A$401,$A71,'Player Rounds'!$B$2:$B$401,$B71,'Player Rounds'!$C$2:$C$401,$C71))))</f>
      </c>
      <c r="W71" t="e">
        <f>IF($A71="","",IF(COUNTIFS('Player Rounds'!$A$2:$A$401,$A71,'Player Rounds'!$B$2:$B$401,$B71,'Player Rounds'!$Q$2:$Q$401,"&gt;0")=0,"",SIGN(_xlfn.MINIFS('Player Rounds'!$AK$2:$AK$401,'Player Rounds'!$A$2:$A$401,$A71,'Player Rounds'!$B$2:$B$401,$B71,'Player Rounds'!$C$2:$C$401,$D71)-_xlfn.MINIFS('Player Rounds'!$AK$2:$AK$401,'Player Rounds'!$A$2:$A$401,$A71,'Player Rounds'!$B$2:$B$401,$B71,'Player Rounds'!$C$2:$C$401,$C71))))</f>
      </c>
      <c r="X71" t="e">
        <f>IF($A71="","",IF(COUNTIFS('Player Rounds'!$A$2:$A$401,$A71,'Player Rounds'!$B$2:$B$401,$B71,'Player Rounds'!$R$2:$R$401,"&gt;0")=0,"",SIGN(_xlfn.MINIFS('Player Rounds'!$AL$2:$AL$401,'Player Rounds'!$A$2:$A$401,$A71,'Player Rounds'!$B$2:$B$401,$B71,'Player Rounds'!$C$2:$C$401,$D71)-_xlfn.MINIFS('Player Rounds'!$AL$2:$AL$401,'Player Rounds'!$A$2:$A$401,$A71,'Player Rounds'!$B$2:$B$401,$B71,'Player Rounds'!$C$2:$C$401,$C71))))</f>
      </c>
      <c r="Y71" t="e">
        <f>IF($A71="","",IF(COUNTIFS('Player Rounds'!$A$2:$A$401,$A71,'Player Rounds'!$B$2:$B$401,$B71,'Player Rounds'!$S$2:$S$401,"&gt;0")=0,"",SIGN(_xlfn.MINIFS('Player Rounds'!$AM$2:$AM$401,'Player Rounds'!$A$2:$A$401,$A71,'Player Rounds'!$B$2:$B$401,$B71,'Player Rounds'!$C$2:$C$401,$D71)-_xlfn.MINIFS('Player Rounds'!$AM$2:$AM$401,'Player Rounds'!$A$2:$A$401,$A71,'Player Rounds'!$B$2:$B$401,$B71,'Player Rounds'!$C$2:$C$401,$C71))))</f>
      </c>
      <c r="Z71" t="e">
        <f>IF($A71="","",IF(COUNTIFS('Player Rounds'!$A$2:$A$401,$A71,'Player Rounds'!$B$2:$B$401,$B71,'Player Rounds'!$T$2:$T$401,"&gt;0")=0,"",SIGN(_xlfn.MINIFS('Player Rounds'!$AN$2:$AN$401,'Player Rounds'!$A$2:$A$401,$A71,'Player Rounds'!$B$2:$B$401,$B71,'Player Rounds'!$C$2:$C$401,$D71)-_xlfn.MINIFS('Player Rounds'!$AN$2:$AN$401,'Player Rounds'!$A$2:$A$401,$A71,'Player Rounds'!$B$2:$B$401,$B71,'Player Rounds'!$C$2:$C$401,$C71))))</f>
      </c>
      <c r="AA71" t="e">
        <f>IF($A71="","",IF(COUNTIFS('Player Rounds'!$A$2:$A$401,$A71,'Player Rounds'!$B$2:$B$401,$B71,'Player Rounds'!$U$2:$U$401,"&gt;0")=0,"",SIGN(_xlfn.MINIFS('Player Rounds'!$AO$2:$AO$401,'Player Rounds'!$A$2:$A$401,$A71,'Player Rounds'!$B$2:$B$401,$B71,'Player Rounds'!$C$2:$C$401,$D71)-_xlfn.MINIFS('Player Rounds'!$AO$2:$AO$401,'Player Rounds'!$A$2:$A$401,$A71,'Player Rounds'!$B$2:$B$401,$B71,'Player Rounds'!$C$2:$C$401,$C71))))</f>
      </c>
      <c r="AB71" t="e">
        <f>IF($A71="","",IF(COUNTIFS('Player Rounds'!$A$2:$A$401,$A71,'Player Rounds'!$B$2:$B$401,$B71,'Player Rounds'!$V$2:$V$401,"&gt;0")=0,"",SIGN(_xlfn.MINIFS('Player Rounds'!$AP$2:$AP$401,'Player Rounds'!$A$2:$A$401,$A71,'Player Rounds'!$B$2:$B$401,$B71,'Player Rounds'!$C$2:$C$401,$D71)-_xlfn.MINIFS('Player Rounds'!$AP$2:$AP$401,'Player Rounds'!$A$2:$A$401,$A71,'Player Rounds'!$B$2:$B$401,$B71,'Player Rounds'!$C$2:$C$401,$C71))))</f>
      </c>
      <c r="AC71" t="e">
        <f>IF($A71="","",IF(COUNTIFS('Player Rounds'!$A$2:$A$401,$A71,'Player Rounds'!$B$2:$B$401,$B71,'Player Rounds'!$W$2:$W$401,"&gt;0")=0,"",SIGN(_xlfn.MINIFS('Player Rounds'!$AQ$2:$AQ$401,'Player Rounds'!$A$2:$A$401,$A71,'Player Rounds'!$B$2:$B$401,$B71,'Player Rounds'!$C$2:$C$401,$D71)-_xlfn.MINIFS('Player Rounds'!$AQ$2:$AQ$401,'Player Rounds'!$A$2:$A$401,$A71,'Player Rounds'!$B$2:$B$401,$B71,'Player Rounds'!$C$2:$C$401,$C71))))</f>
      </c>
      <c r="AD71" t="e">
        <f>IF($A71="","",SUM($L71:L71))</f>
      </c>
      <c r="AE71" t="e">
        <f>IF($A71="","",SUM($L71:M71))</f>
      </c>
      <c r="AF71" t="e">
        <f>IF($A71="","",SUM($L71:N71))</f>
      </c>
      <c r="AG71" t="e">
        <f>IF($A71="","",SUM($L71:O71))</f>
      </c>
      <c r="AH71" t="e">
        <f>IF($A71="","",SUM($L71:P71))</f>
      </c>
      <c r="AI71" t="e">
        <f>IF($A71="","",SUM($L71:Q71))</f>
      </c>
      <c r="AJ71" t="e">
        <f>IF($A71="","",SUM($L71:R71))</f>
      </c>
      <c r="AK71" t="e">
        <f>IF($A71="","",SUM($L71:S71))</f>
      </c>
      <c r="AL71" t="e">
        <f>IF($A71="","",SUM($L71:T71))</f>
      </c>
      <c r="AM71" t="e">
        <f>IF($A71="","",SUM($L71:U71))</f>
      </c>
      <c r="AN71" t="e">
        <f>IF($A71="","",SUM($L71:V71))</f>
      </c>
      <c r="AO71" t="e">
        <f>IF($A71="","",SUM($L71:W71))</f>
      </c>
      <c r="AP71" t="e">
        <f>IF($A71="","",SUM($L71:X71))</f>
      </c>
      <c r="AQ71" t="e">
        <f>IF($A71="","",SUM($L71:Y71))</f>
      </c>
      <c r="AR71" t="e">
        <f>IF($A71="","",SUM($L71:Z71))</f>
      </c>
      <c r="AS71" t="e">
        <f>IF($A71="","",SUM($L71:AA71))</f>
      </c>
      <c r="AT71" t="e">
        <f>IF($A71="","",SUM($L71:AB71))</f>
      </c>
      <c r="AU71" t="e">
        <f>IF($A71="","",SUM($L71:AC71))</f>
      </c>
      <c r="AV71" t="e">
        <f>IF(OR($A71="",L71=""),"",IF(ABS(AD71)&gt;17,1,""))</f>
      </c>
      <c r="AW71" t="e">
        <f>IF(OR($A71="",M71=""),"",IF(ABS(AE71)&gt;16,2,""))</f>
      </c>
      <c r="AX71" t="e">
        <f>IF(OR($A71="",N71=""),"",IF(ABS(AF71)&gt;15,3,""))</f>
      </c>
      <c r="AY71" t="e">
        <f>IF(OR($A71="",O71=""),"",IF(ABS(AG71)&gt;14,4,""))</f>
      </c>
      <c r="AZ71" t="e">
        <f>IF(OR($A71="",P71=""),"",IF(ABS(AH71)&gt;13,5,""))</f>
      </c>
      <c r="BA71" t="e">
        <f>IF(OR($A71="",Q71=""),"",IF(ABS(AI71)&gt;12,6,""))</f>
      </c>
      <c r="BB71" t="e">
        <f>IF(OR($A71="",R71=""),"",IF(ABS(AJ71)&gt;11,7,""))</f>
      </c>
      <c r="BC71" t="e">
        <f>IF(OR($A71="",S71=""),"",IF(ABS(AK71)&gt;10,8,""))</f>
      </c>
      <c r="BD71" t="e">
        <f>IF(OR($A71="",T71=""),"",IF(ABS(AL71)&gt;9,9,""))</f>
      </c>
      <c r="BE71" t="e">
        <f>IF(OR($A71="",U71=""),"",IF(ABS(AM71)&gt;8,10,""))</f>
      </c>
      <c r="BF71" t="e">
        <f>IF(OR($A71="",V71=""),"",IF(ABS(AN71)&gt;7,11,""))</f>
      </c>
      <c r="BG71" t="e">
        <f>IF(OR($A71="",W71=""),"",IF(ABS(AO71)&gt;6,12,""))</f>
      </c>
      <c r="BH71" t="e">
        <f>IF(OR($A71="",X71=""),"",IF(ABS(AP71)&gt;5,13,""))</f>
      </c>
      <c r="BI71" t="e">
        <f>IF(OR($A71="",Y71=""),"",IF(ABS(AQ71)&gt;4,14,""))</f>
      </c>
      <c r="BJ71" t="e">
        <f>IF(OR($A71="",Z71=""),"",IF(ABS(AR71)&gt;3,15,""))</f>
      </c>
      <c r="BK71" t="e">
        <f>IF(OR($A71="",AA71=""),"",IF(ABS(AS71)&gt;2,16,""))</f>
      </c>
      <c r="BL71" t="e">
        <f>IF(OR($A71="",AB71=""),"",IF(ABS(AT71)&gt;1,17,""))</f>
      </c>
      <c r="BM71" t="e">
        <f>IF(OR($A71="",AC71=""),"",IF(ABS(AU71)&gt;0,18,""))</f>
      </c>
    </row>
    <row r="72">
      <c r="C72" t="str">
        <f>IF($A72="","",INDEX('Tournament Setup'!$J:$J,MATCH($A72,'Tournament Setup'!$A:$A,0)))</f>
        <v/>
      </c>
      <c r="D72" t="str">
        <f>IF($A72="","",INDEX('Tournament Setup'!$K:$K,MATCH($A72,'Tournament Setup'!$A:$A,0)))</f>
        <v/>
      </c>
      <c r="E72" t="str">
        <f>IF($A72="","",IF(COUNT(L72:AC72)=0,"Not played",IF(AND($K72&gt;0,$K72&lt;18),IF(INDEX(AD72:AU72,1,$K72)&gt;0,$C72,$D72)&amp;" "&amp;ABS(INDEX(AD72:AU72,1,$K72))&amp;"&amp;"&amp;(18-$K72),IF($J72=0,"Halved (AS)",IF($J72&gt;0,$C72,$D72)&amp;" "&amp;ABS($J72)&amp;" UP"))))</f>
        <v/>
      </c>
      <c r="F72" t="e">
        <f>IF(OR($A72="",COUNT(L72:AC72)=0),"",INDEX('Tournament Setup'!$I:$I,MATCH($A72,'Tournament Setup'!$A:$A,0))*IF(INDEX('Tournament Setup'!$H:$H,MATCH($A72,'Tournament Setup'!$A:$A,0))="Yes",IF($H72&gt;0,1,IF($H72=0,0.5,0))+IF($I72&gt;0,1,IF($I72=0,0.5,0))+IF($J72&gt;0,1,IF($J72=0,0.5,0)),IF(IF(AND($K72&gt;0,$K72&lt;18),INDEX(AD72:AU72,1,$K72),$J72)&gt;0,1,IF(IF(AND($K72&gt;0,$K72&lt;18),INDEX(AD72:AU72,1,$K72),$J72)=0,0.5,0))))</f>
      </c>
      <c r="G72" t="e">
        <f>IF(OR($A72="",COUNT(L72:AC72)=0),"",INDEX('Tournament Setup'!$I:$I,MATCH($A72,'Tournament Setup'!$A:$A,0))*IF(INDEX('Tournament Setup'!$H:$H,MATCH($A72,'Tournament Setup'!$A:$A,0))="Yes",IF($H72&lt;0,1,IF($H72=0,0.5,0))+IF($I72&lt;0,1,IF($I72=0,0.5,0))+IF($J72&lt;0,1,IF($J72=0,0.5,0)),IF(IF(AND($K72&gt;0,$K72&lt;18),INDEX(AD72:AU72,1,$K72),$J72)&lt;0,1,IF(IF(AND($K72&gt;0,$K72&lt;18),INDEX(AD72:AU72,1,$K72),$J72)=0,0.5,0))))</f>
      </c>
      <c r="H72" t="e">
        <f>IF($A72="","",SUM(L72:T72))</f>
      </c>
      <c r="I72" t="e">
        <f>IF($A72="","",SUM(U72:AC72))</f>
      </c>
      <c r="J72" t="e">
        <f>IF($A72="","",SUM(L72:AC72))</f>
      </c>
      <c r="K72" t="e">
        <f>IF($A72="","",MIN(AV72:BM72))</f>
      </c>
      <c r="L72" t="e">
        <f>IF($A72="","",IF(COUNTIFS('Player Rounds'!$A$2:$A$401,$A72,'Player Rounds'!$B$2:$B$401,$B72,'Player Rounds'!$F$2:$F$401,"&gt;0")=0,"",SIGN(_xlfn.MINIFS('Player Rounds'!$Z$2:$Z$401,'Player Rounds'!$A$2:$A$401,$A72,'Player Rounds'!$B$2:$B$401,$B72,'Player Rounds'!$C$2:$C$401,$D72)-_xlfn.MINIFS('Player Rounds'!$Z$2:$Z$401,'Player Rounds'!$A$2:$A$401,$A72,'Player Rounds'!$B$2:$B$401,$B72,'Player Rounds'!$C$2:$C$401,$C72))))</f>
      </c>
      <c r="M72" t="e">
        <f>IF($A72="","",IF(COUNTIFS('Player Rounds'!$A$2:$A$401,$A72,'Player Rounds'!$B$2:$B$401,$B72,'Player Rounds'!$G$2:$G$401,"&gt;0")=0,"",SIGN(_xlfn.MINIFS('Player Rounds'!$AA$2:$AA$401,'Player Rounds'!$A$2:$A$401,$A72,'Player Rounds'!$B$2:$B$401,$B72,'Player Rounds'!$C$2:$C$401,$D72)-_xlfn.MINIFS('Player Rounds'!$AA$2:$AA$401,'Player Rounds'!$A$2:$A$401,$A72,'Player Rounds'!$B$2:$B$401,$B72,'Player Rounds'!$C$2:$C$401,$C72))))</f>
      </c>
      <c r="N72" t="e">
        <f>IF($A72="","",IF(COUNTIFS('Player Rounds'!$A$2:$A$401,$A72,'Player Rounds'!$B$2:$B$401,$B72,'Player Rounds'!$H$2:$H$401,"&gt;0")=0,"",SIGN(_xlfn.MINIFS('Player Rounds'!$AB$2:$AB$401,'Player Rounds'!$A$2:$A$401,$A72,'Player Rounds'!$B$2:$B$401,$B72,'Player Rounds'!$C$2:$C$401,$D72)-_xlfn.MINIFS('Player Rounds'!$AB$2:$AB$401,'Player Rounds'!$A$2:$A$401,$A72,'Player Rounds'!$B$2:$B$401,$B72,'Player Rounds'!$C$2:$C$401,$C72))))</f>
      </c>
      <c r="O72" t="e">
        <f>IF($A72="","",IF(COUNTIFS('Player Rounds'!$A$2:$A$401,$A72,'Player Rounds'!$B$2:$B$401,$B72,'Player Rounds'!$I$2:$I$401,"&gt;0")=0,"",SIGN(_xlfn.MINIFS('Player Rounds'!$AC$2:$AC$401,'Player Rounds'!$A$2:$A$401,$A72,'Player Rounds'!$B$2:$B$401,$B72,'Player Rounds'!$C$2:$C$401,$D72)-_xlfn.MINIFS('Player Rounds'!$AC$2:$AC$401,'Player Rounds'!$A$2:$A$401,$A72,'Player Rounds'!$B$2:$B$401,$B72,'Player Rounds'!$C$2:$C$401,$C72))))</f>
      </c>
      <c r="P72" t="e">
        <f>IF($A72="","",IF(COUNTIFS('Player Rounds'!$A$2:$A$401,$A72,'Player Rounds'!$B$2:$B$401,$B72,'Player Rounds'!$J$2:$J$401,"&gt;0")=0,"",SIGN(_xlfn.MINIFS('Player Rounds'!$AD$2:$AD$401,'Player Rounds'!$A$2:$A$401,$A72,'Player Rounds'!$B$2:$B$401,$B72,'Player Rounds'!$C$2:$C$401,$D72)-_xlfn.MINIFS('Player Rounds'!$AD$2:$AD$401,'Player Rounds'!$A$2:$A$401,$A72,'Player Rounds'!$B$2:$B$401,$B72,'Player Rounds'!$C$2:$C$401,$C72))))</f>
      </c>
      <c r="Q72" t="e">
        <f>IF($A72="","",IF(COUNTIFS('Player Rounds'!$A$2:$A$401,$A72,'Player Rounds'!$B$2:$B$401,$B72,'Player Rounds'!$K$2:$K$401,"&gt;0")=0,"",SIGN(_xlfn.MINIFS('Player Rounds'!$AE$2:$AE$401,'Player Rounds'!$A$2:$A$401,$A72,'Player Rounds'!$B$2:$B$401,$B72,'Player Rounds'!$C$2:$C$401,$D72)-_xlfn.MINIFS('Player Rounds'!$AE$2:$AE$401,'Player Rounds'!$A$2:$A$401,$A72,'Player Rounds'!$B$2:$B$401,$B72,'Player Rounds'!$C$2:$C$401,$C72))))</f>
      </c>
      <c r="R72" t="e">
        <f>IF($A72="","",IF(COUNTIFS('Player Rounds'!$A$2:$A$401,$A72,'Player Rounds'!$B$2:$B$401,$B72,'Player Rounds'!$L$2:$L$401,"&gt;0")=0,"",SIGN(_xlfn.MINIFS('Player Rounds'!$AF$2:$AF$401,'Player Rounds'!$A$2:$A$401,$A72,'Player Rounds'!$B$2:$B$401,$B72,'Player Rounds'!$C$2:$C$401,$D72)-_xlfn.MINIFS('Player Rounds'!$AF$2:$AF$401,'Player Rounds'!$A$2:$A$401,$A72,'Player Rounds'!$B$2:$B$401,$B72,'Player Rounds'!$C$2:$C$401,$C72))))</f>
      </c>
      <c r="S72" t="e">
        <f>IF($A72="","",IF(COUNTIFS('Player Rounds'!$A$2:$A$401,$A72,'Player Rounds'!$B$2:$B$401,$B72,'Player Rounds'!$M$2:$M$401,"&gt;0")=0,"",SIGN(_xlfn.MINIFS('Player Rounds'!$AG$2:$AG$401,'Player Rounds'!$A$2:$A$401,$A72,'Player Rounds'!$B$2:$B$401,$B72,'Player Rounds'!$C$2:$C$401,$D72)-_xlfn.MINIFS('Player Rounds'!$AG$2:$AG$401,'Player Rounds'!$A$2:$A$401,$A72,'Player Rounds'!$B$2:$B$401,$B72,'Player Rounds'!$C$2:$C$401,$C72))))</f>
      </c>
      <c r="T72" t="e">
        <f>IF($A72="","",IF(COUNTIFS('Player Rounds'!$A$2:$A$401,$A72,'Player Rounds'!$B$2:$B$401,$B72,'Player Rounds'!$N$2:$N$401,"&gt;0")=0,"",SIGN(_xlfn.MINIFS('Player Rounds'!$AH$2:$AH$401,'Player Rounds'!$A$2:$A$401,$A72,'Player Rounds'!$B$2:$B$401,$B72,'Player Rounds'!$C$2:$C$401,$D72)-_xlfn.MINIFS('Player Rounds'!$AH$2:$AH$401,'Player Rounds'!$A$2:$A$401,$A72,'Player Rounds'!$B$2:$B$401,$B72,'Player Rounds'!$C$2:$C$401,$C72))))</f>
      </c>
      <c r="U72" t="e">
        <f>IF($A72="","",IF(COUNTIFS('Player Rounds'!$A$2:$A$401,$A72,'Player Rounds'!$B$2:$B$401,$B72,'Player Rounds'!$O$2:$O$401,"&gt;0")=0,"",SIGN(_xlfn.MINIFS('Player Rounds'!$AI$2:$AI$401,'Player Rounds'!$A$2:$A$401,$A72,'Player Rounds'!$B$2:$B$401,$B72,'Player Rounds'!$C$2:$C$401,$D72)-_xlfn.MINIFS('Player Rounds'!$AI$2:$AI$401,'Player Rounds'!$A$2:$A$401,$A72,'Player Rounds'!$B$2:$B$401,$B72,'Player Rounds'!$C$2:$C$401,$C72))))</f>
      </c>
      <c r="V72" t="e">
        <f>IF($A72="","",IF(COUNTIFS('Player Rounds'!$A$2:$A$401,$A72,'Player Rounds'!$B$2:$B$401,$B72,'Player Rounds'!$P$2:$P$401,"&gt;0")=0,"",SIGN(_xlfn.MINIFS('Player Rounds'!$AJ$2:$AJ$401,'Player Rounds'!$A$2:$A$401,$A72,'Player Rounds'!$B$2:$B$401,$B72,'Player Rounds'!$C$2:$C$401,$D72)-_xlfn.MINIFS('Player Rounds'!$AJ$2:$AJ$401,'Player Rounds'!$A$2:$A$401,$A72,'Player Rounds'!$B$2:$B$401,$B72,'Player Rounds'!$C$2:$C$401,$C72))))</f>
      </c>
      <c r="W72" t="e">
        <f>IF($A72="","",IF(COUNTIFS('Player Rounds'!$A$2:$A$401,$A72,'Player Rounds'!$B$2:$B$401,$B72,'Player Rounds'!$Q$2:$Q$401,"&gt;0")=0,"",SIGN(_xlfn.MINIFS('Player Rounds'!$AK$2:$AK$401,'Player Rounds'!$A$2:$A$401,$A72,'Player Rounds'!$B$2:$B$401,$B72,'Player Rounds'!$C$2:$C$401,$D72)-_xlfn.MINIFS('Player Rounds'!$AK$2:$AK$401,'Player Rounds'!$A$2:$A$401,$A72,'Player Rounds'!$B$2:$B$401,$B72,'Player Rounds'!$C$2:$C$401,$C72))))</f>
      </c>
      <c r="X72" t="e">
        <f>IF($A72="","",IF(COUNTIFS('Player Rounds'!$A$2:$A$401,$A72,'Player Rounds'!$B$2:$B$401,$B72,'Player Rounds'!$R$2:$R$401,"&gt;0")=0,"",SIGN(_xlfn.MINIFS('Player Rounds'!$AL$2:$AL$401,'Player Rounds'!$A$2:$A$401,$A72,'Player Rounds'!$B$2:$B$401,$B72,'Player Rounds'!$C$2:$C$401,$D72)-_xlfn.MINIFS('Player Rounds'!$AL$2:$AL$401,'Player Rounds'!$A$2:$A$401,$A72,'Player Rounds'!$B$2:$B$401,$B72,'Player Rounds'!$C$2:$C$401,$C72))))</f>
      </c>
      <c r="Y72" t="e">
        <f>IF($A72="","",IF(COUNTIFS('Player Rounds'!$A$2:$A$401,$A72,'Player Rounds'!$B$2:$B$401,$B72,'Player Rounds'!$S$2:$S$401,"&gt;0")=0,"",SIGN(_xlfn.MINIFS('Player Rounds'!$AM$2:$AM$401,'Player Rounds'!$A$2:$A$401,$A72,'Player Rounds'!$B$2:$B$401,$B72,'Player Rounds'!$C$2:$C$401,$D72)-_xlfn.MINIFS('Player Rounds'!$AM$2:$AM$401,'Player Rounds'!$A$2:$A$401,$A72,'Player Rounds'!$B$2:$B$401,$B72,'Player Rounds'!$C$2:$C$401,$C72))))</f>
      </c>
      <c r="Z72" t="e">
        <f>IF($A72="","",IF(COUNTIFS('Player Rounds'!$A$2:$A$401,$A72,'Player Rounds'!$B$2:$B$401,$B72,'Player Rounds'!$T$2:$T$401,"&gt;0")=0,"",SIGN(_xlfn.MINIFS('Player Rounds'!$AN$2:$AN$401,'Player Rounds'!$A$2:$A$401,$A72,'Player Rounds'!$B$2:$B$401,$B72,'Player Rounds'!$C$2:$C$401,$D72)-_xlfn.MINIFS('Player Rounds'!$AN$2:$AN$401,'Player Rounds'!$A$2:$A$401,$A72,'Player Rounds'!$B$2:$B$401,$B72,'Player Rounds'!$C$2:$C$401,$C72))))</f>
      </c>
      <c r="AA72" t="e">
        <f>IF($A72="","",IF(COUNTIFS('Player Rounds'!$A$2:$A$401,$A72,'Player Rounds'!$B$2:$B$401,$B72,'Player Rounds'!$U$2:$U$401,"&gt;0")=0,"",SIGN(_xlfn.MINIFS('Player Rounds'!$AO$2:$AO$401,'Player Rounds'!$A$2:$A$401,$A72,'Player Rounds'!$B$2:$B$401,$B72,'Player Rounds'!$C$2:$C$401,$D72)-_xlfn.MINIFS('Player Rounds'!$AO$2:$AO$401,'Player Rounds'!$A$2:$A$401,$A72,'Player Rounds'!$B$2:$B$401,$B72,'Player Rounds'!$C$2:$C$401,$C72))))</f>
      </c>
      <c r="AB72" t="e">
        <f>IF($A72="","",IF(COUNTIFS('Player Rounds'!$A$2:$A$401,$A72,'Player Rounds'!$B$2:$B$401,$B72,'Player Rounds'!$V$2:$V$401,"&gt;0")=0,"",SIGN(_xlfn.MINIFS('Player Rounds'!$AP$2:$AP$401,'Player Rounds'!$A$2:$A$401,$A72,'Player Rounds'!$B$2:$B$401,$B72,'Player Rounds'!$C$2:$C$401,$D72)-_xlfn.MINIFS('Player Rounds'!$AP$2:$AP$401,'Player Rounds'!$A$2:$A$401,$A72,'Player Rounds'!$B$2:$B$401,$B72,'Player Rounds'!$C$2:$C$401,$C72))))</f>
      </c>
      <c r="AC72" t="e">
        <f>IF($A72="","",IF(COUNTIFS('Player Rounds'!$A$2:$A$401,$A72,'Player Rounds'!$B$2:$B$401,$B72,'Player Rounds'!$W$2:$W$401,"&gt;0")=0,"",SIGN(_xlfn.MINIFS('Player Rounds'!$AQ$2:$AQ$401,'Player Rounds'!$A$2:$A$401,$A72,'Player Rounds'!$B$2:$B$401,$B72,'Player Rounds'!$C$2:$C$401,$D72)-_xlfn.MINIFS('Player Rounds'!$AQ$2:$AQ$401,'Player Rounds'!$A$2:$A$401,$A72,'Player Rounds'!$B$2:$B$401,$B72,'Player Rounds'!$C$2:$C$401,$C72))))</f>
      </c>
      <c r="AD72" t="e">
        <f>IF($A72="","",SUM($L72:L72))</f>
      </c>
      <c r="AE72" t="e">
        <f>IF($A72="","",SUM($L72:M72))</f>
      </c>
      <c r="AF72" t="e">
        <f>IF($A72="","",SUM($L72:N72))</f>
      </c>
      <c r="AG72" t="e">
        <f>IF($A72="","",SUM($L72:O72))</f>
      </c>
      <c r="AH72" t="e">
        <f>IF($A72="","",SUM($L72:P72))</f>
      </c>
      <c r="AI72" t="e">
        <f>IF($A72="","",SUM($L72:Q72))</f>
      </c>
      <c r="AJ72" t="e">
        <f>IF($A72="","",SUM($L72:R72))</f>
      </c>
      <c r="AK72" t="e">
        <f>IF($A72="","",SUM($L72:S72))</f>
      </c>
      <c r="AL72" t="e">
        <f>IF($A72="","",SUM($L72:T72))</f>
      </c>
      <c r="AM72" t="e">
        <f>IF($A72="","",SUM($L72:U72))</f>
      </c>
      <c r="AN72" t="e">
        <f>IF($A72="","",SUM($L72:V72))</f>
      </c>
      <c r="AO72" t="e">
        <f>IF($A72="","",SUM($L72:W72))</f>
      </c>
      <c r="AP72" t="e">
        <f>IF($A72="","",SUM($L72:X72))</f>
      </c>
      <c r="AQ72" t="e">
        <f>IF($A72="","",SUM($L72:Y72))</f>
      </c>
      <c r="AR72" t="e">
        <f>IF($A72="","",SUM($L72:Z72))</f>
      </c>
      <c r="AS72" t="e">
        <f>IF($A72="","",SUM($L72:AA72))</f>
      </c>
      <c r="AT72" t="e">
        <f>IF($A72="","",SUM($L72:AB72))</f>
      </c>
      <c r="AU72" t="e">
        <f>IF($A72="","",SUM($L72:AC72))</f>
      </c>
      <c r="AV72" t="e">
        <f>IF(OR($A72="",L72=""),"",IF(ABS(AD72)&gt;17,1,""))</f>
      </c>
      <c r="AW72" t="e">
        <f>IF(OR($A72="",M72=""),"",IF(ABS(AE72)&gt;16,2,""))</f>
      </c>
      <c r="AX72" t="e">
        <f>IF(OR($A72="",N72=""),"",IF(ABS(AF72)&gt;15,3,""))</f>
      </c>
      <c r="AY72" t="e">
        <f>IF(OR($A72="",O72=""),"",IF(ABS(AG72)&gt;14,4,""))</f>
      </c>
      <c r="AZ72" t="e">
        <f>IF(OR($A72="",P72=""),"",IF(ABS(AH72)&gt;13,5,""))</f>
      </c>
      <c r="BA72" t="e">
        <f>IF(OR($A72="",Q72=""),"",IF(ABS(AI72)&gt;12,6,""))</f>
      </c>
      <c r="BB72" t="e">
        <f>IF(OR($A72="",R72=""),"",IF(ABS(AJ72)&gt;11,7,""))</f>
      </c>
      <c r="BC72" t="e">
        <f>IF(OR($A72="",S72=""),"",IF(ABS(AK72)&gt;10,8,""))</f>
      </c>
      <c r="BD72" t="e">
        <f>IF(OR($A72="",T72=""),"",IF(ABS(AL72)&gt;9,9,""))</f>
      </c>
      <c r="BE72" t="e">
        <f>IF(OR($A72="",U72=""),"",IF(ABS(AM72)&gt;8,10,""))</f>
      </c>
      <c r="BF72" t="e">
        <f>IF(OR($A72="",V72=""),"",IF(ABS(AN72)&gt;7,11,""))</f>
      </c>
      <c r="BG72" t="e">
        <f>IF(OR($A72="",W72=""),"",IF(ABS(AO72)&gt;6,12,""))</f>
      </c>
      <c r="BH72" t="e">
        <f>IF(OR($A72="",X72=""),"",IF(ABS(AP72)&gt;5,13,""))</f>
      </c>
      <c r="BI72" t="e">
        <f>IF(OR($A72="",Y72=""),"",IF(ABS(AQ72)&gt;4,14,""))</f>
      </c>
      <c r="BJ72" t="e">
        <f>IF(OR($A72="",Z72=""),"",IF(ABS(AR72)&gt;3,15,""))</f>
      </c>
      <c r="BK72" t="e">
        <f>IF(OR($A72="",AA72=""),"",IF(ABS(AS72)&gt;2,16,""))</f>
      </c>
      <c r="BL72" t="e">
        <f>IF(OR($A72="",AB72=""),"",IF(ABS(AT72)&gt;1,17,""))</f>
      </c>
      <c r="BM72" t="e">
        <f>IF(OR($A72="",AC72=""),"",IF(ABS(AU72)&gt;0,18,""))</f>
      </c>
    </row>
    <row r="73">
      <c r="C73" t="str">
        <f>IF($A73="","",INDEX('Tournament Setup'!$J:$J,MATCH($A73,'Tournament Setup'!$A:$A,0)))</f>
        <v/>
      </c>
      <c r="D73" t="str">
        <f>IF($A73="","",INDEX('Tournament Setup'!$K:$K,MATCH($A73,'Tournament Setup'!$A:$A,0)))</f>
        <v/>
      </c>
      <c r="E73" t="str">
        <f>IF($A73="","",IF(COUNT(L73:AC73)=0,"Not played",IF(AND($K73&gt;0,$K73&lt;18),IF(INDEX(AD73:AU73,1,$K73)&gt;0,$C73,$D73)&amp;" "&amp;ABS(INDEX(AD73:AU73,1,$K73))&amp;"&amp;"&amp;(18-$K73),IF($J73=0,"Halved (AS)",IF($J73&gt;0,$C73,$D73)&amp;" "&amp;ABS($J73)&amp;" UP"))))</f>
        <v/>
      </c>
      <c r="F73" t="e">
        <f>IF(OR($A73="",COUNT(L73:AC73)=0),"",INDEX('Tournament Setup'!$I:$I,MATCH($A73,'Tournament Setup'!$A:$A,0))*IF(INDEX('Tournament Setup'!$H:$H,MATCH($A73,'Tournament Setup'!$A:$A,0))="Yes",IF($H73&gt;0,1,IF($H73=0,0.5,0))+IF($I73&gt;0,1,IF($I73=0,0.5,0))+IF($J73&gt;0,1,IF($J73=0,0.5,0)),IF(IF(AND($K73&gt;0,$K73&lt;18),INDEX(AD73:AU73,1,$K73),$J73)&gt;0,1,IF(IF(AND($K73&gt;0,$K73&lt;18),INDEX(AD73:AU73,1,$K73),$J73)=0,0.5,0))))</f>
      </c>
      <c r="G73" t="e">
        <f>IF(OR($A73="",COUNT(L73:AC73)=0),"",INDEX('Tournament Setup'!$I:$I,MATCH($A73,'Tournament Setup'!$A:$A,0))*IF(INDEX('Tournament Setup'!$H:$H,MATCH($A73,'Tournament Setup'!$A:$A,0))="Yes",IF($H73&lt;0,1,IF($H73=0,0.5,0))+IF($I73&lt;0,1,IF($I73=0,0.5,0))+IF($J73&lt;0,1,IF($J73=0,0.5,0)),IF(IF(AND($K73&gt;0,$K73&lt;18),INDEX(AD73:AU73,1,$K73),$J73)&lt;0,1,IF(IF(AND($K73&gt;0,$K73&lt;18),INDEX(AD73:AU73,1,$K73),$J73)=0,0.5,0))))</f>
      </c>
      <c r="H73" t="e">
        <f>IF($A73="","",SUM(L73:T73))</f>
      </c>
      <c r="I73" t="e">
        <f>IF($A73="","",SUM(U73:AC73))</f>
      </c>
      <c r="J73" t="e">
        <f>IF($A73="","",SUM(L73:AC73))</f>
      </c>
      <c r="K73" t="e">
        <f>IF($A73="","",MIN(AV73:BM73))</f>
      </c>
      <c r="L73" t="e">
        <f>IF($A73="","",IF(COUNTIFS('Player Rounds'!$A$2:$A$401,$A73,'Player Rounds'!$B$2:$B$401,$B73,'Player Rounds'!$F$2:$F$401,"&gt;0")=0,"",SIGN(_xlfn.MINIFS('Player Rounds'!$Z$2:$Z$401,'Player Rounds'!$A$2:$A$401,$A73,'Player Rounds'!$B$2:$B$401,$B73,'Player Rounds'!$C$2:$C$401,$D73)-_xlfn.MINIFS('Player Rounds'!$Z$2:$Z$401,'Player Rounds'!$A$2:$A$401,$A73,'Player Rounds'!$B$2:$B$401,$B73,'Player Rounds'!$C$2:$C$401,$C73))))</f>
      </c>
      <c r="M73" t="e">
        <f>IF($A73="","",IF(COUNTIFS('Player Rounds'!$A$2:$A$401,$A73,'Player Rounds'!$B$2:$B$401,$B73,'Player Rounds'!$G$2:$G$401,"&gt;0")=0,"",SIGN(_xlfn.MINIFS('Player Rounds'!$AA$2:$AA$401,'Player Rounds'!$A$2:$A$401,$A73,'Player Rounds'!$B$2:$B$401,$B73,'Player Rounds'!$C$2:$C$401,$D73)-_xlfn.MINIFS('Player Rounds'!$AA$2:$AA$401,'Player Rounds'!$A$2:$A$401,$A73,'Player Rounds'!$B$2:$B$401,$B73,'Player Rounds'!$C$2:$C$401,$C73))))</f>
      </c>
      <c r="N73" t="e">
        <f>IF($A73="","",IF(COUNTIFS('Player Rounds'!$A$2:$A$401,$A73,'Player Rounds'!$B$2:$B$401,$B73,'Player Rounds'!$H$2:$H$401,"&gt;0")=0,"",SIGN(_xlfn.MINIFS('Player Rounds'!$AB$2:$AB$401,'Player Rounds'!$A$2:$A$401,$A73,'Player Rounds'!$B$2:$B$401,$B73,'Player Rounds'!$C$2:$C$401,$D73)-_xlfn.MINIFS('Player Rounds'!$AB$2:$AB$401,'Player Rounds'!$A$2:$A$401,$A73,'Player Rounds'!$B$2:$B$401,$B73,'Player Rounds'!$C$2:$C$401,$C73))))</f>
      </c>
      <c r="O73" t="e">
        <f>IF($A73="","",IF(COUNTIFS('Player Rounds'!$A$2:$A$401,$A73,'Player Rounds'!$B$2:$B$401,$B73,'Player Rounds'!$I$2:$I$401,"&gt;0")=0,"",SIGN(_xlfn.MINIFS('Player Rounds'!$AC$2:$AC$401,'Player Rounds'!$A$2:$A$401,$A73,'Player Rounds'!$B$2:$B$401,$B73,'Player Rounds'!$C$2:$C$401,$D73)-_xlfn.MINIFS('Player Rounds'!$AC$2:$AC$401,'Player Rounds'!$A$2:$A$401,$A73,'Player Rounds'!$B$2:$B$401,$B73,'Player Rounds'!$C$2:$C$401,$C73))))</f>
      </c>
      <c r="P73" t="e">
        <f>IF($A73="","",IF(COUNTIFS('Player Rounds'!$A$2:$A$401,$A73,'Player Rounds'!$B$2:$B$401,$B73,'Player Rounds'!$J$2:$J$401,"&gt;0")=0,"",SIGN(_xlfn.MINIFS('Player Rounds'!$AD$2:$AD$401,'Player Rounds'!$A$2:$A$401,$A73,'Player Rounds'!$B$2:$B$401,$B73,'Player Rounds'!$C$2:$C$401,$D73)-_xlfn.MINIFS('Player Rounds'!$AD$2:$AD$401,'Player Rounds'!$A$2:$A$401,$A73,'Player Rounds'!$B$2:$B$401,$B73,'Player Rounds'!$C$2:$C$401,$C73))))</f>
      </c>
      <c r="Q73" t="e">
        <f>IF($A73="","",IF(COUNTIFS('Player Rounds'!$A$2:$A$401,$A73,'Player Rounds'!$B$2:$B$401,$B73,'Player Rounds'!$K$2:$K$401,"&gt;0")=0,"",SIGN(_xlfn.MINIFS('Player Rounds'!$AE$2:$AE$401,'Player Rounds'!$A$2:$A$401,$A73,'Player Rounds'!$B$2:$B$401,$B73,'Player Rounds'!$C$2:$C$401,$D73)-_xlfn.MINIFS('Player Rounds'!$AE$2:$AE$401,'Player Rounds'!$A$2:$A$401,$A73,'Player Rounds'!$B$2:$B$401,$B73,'Player Rounds'!$C$2:$C$401,$C73))))</f>
      </c>
      <c r="R73" t="e">
        <f>IF($A73="","",IF(COUNTIFS('Player Rounds'!$A$2:$A$401,$A73,'Player Rounds'!$B$2:$B$401,$B73,'Player Rounds'!$L$2:$L$401,"&gt;0")=0,"",SIGN(_xlfn.MINIFS('Player Rounds'!$AF$2:$AF$401,'Player Rounds'!$A$2:$A$401,$A73,'Player Rounds'!$B$2:$B$401,$B73,'Player Rounds'!$C$2:$C$401,$D73)-_xlfn.MINIFS('Player Rounds'!$AF$2:$AF$401,'Player Rounds'!$A$2:$A$401,$A73,'Player Rounds'!$B$2:$B$401,$B73,'Player Rounds'!$C$2:$C$401,$C73))))</f>
      </c>
      <c r="S73" t="e">
        <f>IF($A73="","",IF(COUNTIFS('Player Rounds'!$A$2:$A$401,$A73,'Player Rounds'!$B$2:$B$401,$B73,'Player Rounds'!$M$2:$M$401,"&gt;0")=0,"",SIGN(_xlfn.MINIFS('Player Rounds'!$AG$2:$AG$401,'Player Rounds'!$A$2:$A$401,$A73,'Player Rounds'!$B$2:$B$401,$B73,'Player Rounds'!$C$2:$C$401,$D73)-_xlfn.MINIFS('Player Rounds'!$AG$2:$AG$401,'Player Rounds'!$A$2:$A$401,$A73,'Player Rounds'!$B$2:$B$401,$B73,'Player Rounds'!$C$2:$C$401,$C73))))</f>
      </c>
      <c r="T73" t="e">
        <f>IF($A73="","",IF(COUNTIFS('Player Rounds'!$A$2:$A$401,$A73,'Player Rounds'!$B$2:$B$401,$B73,'Player Rounds'!$N$2:$N$401,"&gt;0")=0,"",SIGN(_xlfn.MINIFS('Player Rounds'!$AH$2:$AH$401,'Player Rounds'!$A$2:$A$401,$A73,'Player Rounds'!$B$2:$B$401,$B73,'Player Rounds'!$C$2:$C$401,$D73)-_xlfn.MINIFS('Player Rounds'!$AH$2:$AH$401,'Player Rounds'!$A$2:$A$401,$A73,'Player Rounds'!$B$2:$B$401,$B73,'Player Rounds'!$C$2:$C$401,$C73))))</f>
      </c>
      <c r="U73" t="e">
        <f>IF($A73="","",IF(COUNTIFS('Player Rounds'!$A$2:$A$401,$A73,'Player Rounds'!$B$2:$B$401,$B73,'Player Rounds'!$O$2:$O$401,"&gt;0")=0,"",SIGN(_xlfn.MINIFS('Player Rounds'!$AI$2:$AI$401,'Player Rounds'!$A$2:$A$401,$A73,'Player Rounds'!$B$2:$B$401,$B73,'Player Rounds'!$C$2:$C$401,$D73)-_xlfn.MINIFS('Player Rounds'!$AI$2:$AI$401,'Player Rounds'!$A$2:$A$401,$A73,'Player Rounds'!$B$2:$B$401,$B73,'Player Rounds'!$C$2:$C$401,$C73))))</f>
      </c>
      <c r="V73" t="e">
        <f>IF($A73="","",IF(COUNTIFS('Player Rounds'!$A$2:$A$401,$A73,'Player Rounds'!$B$2:$B$401,$B73,'Player Rounds'!$P$2:$P$401,"&gt;0")=0,"",SIGN(_xlfn.MINIFS('Player Rounds'!$AJ$2:$AJ$401,'Player Rounds'!$A$2:$A$401,$A73,'Player Rounds'!$B$2:$B$401,$B73,'Player Rounds'!$C$2:$C$401,$D73)-_xlfn.MINIFS('Player Rounds'!$AJ$2:$AJ$401,'Player Rounds'!$A$2:$A$401,$A73,'Player Rounds'!$B$2:$B$401,$B73,'Player Rounds'!$C$2:$C$401,$C73))))</f>
      </c>
      <c r="W73" t="e">
        <f>IF($A73="","",IF(COUNTIFS('Player Rounds'!$A$2:$A$401,$A73,'Player Rounds'!$B$2:$B$401,$B73,'Player Rounds'!$Q$2:$Q$401,"&gt;0")=0,"",SIGN(_xlfn.MINIFS('Player Rounds'!$AK$2:$AK$401,'Player Rounds'!$A$2:$A$401,$A73,'Player Rounds'!$B$2:$B$401,$B73,'Player Rounds'!$C$2:$C$401,$D73)-_xlfn.MINIFS('Player Rounds'!$AK$2:$AK$401,'Player Rounds'!$A$2:$A$401,$A73,'Player Rounds'!$B$2:$B$401,$B73,'Player Rounds'!$C$2:$C$401,$C73))))</f>
      </c>
      <c r="X73" t="e">
        <f>IF($A73="","",IF(COUNTIFS('Player Rounds'!$A$2:$A$401,$A73,'Player Rounds'!$B$2:$B$401,$B73,'Player Rounds'!$R$2:$R$401,"&gt;0")=0,"",SIGN(_xlfn.MINIFS('Player Rounds'!$AL$2:$AL$401,'Player Rounds'!$A$2:$A$401,$A73,'Player Rounds'!$B$2:$B$401,$B73,'Player Rounds'!$C$2:$C$401,$D73)-_xlfn.MINIFS('Player Rounds'!$AL$2:$AL$401,'Player Rounds'!$A$2:$A$401,$A73,'Player Rounds'!$B$2:$B$401,$B73,'Player Rounds'!$C$2:$C$401,$C73))))</f>
      </c>
      <c r="Y73" t="e">
        <f>IF($A73="","",IF(COUNTIFS('Player Rounds'!$A$2:$A$401,$A73,'Player Rounds'!$B$2:$B$401,$B73,'Player Rounds'!$S$2:$S$401,"&gt;0")=0,"",SIGN(_xlfn.MINIFS('Player Rounds'!$AM$2:$AM$401,'Player Rounds'!$A$2:$A$401,$A73,'Player Rounds'!$B$2:$B$401,$B73,'Player Rounds'!$C$2:$C$401,$D73)-_xlfn.MINIFS('Player Rounds'!$AM$2:$AM$401,'Player Rounds'!$A$2:$A$401,$A73,'Player Rounds'!$B$2:$B$401,$B73,'Player Rounds'!$C$2:$C$401,$C73))))</f>
      </c>
      <c r="Z73" t="e">
        <f>IF($A73="","",IF(COUNTIFS('Player Rounds'!$A$2:$A$401,$A73,'Player Rounds'!$B$2:$B$401,$B73,'Player Rounds'!$T$2:$T$401,"&gt;0")=0,"",SIGN(_xlfn.MINIFS('Player Rounds'!$AN$2:$AN$401,'Player Rounds'!$A$2:$A$401,$A73,'Player Rounds'!$B$2:$B$401,$B73,'Player Rounds'!$C$2:$C$401,$D73)-_xlfn.MINIFS('Player Rounds'!$AN$2:$AN$401,'Player Rounds'!$A$2:$A$401,$A73,'Player Rounds'!$B$2:$B$401,$B73,'Player Rounds'!$C$2:$C$401,$C73))))</f>
      </c>
      <c r="AA73" t="e">
        <f>IF($A73="","",IF(COUNTIFS('Player Rounds'!$A$2:$A$401,$A73,'Player Rounds'!$B$2:$B$401,$B73,'Player Rounds'!$U$2:$U$401,"&gt;0")=0,"",SIGN(_xlfn.MINIFS('Player Rounds'!$AO$2:$AO$401,'Player Rounds'!$A$2:$A$401,$A73,'Player Rounds'!$B$2:$B$401,$B73,'Player Rounds'!$C$2:$C$401,$D73)-_xlfn.MINIFS('Player Rounds'!$AO$2:$AO$401,'Player Rounds'!$A$2:$A$401,$A73,'Player Rounds'!$B$2:$B$401,$B73,'Player Rounds'!$C$2:$C$401,$C73))))</f>
      </c>
      <c r="AB73" t="e">
        <f>IF($A73="","",IF(COUNTIFS('Player Rounds'!$A$2:$A$401,$A73,'Player Rounds'!$B$2:$B$401,$B73,'Player Rounds'!$V$2:$V$401,"&gt;0")=0,"",SIGN(_xlfn.MINIFS('Player Rounds'!$AP$2:$AP$401,'Player Rounds'!$A$2:$A$401,$A73,'Player Rounds'!$B$2:$B$401,$B73,'Player Rounds'!$C$2:$C$401,$D73)-_xlfn.MINIFS('Player Rounds'!$AP$2:$AP$401,'Player Rounds'!$A$2:$A$401,$A73,'Player Rounds'!$B$2:$B$401,$B73,'Player Rounds'!$C$2:$C$401,$C73))))</f>
      </c>
      <c r="AC73" t="e">
        <f>IF($A73="","",IF(COUNTIFS('Player Rounds'!$A$2:$A$401,$A73,'Player Rounds'!$B$2:$B$401,$B73,'Player Rounds'!$W$2:$W$401,"&gt;0")=0,"",SIGN(_xlfn.MINIFS('Player Rounds'!$AQ$2:$AQ$401,'Player Rounds'!$A$2:$A$401,$A73,'Player Rounds'!$B$2:$B$401,$B73,'Player Rounds'!$C$2:$C$401,$D73)-_xlfn.MINIFS('Player Rounds'!$AQ$2:$AQ$401,'Player Rounds'!$A$2:$A$401,$A73,'Player Rounds'!$B$2:$B$401,$B73,'Player Rounds'!$C$2:$C$401,$C73))))</f>
      </c>
      <c r="AD73" t="e">
        <f>IF($A73="","",SUM($L73:L73))</f>
      </c>
      <c r="AE73" t="e">
        <f>IF($A73="","",SUM($L73:M73))</f>
      </c>
      <c r="AF73" t="e">
        <f>IF($A73="","",SUM($L73:N73))</f>
      </c>
      <c r="AG73" t="e">
        <f>IF($A73="","",SUM($L73:O73))</f>
      </c>
      <c r="AH73" t="e">
        <f>IF($A73="","",SUM($L73:P73))</f>
      </c>
      <c r="AI73" t="e">
        <f>IF($A73="","",SUM($L73:Q73))</f>
      </c>
      <c r="AJ73" t="e">
        <f>IF($A73="","",SUM($L73:R73))</f>
      </c>
      <c r="AK73" t="e">
        <f>IF($A73="","",SUM($L73:S73))</f>
      </c>
      <c r="AL73" t="e">
        <f>IF($A73="","",SUM($L73:T73))</f>
      </c>
      <c r="AM73" t="e">
        <f>IF($A73="","",SUM($L73:U73))</f>
      </c>
      <c r="AN73" t="e">
        <f>IF($A73="","",SUM($L73:V73))</f>
      </c>
      <c r="AO73" t="e">
        <f>IF($A73="","",SUM($L73:W73))</f>
      </c>
      <c r="AP73" t="e">
        <f>IF($A73="","",SUM($L73:X73))</f>
      </c>
      <c r="AQ73" t="e">
        <f>IF($A73="","",SUM($L73:Y73))</f>
      </c>
      <c r="AR73" t="e">
        <f>IF($A73="","",SUM($L73:Z73))</f>
      </c>
      <c r="AS73" t="e">
        <f>IF($A73="","",SUM($L73:AA73))</f>
      </c>
      <c r="AT73" t="e">
        <f>IF($A73="","",SUM($L73:AB73))</f>
      </c>
      <c r="AU73" t="e">
        <f>IF($A73="","",SUM($L73:AC73))</f>
      </c>
      <c r="AV73" t="e">
        <f>IF(OR($A73="",L73=""),"",IF(ABS(AD73)&gt;17,1,""))</f>
      </c>
      <c r="AW73" t="e">
        <f>IF(OR($A73="",M73=""),"",IF(ABS(AE73)&gt;16,2,""))</f>
      </c>
      <c r="AX73" t="e">
        <f>IF(OR($A73="",N73=""),"",IF(ABS(AF73)&gt;15,3,""))</f>
      </c>
      <c r="AY73" t="e">
        <f>IF(OR($A73="",O73=""),"",IF(ABS(AG73)&gt;14,4,""))</f>
      </c>
      <c r="AZ73" t="e">
        <f>IF(OR($A73="",P73=""),"",IF(ABS(AH73)&gt;13,5,""))</f>
      </c>
      <c r="BA73" t="e">
        <f>IF(OR($A73="",Q73=""),"",IF(ABS(AI73)&gt;12,6,""))</f>
      </c>
      <c r="BB73" t="e">
        <f>IF(OR($A73="",R73=""),"",IF(ABS(AJ73)&gt;11,7,""))</f>
      </c>
      <c r="BC73" t="e">
        <f>IF(OR($A73="",S73=""),"",IF(ABS(AK73)&gt;10,8,""))</f>
      </c>
      <c r="BD73" t="e">
        <f>IF(OR($A73="",T73=""),"",IF(ABS(AL73)&gt;9,9,""))</f>
      </c>
      <c r="BE73" t="e">
        <f>IF(OR($A73="",U73=""),"",IF(ABS(AM73)&gt;8,10,""))</f>
      </c>
      <c r="BF73" t="e">
        <f>IF(OR($A73="",V73=""),"",IF(ABS(AN73)&gt;7,11,""))</f>
      </c>
      <c r="BG73" t="e">
        <f>IF(OR($A73="",W73=""),"",IF(ABS(AO73)&gt;6,12,""))</f>
      </c>
      <c r="BH73" t="e">
        <f>IF(OR($A73="",X73=""),"",IF(ABS(AP73)&gt;5,13,""))</f>
      </c>
      <c r="BI73" t="e">
        <f>IF(OR($A73="",Y73=""),"",IF(ABS(AQ73)&gt;4,14,""))</f>
      </c>
      <c r="BJ73" t="e">
        <f>IF(OR($A73="",Z73=""),"",IF(ABS(AR73)&gt;3,15,""))</f>
      </c>
      <c r="BK73" t="e">
        <f>IF(OR($A73="",AA73=""),"",IF(ABS(AS73)&gt;2,16,""))</f>
      </c>
      <c r="BL73" t="e">
        <f>IF(OR($A73="",AB73=""),"",IF(ABS(AT73)&gt;1,17,""))</f>
      </c>
      <c r="BM73" t="e">
        <f>IF(OR($A73="",AC73=""),"",IF(ABS(AU73)&gt;0,18,""))</f>
      </c>
    </row>
    <row r="74">
      <c r="C74" t="str">
        <f>IF($A74="","",INDEX('Tournament Setup'!$J:$J,MATCH($A74,'Tournament Setup'!$A:$A,0)))</f>
        <v/>
      </c>
      <c r="D74" t="str">
        <f>IF($A74="","",INDEX('Tournament Setup'!$K:$K,MATCH($A74,'Tournament Setup'!$A:$A,0)))</f>
        <v/>
      </c>
      <c r="E74" t="str">
        <f>IF($A74="","",IF(COUNT(L74:AC74)=0,"Not played",IF(AND($K74&gt;0,$K74&lt;18),IF(INDEX(AD74:AU74,1,$K74)&gt;0,$C74,$D74)&amp;" "&amp;ABS(INDEX(AD74:AU74,1,$K74))&amp;"&amp;"&amp;(18-$K74),IF($J74=0,"Halved (AS)",IF($J74&gt;0,$C74,$D74)&amp;" "&amp;ABS($J74)&amp;" UP"))))</f>
        <v/>
      </c>
      <c r="F74" t="e">
        <f>IF(OR($A74="",COUNT(L74:AC74)=0),"",INDEX('Tournament Setup'!$I:$I,MATCH($A74,'Tournament Setup'!$A:$A,0))*IF(INDEX('Tournament Setup'!$H:$H,MATCH($A74,'Tournament Setup'!$A:$A,0))="Yes",IF($H74&gt;0,1,IF($H74=0,0.5,0))+IF($I74&gt;0,1,IF($I74=0,0.5,0))+IF($J74&gt;0,1,IF($J74=0,0.5,0)),IF(IF(AND($K74&gt;0,$K74&lt;18),INDEX(AD74:AU74,1,$K74),$J74)&gt;0,1,IF(IF(AND($K74&gt;0,$K74&lt;18),INDEX(AD74:AU74,1,$K74),$J74)=0,0.5,0))))</f>
      </c>
      <c r="G74" t="e">
        <f>IF(OR($A74="",COUNT(L74:AC74)=0),"",INDEX('Tournament Setup'!$I:$I,MATCH($A74,'Tournament Setup'!$A:$A,0))*IF(INDEX('Tournament Setup'!$H:$H,MATCH($A74,'Tournament Setup'!$A:$A,0))="Yes",IF($H74&lt;0,1,IF($H74=0,0.5,0))+IF($I74&lt;0,1,IF($I74=0,0.5,0))+IF($J74&lt;0,1,IF($J74=0,0.5,0)),IF(IF(AND($K74&gt;0,$K74&lt;18),INDEX(AD74:AU74,1,$K74),$J74)&lt;0,1,IF(IF(AND($K74&gt;0,$K74&lt;18),INDEX(AD74:AU74,1,$K74),$J74)=0,0.5,0))))</f>
      </c>
      <c r="H74" t="e">
        <f>IF($A74="","",SUM(L74:T74))</f>
      </c>
      <c r="I74" t="e">
        <f>IF($A74="","",SUM(U74:AC74))</f>
      </c>
      <c r="J74" t="e">
        <f>IF($A74="","",SUM(L74:AC74))</f>
      </c>
      <c r="K74" t="e">
        <f>IF($A74="","",MIN(AV74:BM74))</f>
      </c>
      <c r="L74" t="e">
        <f>IF($A74="","",IF(COUNTIFS('Player Rounds'!$A$2:$A$401,$A74,'Player Rounds'!$B$2:$B$401,$B74,'Player Rounds'!$F$2:$F$401,"&gt;0")=0,"",SIGN(_xlfn.MINIFS('Player Rounds'!$Z$2:$Z$401,'Player Rounds'!$A$2:$A$401,$A74,'Player Rounds'!$B$2:$B$401,$B74,'Player Rounds'!$C$2:$C$401,$D74)-_xlfn.MINIFS('Player Rounds'!$Z$2:$Z$401,'Player Rounds'!$A$2:$A$401,$A74,'Player Rounds'!$B$2:$B$401,$B74,'Player Rounds'!$C$2:$C$401,$C74))))</f>
      </c>
      <c r="M74" t="e">
        <f>IF($A74="","",IF(COUNTIFS('Player Rounds'!$A$2:$A$401,$A74,'Player Rounds'!$B$2:$B$401,$B74,'Player Rounds'!$G$2:$G$401,"&gt;0")=0,"",SIGN(_xlfn.MINIFS('Player Rounds'!$AA$2:$AA$401,'Player Rounds'!$A$2:$A$401,$A74,'Player Rounds'!$B$2:$B$401,$B74,'Player Rounds'!$C$2:$C$401,$D74)-_xlfn.MINIFS('Player Rounds'!$AA$2:$AA$401,'Player Rounds'!$A$2:$A$401,$A74,'Player Rounds'!$B$2:$B$401,$B74,'Player Rounds'!$C$2:$C$401,$C74))))</f>
      </c>
      <c r="N74" t="e">
        <f>IF($A74="","",IF(COUNTIFS('Player Rounds'!$A$2:$A$401,$A74,'Player Rounds'!$B$2:$B$401,$B74,'Player Rounds'!$H$2:$H$401,"&gt;0")=0,"",SIGN(_xlfn.MINIFS('Player Rounds'!$AB$2:$AB$401,'Player Rounds'!$A$2:$A$401,$A74,'Player Rounds'!$B$2:$B$401,$B74,'Player Rounds'!$C$2:$C$401,$D74)-_xlfn.MINIFS('Player Rounds'!$AB$2:$AB$401,'Player Rounds'!$A$2:$A$401,$A74,'Player Rounds'!$B$2:$B$401,$B74,'Player Rounds'!$C$2:$C$401,$C74))))</f>
      </c>
      <c r="O74" t="e">
        <f>IF($A74="","",IF(COUNTIFS('Player Rounds'!$A$2:$A$401,$A74,'Player Rounds'!$B$2:$B$401,$B74,'Player Rounds'!$I$2:$I$401,"&gt;0")=0,"",SIGN(_xlfn.MINIFS('Player Rounds'!$AC$2:$AC$401,'Player Rounds'!$A$2:$A$401,$A74,'Player Rounds'!$B$2:$B$401,$B74,'Player Rounds'!$C$2:$C$401,$D74)-_xlfn.MINIFS('Player Rounds'!$AC$2:$AC$401,'Player Rounds'!$A$2:$A$401,$A74,'Player Rounds'!$B$2:$B$401,$B74,'Player Rounds'!$C$2:$C$401,$C74))))</f>
      </c>
      <c r="P74" t="e">
        <f>IF($A74="","",IF(COUNTIFS('Player Rounds'!$A$2:$A$401,$A74,'Player Rounds'!$B$2:$B$401,$B74,'Player Rounds'!$J$2:$J$401,"&gt;0")=0,"",SIGN(_xlfn.MINIFS('Player Rounds'!$AD$2:$AD$401,'Player Rounds'!$A$2:$A$401,$A74,'Player Rounds'!$B$2:$B$401,$B74,'Player Rounds'!$C$2:$C$401,$D74)-_xlfn.MINIFS('Player Rounds'!$AD$2:$AD$401,'Player Rounds'!$A$2:$A$401,$A74,'Player Rounds'!$B$2:$B$401,$B74,'Player Rounds'!$C$2:$C$401,$C74))))</f>
      </c>
      <c r="Q74" t="e">
        <f>IF($A74="","",IF(COUNTIFS('Player Rounds'!$A$2:$A$401,$A74,'Player Rounds'!$B$2:$B$401,$B74,'Player Rounds'!$K$2:$K$401,"&gt;0")=0,"",SIGN(_xlfn.MINIFS('Player Rounds'!$AE$2:$AE$401,'Player Rounds'!$A$2:$A$401,$A74,'Player Rounds'!$B$2:$B$401,$B74,'Player Rounds'!$C$2:$C$401,$D74)-_xlfn.MINIFS('Player Rounds'!$AE$2:$AE$401,'Player Rounds'!$A$2:$A$401,$A74,'Player Rounds'!$B$2:$B$401,$B74,'Player Rounds'!$C$2:$C$401,$C74))))</f>
      </c>
      <c r="R74" t="e">
        <f>IF($A74="","",IF(COUNTIFS('Player Rounds'!$A$2:$A$401,$A74,'Player Rounds'!$B$2:$B$401,$B74,'Player Rounds'!$L$2:$L$401,"&gt;0")=0,"",SIGN(_xlfn.MINIFS('Player Rounds'!$AF$2:$AF$401,'Player Rounds'!$A$2:$A$401,$A74,'Player Rounds'!$B$2:$B$401,$B74,'Player Rounds'!$C$2:$C$401,$D74)-_xlfn.MINIFS('Player Rounds'!$AF$2:$AF$401,'Player Rounds'!$A$2:$A$401,$A74,'Player Rounds'!$B$2:$B$401,$B74,'Player Rounds'!$C$2:$C$401,$C74))))</f>
      </c>
      <c r="S74" t="e">
        <f>IF($A74="","",IF(COUNTIFS('Player Rounds'!$A$2:$A$401,$A74,'Player Rounds'!$B$2:$B$401,$B74,'Player Rounds'!$M$2:$M$401,"&gt;0")=0,"",SIGN(_xlfn.MINIFS('Player Rounds'!$AG$2:$AG$401,'Player Rounds'!$A$2:$A$401,$A74,'Player Rounds'!$B$2:$B$401,$B74,'Player Rounds'!$C$2:$C$401,$D74)-_xlfn.MINIFS('Player Rounds'!$AG$2:$AG$401,'Player Rounds'!$A$2:$A$401,$A74,'Player Rounds'!$B$2:$B$401,$B74,'Player Rounds'!$C$2:$C$401,$C74))))</f>
      </c>
      <c r="T74" t="e">
        <f>IF($A74="","",IF(COUNTIFS('Player Rounds'!$A$2:$A$401,$A74,'Player Rounds'!$B$2:$B$401,$B74,'Player Rounds'!$N$2:$N$401,"&gt;0")=0,"",SIGN(_xlfn.MINIFS('Player Rounds'!$AH$2:$AH$401,'Player Rounds'!$A$2:$A$401,$A74,'Player Rounds'!$B$2:$B$401,$B74,'Player Rounds'!$C$2:$C$401,$D74)-_xlfn.MINIFS('Player Rounds'!$AH$2:$AH$401,'Player Rounds'!$A$2:$A$401,$A74,'Player Rounds'!$B$2:$B$401,$B74,'Player Rounds'!$C$2:$C$401,$C74))))</f>
      </c>
      <c r="U74" t="e">
        <f>IF($A74="","",IF(COUNTIFS('Player Rounds'!$A$2:$A$401,$A74,'Player Rounds'!$B$2:$B$401,$B74,'Player Rounds'!$O$2:$O$401,"&gt;0")=0,"",SIGN(_xlfn.MINIFS('Player Rounds'!$AI$2:$AI$401,'Player Rounds'!$A$2:$A$401,$A74,'Player Rounds'!$B$2:$B$401,$B74,'Player Rounds'!$C$2:$C$401,$D74)-_xlfn.MINIFS('Player Rounds'!$AI$2:$AI$401,'Player Rounds'!$A$2:$A$401,$A74,'Player Rounds'!$B$2:$B$401,$B74,'Player Rounds'!$C$2:$C$401,$C74))))</f>
      </c>
      <c r="V74" t="e">
        <f>IF($A74="","",IF(COUNTIFS('Player Rounds'!$A$2:$A$401,$A74,'Player Rounds'!$B$2:$B$401,$B74,'Player Rounds'!$P$2:$P$401,"&gt;0")=0,"",SIGN(_xlfn.MINIFS('Player Rounds'!$AJ$2:$AJ$401,'Player Rounds'!$A$2:$A$401,$A74,'Player Rounds'!$B$2:$B$401,$B74,'Player Rounds'!$C$2:$C$401,$D74)-_xlfn.MINIFS('Player Rounds'!$AJ$2:$AJ$401,'Player Rounds'!$A$2:$A$401,$A74,'Player Rounds'!$B$2:$B$401,$B74,'Player Rounds'!$C$2:$C$401,$C74))))</f>
      </c>
      <c r="W74" t="e">
        <f>IF($A74="","",IF(COUNTIFS('Player Rounds'!$A$2:$A$401,$A74,'Player Rounds'!$B$2:$B$401,$B74,'Player Rounds'!$Q$2:$Q$401,"&gt;0")=0,"",SIGN(_xlfn.MINIFS('Player Rounds'!$AK$2:$AK$401,'Player Rounds'!$A$2:$A$401,$A74,'Player Rounds'!$B$2:$B$401,$B74,'Player Rounds'!$C$2:$C$401,$D74)-_xlfn.MINIFS('Player Rounds'!$AK$2:$AK$401,'Player Rounds'!$A$2:$A$401,$A74,'Player Rounds'!$B$2:$B$401,$B74,'Player Rounds'!$C$2:$C$401,$C74))))</f>
      </c>
      <c r="X74" t="e">
        <f>IF($A74="","",IF(COUNTIFS('Player Rounds'!$A$2:$A$401,$A74,'Player Rounds'!$B$2:$B$401,$B74,'Player Rounds'!$R$2:$R$401,"&gt;0")=0,"",SIGN(_xlfn.MINIFS('Player Rounds'!$AL$2:$AL$401,'Player Rounds'!$A$2:$A$401,$A74,'Player Rounds'!$B$2:$B$401,$B74,'Player Rounds'!$C$2:$C$401,$D74)-_xlfn.MINIFS('Player Rounds'!$AL$2:$AL$401,'Player Rounds'!$A$2:$A$401,$A74,'Player Rounds'!$B$2:$B$401,$B74,'Player Rounds'!$C$2:$C$401,$C74))))</f>
      </c>
      <c r="Y74" t="e">
        <f>IF($A74="","",IF(COUNTIFS('Player Rounds'!$A$2:$A$401,$A74,'Player Rounds'!$B$2:$B$401,$B74,'Player Rounds'!$S$2:$S$401,"&gt;0")=0,"",SIGN(_xlfn.MINIFS('Player Rounds'!$AM$2:$AM$401,'Player Rounds'!$A$2:$A$401,$A74,'Player Rounds'!$B$2:$B$401,$B74,'Player Rounds'!$C$2:$C$401,$D74)-_xlfn.MINIFS('Player Rounds'!$AM$2:$AM$401,'Player Rounds'!$A$2:$A$401,$A74,'Player Rounds'!$B$2:$B$401,$B74,'Player Rounds'!$C$2:$C$401,$C74))))</f>
      </c>
      <c r="Z74" t="e">
        <f>IF($A74="","",IF(COUNTIFS('Player Rounds'!$A$2:$A$401,$A74,'Player Rounds'!$B$2:$B$401,$B74,'Player Rounds'!$T$2:$T$401,"&gt;0")=0,"",SIGN(_xlfn.MINIFS('Player Rounds'!$AN$2:$AN$401,'Player Rounds'!$A$2:$A$401,$A74,'Player Rounds'!$B$2:$B$401,$B74,'Player Rounds'!$C$2:$C$401,$D74)-_xlfn.MINIFS('Player Rounds'!$AN$2:$AN$401,'Player Rounds'!$A$2:$A$401,$A74,'Player Rounds'!$B$2:$B$401,$B74,'Player Rounds'!$C$2:$C$401,$C74))))</f>
      </c>
      <c r="AA74" t="e">
        <f>IF($A74="","",IF(COUNTIFS('Player Rounds'!$A$2:$A$401,$A74,'Player Rounds'!$B$2:$B$401,$B74,'Player Rounds'!$U$2:$U$401,"&gt;0")=0,"",SIGN(_xlfn.MINIFS('Player Rounds'!$AO$2:$AO$401,'Player Rounds'!$A$2:$A$401,$A74,'Player Rounds'!$B$2:$B$401,$B74,'Player Rounds'!$C$2:$C$401,$D74)-_xlfn.MINIFS('Player Rounds'!$AO$2:$AO$401,'Player Rounds'!$A$2:$A$401,$A74,'Player Rounds'!$B$2:$B$401,$B74,'Player Rounds'!$C$2:$C$401,$C74))))</f>
      </c>
      <c r="AB74" t="e">
        <f>IF($A74="","",IF(COUNTIFS('Player Rounds'!$A$2:$A$401,$A74,'Player Rounds'!$B$2:$B$401,$B74,'Player Rounds'!$V$2:$V$401,"&gt;0")=0,"",SIGN(_xlfn.MINIFS('Player Rounds'!$AP$2:$AP$401,'Player Rounds'!$A$2:$A$401,$A74,'Player Rounds'!$B$2:$B$401,$B74,'Player Rounds'!$C$2:$C$401,$D74)-_xlfn.MINIFS('Player Rounds'!$AP$2:$AP$401,'Player Rounds'!$A$2:$A$401,$A74,'Player Rounds'!$B$2:$B$401,$B74,'Player Rounds'!$C$2:$C$401,$C74))))</f>
      </c>
      <c r="AC74" t="e">
        <f>IF($A74="","",IF(COUNTIFS('Player Rounds'!$A$2:$A$401,$A74,'Player Rounds'!$B$2:$B$401,$B74,'Player Rounds'!$W$2:$W$401,"&gt;0")=0,"",SIGN(_xlfn.MINIFS('Player Rounds'!$AQ$2:$AQ$401,'Player Rounds'!$A$2:$A$401,$A74,'Player Rounds'!$B$2:$B$401,$B74,'Player Rounds'!$C$2:$C$401,$D74)-_xlfn.MINIFS('Player Rounds'!$AQ$2:$AQ$401,'Player Rounds'!$A$2:$A$401,$A74,'Player Rounds'!$B$2:$B$401,$B74,'Player Rounds'!$C$2:$C$401,$C74))))</f>
      </c>
      <c r="AD74" t="e">
        <f>IF($A74="","",SUM($L74:L74))</f>
      </c>
      <c r="AE74" t="e">
        <f>IF($A74="","",SUM($L74:M74))</f>
      </c>
      <c r="AF74" t="e">
        <f>IF($A74="","",SUM($L74:N74))</f>
      </c>
      <c r="AG74" t="e">
        <f>IF($A74="","",SUM($L74:O74))</f>
      </c>
      <c r="AH74" t="e">
        <f>IF($A74="","",SUM($L74:P74))</f>
      </c>
      <c r="AI74" t="e">
        <f>IF($A74="","",SUM($L74:Q74))</f>
      </c>
      <c r="AJ74" t="e">
        <f>IF($A74="","",SUM($L74:R74))</f>
      </c>
      <c r="AK74" t="e">
        <f>IF($A74="","",SUM($L74:S74))</f>
      </c>
      <c r="AL74" t="e">
        <f>IF($A74="","",SUM($L74:T74))</f>
      </c>
      <c r="AM74" t="e">
        <f>IF($A74="","",SUM($L74:U74))</f>
      </c>
      <c r="AN74" t="e">
        <f>IF($A74="","",SUM($L74:V74))</f>
      </c>
      <c r="AO74" t="e">
        <f>IF($A74="","",SUM($L74:W74))</f>
      </c>
      <c r="AP74" t="e">
        <f>IF($A74="","",SUM($L74:X74))</f>
      </c>
      <c r="AQ74" t="e">
        <f>IF($A74="","",SUM($L74:Y74))</f>
      </c>
      <c r="AR74" t="e">
        <f>IF($A74="","",SUM($L74:Z74))</f>
      </c>
      <c r="AS74" t="e">
        <f>IF($A74="","",SUM($L74:AA74))</f>
      </c>
      <c r="AT74" t="e">
        <f>IF($A74="","",SUM($L74:AB74))</f>
      </c>
      <c r="AU74" t="e">
        <f>IF($A74="","",SUM($L74:AC74))</f>
      </c>
      <c r="AV74" t="e">
        <f>IF(OR($A74="",L74=""),"",IF(ABS(AD74)&gt;17,1,""))</f>
      </c>
      <c r="AW74" t="e">
        <f>IF(OR($A74="",M74=""),"",IF(ABS(AE74)&gt;16,2,""))</f>
      </c>
      <c r="AX74" t="e">
        <f>IF(OR($A74="",N74=""),"",IF(ABS(AF74)&gt;15,3,""))</f>
      </c>
      <c r="AY74" t="e">
        <f>IF(OR($A74="",O74=""),"",IF(ABS(AG74)&gt;14,4,""))</f>
      </c>
      <c r="AZ74" t="e">
        <f>IF(OR($A74="",P74=""),"",IF(ABS(AH74)&gt;13,5,""))</f>
      </c>
      <c r="BA74" t="e">
        <f>IF(OR($A74="",Q74=""),"",IF(ABS(AI74)&gt;12,6,""))</f>
      </c>
      <c r="BB74" t="e">
        <f>IF(OR($A74="",R74=""),"",IF(ABS(AJ74)&gt;11,7,""))</f>
      </c>
      <c r="BC74" t="e">
        <f>IF(OR($A74="",S74=""),"",IF(ABS(AK74)&gt;10,8,""))</f>
      </c>
      <c r="BD74" t="e">
        <f>IF(OR($A74="",T74=""),"",IF(ABS(AL74)&gt;9,9,""))</f>
      </c>
      <c r="BE74" t="e">
        <f>IF(OR($A74="",U74=""),"",IF(ABS(AM74)&gt;8,10,""))</f>
      </c>
      <c r="BF74" t="e">
        <f>IF(OR($A74="",V74=""),"",IF(ABS(AN74)&gt;7,11,""))</f>
      </c>
      <c r="BG74" t="e">
        <f>IF(OR($A74="",W74=""),"",IF(ABS(AO74)&gt;6,12,""))</f>
      </c>
      <c r="BH74" t="e">
        <f>IF(OR($A74="",X74=""),"",IF(ABS(AP74)&gt;5,13,""))</f>
      </c>
      <c r="BI74" t="e">
        <f>IF(OR($A74="",Y74=""),"",IF(ABS(AQ74)&gt;4,14,""))</f>
      </c>
      <c r="BJ74" t="e">
        <f>IF(OR($A74="",Z74=""),"",IF(ABS(AR74)&gt;3,15,""))</f>
      </c>
      <c r="BK74" t="e">
        <f>IF(OR($A74="",AA74=""),"",IF(ABS(AS74)&gt;2,16,""))</f>
      </c>
      <c r="BL74" t="e">
        <f>IF(OR($A74="",AB74=""),"",IF(ABS(AT74)&gt;1,17,""))</f>
      </c>
      <c r="BM74" t="e">
        <f>IF(OR($A74="",AC74=""),"",IF(ABS(AU74)&gt;0,18,""))</f>
      </c>
    </row>
    <row r="75">
      <c r="C75" t="str">
        <f>IF($A75="","",INDEX('Tournament Setup'!$J:$J,MATCH($A75,'Tournament Setup'!$A:$A,0)))</f>
        <v/>
      </c>
      <c r="D75" t="str">
        <f>IF($A75="","",INDEX('Tournament Setup'!$K:$K,MATCH($A75,'Tournament Setup'!$A:$A,0)))</f>
        <v/>
      </c>
      <c r="E75" t="str">
        <f>IF($A75="","",IF(COUNT(L75:AC75)=0,"Not played",IF(AND($K75&gt;0,$K75&lt;18),IF(INDEX(AD75:AU75,1,$K75)&gt;0,$C75,$D75)&amp;" "&amp;ABS(INDEX(AD75:AU75,1,$K75))&amp;"&amp;"&amp;(18-$K75),IF($J75=0,"Halved (AS)",IF($J75&gt;0,$C75,$D75)&amp;" "&amp;ABS($J75)&amp;" UP"))))</f>
        <v/>
      </c>
      <c r="F75" t="e">
        <f>IF(OR($A75="",COUNT(L75:AC75)=0),"",INDEX('Tournament Setup'!$I:$I,MATCH($A75,'Tournament Setup'!$A:$A,0))*IF(INDEX('Tournament Setup'!$H:$H,MATCH($A75,'Tournament Setup'!$A:$A,0))="Yes",IF($H75&gt;0,1,IF($H75=0,0.5,0))+IF($I75&gt;0,1,IF($I75=0,0.5,0))+IF($J75&gt;0,1,IF($J75=0,0.5,0)),IF(IF(AND($K75&gt;0,$K75&lt;18),INDEX(AD75:AU75,1,$K75),$J75)&gt;0,1,IF(IF(AND($K75&gt;0,$K75&lt;18),INDEX(AD75:AU75,1,$K75),$J75)=0,0.5,0))))</f>
      </c>
      <c r="G75" t="e">
        <f>IF(OR($A75="",COUNT(L75:AC75)=0),"",INDEX('Tournament Setup'!$I:$I,MATCH($A75,'Tournament Setup'!$A:$A,0))*IF(INDEX('Tournament Setup'!$H:$H,MATCH($A75,'Tournament Setup'!$A:$A,0))="Yes",IF($H75&lt;0,1,IF($H75=0,0.5,0))+IF($I75&lt;0,1,IF($I75=0,0.5,0))+IF($J75&lt;0,1,IF($J75=0,0.5,0)),IF(IF(AND($K75&gt;0,$K75&lt;18),INDEX(AD75:AU75,1,$K75),$J75)&lt;0,1,IF(IF(AND($K75&gt;0,$K75&lt;18),INDEX(AD75:AU75,1,$K75),$J75)=0,0.5,0))))</f>
      </c>
      <c r="H75" t="e">
        <f>IF($A75="","",SUM(L75:T75))</f>
      </c>
      <c r="I75" t="e">
        <f>IF($A75="","",SUM(U75:AC75))</f>
      </c>
      <c r="J75" t="e">
        <f>IF($A75="","",SUM(L75:AC75))</f>
      </c>
      <c r="K75" t="e">
        <f>IF($A75="","",MIN(AV75:BM75))</f>
      </c>
      <c r="L75" t="e">
        <f>IF($A75="","",IF(COUNTIFS('Player Rounds'!$A$2:$A$401,$A75,'Player Rounds'!$B$2:$B$401,$B75,'Player Rounds'!$F$2:$F$401,"&gt;0")=0,"",SIGN(_xlfn.MINIFS('Player Rounds'!$Z$2:$Z$401,'Player Rounds'!$A$2:$A$401,$A75,'Player Rounds'!$B$2:$B$401,$B75,'Player Rounds'!$C$2:$C$401,$D75)-_xlfn.MINIFS('Player Rounds'!$Z$2:$Z$401,'Player Rounds'!$A$2:$A$401,$A75,'Player Rounds'!$B$2:$B$401,$B75,'Player Rounds'!$C$2:$C$401,$C75))))</f>
      </c>
      <c r="M75" t="e">
        <f>IF($A75="","",IF(COUNTIFS('Player Rounds'!$A$2:$A$401,$A75,'Player Rounds'!$B$2:$B$401,$B75,'Player Rounds'!$G$2:$G$401,"&gt;0")=0,"",SIGN(_xlfn.MINIFS('Player Rounds'!$AA$2:$AA$401,'Player Rounds'!$A$2:$A$401,$A75,'Player Rounds'!$B$2:$B$401,$B75,'Player Rounds'!$C$2:$C$401,$D75)-_xlfn.MINIFS('Player Rounds'!$AA$2:$AA$401,'Player Rounds'!$A$2:$A$401,$A75,'Player Rounds'!$B$2:$B$401,$B75,'Player Rounds'!$C$2:$C$401,$C75))))</f>
      </c>
      <c r="N75" t="e">
        <f>IF($A75="","",IF(COUNTIFS('Player Rounds'!$A$2:$A$401,$A75,'Player Rounds'!$B$2:$B$401,$B75,'Player Rounds'!$H$2:$H$401,"&gt;0")=0,"",SIGN(_xlfn.MINIFS('Player Rounds'!$AB$2:$AB$401,'Player Rounds'!$A$2:$A$401,$A75,'Player Rounds'!$B$2:$B$401,$B75,'Player Rounds'!$C$2:$C$401,$D75)-_xlfn.MINIFS('Player Rounds'!$AB$2:$AB$401,'Player Rounds'!$A$2:$A$401,$A75,'Player Rounds'!$B$2:$B$401,$B75,'Player Rounds'!$C$2:$C$401,$C75))))</f>
      </c>
      <c r="O75" t="e">
        <f>IF($A75="","",IF(COUNTIFS('Player Rounds'!$A$2:$A$401,$A75,'Player Rounds'!$B$2:$B$401,$B75,'Player Rounds'!$I$2:$I$401,"&gt;0")=0,"",SIGN(_xlfn.MINIFS('Player Rounds'!$AC$2:$AC$401,'Player Rounds'!$A$2:$A$401,$A75,'Player Rounds'!$B$2:$B$401,$B75,'Player Rounds'!$C$2:$C$401,$D75)-_xlfn.MINIFS('Player Rounds'!$AC$2:$AC$401,'Player Rounds'!$A$2:$A$401,$A75,'Player Rounds'!$B$2:$B$401,$B75,'Player Rounds'!$C$2:$C$401,$C75))))</f>
      </c>
      <c r="P75" t="e">
        <f>IF($A75="","",IF(COUNTIFS('Player Rounds'!$A$2:$A$401,$A75,'Player Rounds'!$B$2:$B$401,$B75,'Player Rounds'!$J$2:$J$401,"&gt;0")=0,"",SIGN(_xlfn.MINIFS('Player Rounds'!$AD$2:$AD$401,'Player Rounds'!$A$2:$A$401,$A75,'Player Rounds'!$B$2:$B$401,$B75,'Player Rounds'!$C$2:$C$401,$D75)-_xlfn.MINIFS('Player Rounds'!$AD$2:$AD$401,'Player Rounds'!$A$2:$A$401,$A75,'Player Rounds'!$B$2:$B$401,$B75,'Player Rounds'!$C$2:$C$401,$C75))))</f>
      </c>
      <c r="Q75" t="e">
        <f>IF($A75="","",IF(COUNTIFS('Player Rounds'!$A$2:$A$401,$A75,'Player Rounds'!$B$2:$B$401,$B75,'Player Rounds'!$K$2:$K$401,"&gt;0")=0,"",SIGN(_xlfn.MINIFS('Player Rounds'!$AE$2:$AE$401,'Player Rounds'!$A$2:$A$401,$A75,'Player Rounds'!$B$2:$B$401,$B75,'Player Rounds'!$C$2:$C$401,$D75)-_xlfn.MINIFS('Player Rounds'!$AE$2:$AE$401,'Player Rounds'!$A$2:$A$401,$A75,'Player Rounds'!$B$2:$B$401,$B75,'Player Rounds'!$C$2:$C$401,$C75))))</f>
      </c>
      <c r="R75" t="e">
        <f>IF($A75="","",IF(COUNTIFS('Player Rounds'!$A$2:$A$401,$A75,'Player Rounds'!$B$2:$B$401,$B75,'Player Rounds'!$L$2:$L$401,"&gt;0")=0,"",SIGN(_xlfn.MINIFS('Player Rounds'!$AF$2:$AF$401,'Player Rounds'!$A$2:$A$401,$A75,'Player Rounds'!$B$2:$B$401,$B75,'Player Rounds'!$C$2:$C$401,$D75)-_xlfn.MINIFS('Player Rounds'!$AF$2:$AF$401,'Player Rounds'!$A$2:$A$401,$A75,'Player Rounds'!$B$2:$B$401,$B75,'Player Rounds'!$C$2:$C$401,$C75))))</f>
      </c>
      <c r="S75" t="e">
        <f>IF($A75="","",IF(COUNTIFS('Player Rounds'!$A$2:$A$401,$A75,'Player Rounds'!$B$2:$B$401,$B75,'Player Rounds'!$M$2:$M$401,"&gt;0")=0,"",SIGN(_xlfn.MINIFS('Player Rounds'!$AG$2:$AG$401,'Player Rounds'!$A$2:$A$401,$A75,'Player Rounds'!$B$2:$B$401,$B75,'Player Rounds'!$C$2:$C$401,$D75)-_xlfn.MINIFS('Player Rounds'!$AG$2:$AG$401,'Player Rounds'!$A$2:$A$401,$A75,'Player Rounds'!$B$2:$B$401,$B75,'Player Rounds'!$C$2:$C$401,$C75))))</f>
      </c>
      <c r="T75" t="e">
        <f>IF($A75="","",IF(COUNTIFS('Player Rounds'!$A$2:$A$401,$A75,'Player Rounds'!$B$2:$B$401,$B75,'Player Rounds'!$N$2:$N$401,"&gt;0")=0,"",SIGN(_xlfn.MINIFS('Player Rounds'!$AH$2:$AH$401,'Player Rounds'!$A$2:$A$401,$A75,'Player Rounds'!$B$2:$B$401,$B75,'Player Rounds'!$C$2:$C$401,$D75)-_xlfn.MINIFS('Player Rounds'!$AH$2:$AH$401,'Player Rounds'!$A$2:$A$401,$A75,'Player Rounds'!$B$2:$B$401,$B75,'Player Rounds'!$C$2:$C$401,$C75))))</f>
      </c>
      <c r="U75" t="e">
        <f>IF($A75="","",IF(COUNTIFS('Player Rounds'!$A$2:$A$401,$A75,'Player Rounds'!$B$2:$B$401,$B75,'Player Rounds'!$O$2:$O$401,"&gt;0")=0,"",SIGN(_xlfn.MINIFS('Player Rounds'!$AI$2:$AI$401,'Player Rounds'!$A$2:$A$401,$A75,'Player Rounds'!$B$2:$B$401,$B75,'Player Rounds'!$C$2:$C$401,$D75)-_xlfn.MINIFS('Player Rounds'!$AI$2:$AI$401,'Player Rounds'!$A$2:$A$401,$A75,'Player Rounds'!$B$2:$B$401,$B75,'Player Rounds'!$C$2:$C$401,$C75))))</f>
      </c>
      <c r="V75" t="e">
        <f>IF($A75="","",IF(COUNTIFS('Player Rounds'!$A$2:$A$401,$A75,'Player Rounds'!$B$2:$B$401,$B75,'Player Rounds'!$P$2:$P$401,"&gt;0")=0,"",SIGN(_xlfn.MINIFS('Player Rounds'!$AJ$2:$AJ$401,'Player Rounds'!$A$2:$A$401,$A75,'Player Rounds'!$B$2:$B$401,$B75,'Player Rounds'!$C$2:$C$401,$D75)-_xlfn.MINIFS('Player Rounds'!$AJ$2:$AJ$401,'Player Rounds'!$A$2:$A$401,$A75,'Player Rounds'!$B$2:$B$401,$B75,'Player Rounds'!$C$2:$C$401,$C75))))</f>
      </c>
      <c r="W75" t="e">
        <f>IF($A75="","",IF(COUNTIFS('Player Rounds'!$A$2:$A$401,$A75,'Player Rounds'!$B$2:$B$401,$B75,'Player Rounds'!$Q$2:$Q$401,"&gt;0")=0,"",SIGN(_xlfn.MINIFS('Player Rounds'!$AK$2:$AK$401,'Player Rounds'!$A$2:$A$401,$A75,'Player Rounds'!$B$2:$B$401,$B75,'Player Rounds'!$C$2:$C$401,$D75)-_xlfn.MINIFS('Player Rounds'!$AK$2:$AK$401,'Player Rounds'!$A$2:$A$401,$A75,'Player Rounds'!$B$2:$B$401,$B75,'Player Rounds'!$C$2:$C$401,$C75))))</f>
      </c>
      <c r="X75" t="e">
        <f>IF($A75="","",IF(COUNTIFS('Player Rounds'!$A$2:$A$401,$A75,'Player Rounds'!$B$2:$B$401,$B75,'Player Rounds'!$R$2:$R$401,"&gt;0")=0,"",SIGN(_xlfn.MINIFS('Player Rounds'!$AL$2:$AL$401,'Player Rounds'!$A$2:$A$401,$A75,'Player Rounds'!$B$2:$B$401,$B75,'Player Rounds'!$C$2:$C$401,$D75)-_xlfn.MINIFS('Player Rounds'!$AL$2:$AL$401,'Player Rounds'!$A$2:$A$401,$A75,'Player Rounds'!$B$2:$B$401,$B75,'Player Rounds'!$C$2:$C$401,$C75))))</f>
      </c>
      <c r="Y75" t="e">
        <f>IF($A75="","",IF(COUNTIFS('Player Rounds'!$A$2:$A$401,$A75,'Player Rounds'!$B$2:$B$401,$B75,'Player Rounds'!$S$2:$S$401,"&gt;0")=0,"",SIGN(_xlfn.MINIFS('Player Rounds'!$AM$2:$AM$401,'Player Rounds'!$A$2:$A$401,$A75,'Player Rounds'!$B$2:$B$401,$B75,'Player Rounds'!$C$2:$C$401,$D75)-_xlfn.MINIFS('Player Rounds'!$AM$2:$AM$401,'Player Rounds'!$A$2:$A$401,$A75,'Player Rounds'!$B$2:$B$401,$B75,'Player Rounds'!$C$2:$C$401,$C75))))</f>
      </c>
      <c r="Z75" t="e">
        <f>IF($A75="","",IF(COUNTIFS('Player Rounds'!$A$2:$A$401,$A75,'Player Rounds'!$B$2:$B$401,$B75,'Player Rounds'!$T$2:$T$401,"&gt;0")=0,"",SIGN(_xlfn.MINIFS('Player Rounds'!$AN$2:$AN$401,'Player Rounds'!$A$2:$A$401,$A75,'Player Rounds'!$B$2:$B$401,$B75,'Player Rounds'!$C$2:$C$401,$D75)-_xlfn.MINIFS('Player Rounds'!$AN$2:$AN$401,'Player Rounds'!$A$2:$A$401,$A75,'Player Rounds'!$B$2:$B$401,$B75,'Player Rounds'!$C$2:$C$401,$C75))))</f>
      </c>
      <c r="AA75" t="e">
        <f>IF($A75="","",IF(COUNTIFS('Player Rounds'!$A$2:$A$401,$A75,'Player Rounds'!$B$2:$B$401,$B75,'Player Rounds'!$U$2:$U$401,"&gt;0")=0,"",SIGN(_xlfn.MINIFS('Player Rounds'!$AO$2:$AO$401,'Player Rounds'!$A$2:$A$401,$A75,'Player Rounds'!$B$2:$B$401,$B75,'Player Rounds'!$C$2:$C$401,$D75)-_xlfn.MINIFS('Player Rounds'!$AO$2:$AO$401,'Player Rounds'!$A$2:$A$401,$A75,'Player Rounds'!$B$2:$B$401,$B75,'Player Rounds'!$C$2:$C$401,$C75))))</f>
      </c>
      <c r="AB75" t="e">
        <f>IF($A75="","",IF(COUNTIFS('Player Rounds'!$A$2:$A$401,$A75,'Player Rounds'!$B$2:$B$401,$B75,'Player Rounds'!$V$2:$V$401,"&gt;0")=0,"",SIGN(_xlfn.MINIFS('Player Rounds'!$AP$2:$AP$401,'Player Rounds'!$A$2:$A$401,$A75,'Player Rounds'!$B$2:$B$401,$B75,'Player Rounds'!$C$2:$C$401,$D75)-_xlfn.MINIFS('Player Rounds'!$AP$2:$AP$401,'Player Rounds'!$A$2:$A$401,$A75,'Player Rounds'!$B$2:$B$401,$B75,'Player Rounds'!$C$2:$C$401,$C75))))</f>
      </c>
      <c r="AC75" t="e">
        <f>IF($A75="","",IF(COUNTIFS('Player Rounds'!$A$2:$A$401,$A75,'Player Rounds'!$B$2:$B$401,$B75,'Player Rounds'!$W$2:$W$401,"&gt;0")=0,"",SIGN(_xlfn.MINIFS('Player Rounds'!$AQ$2:$AQ$401,'Player Rounds'!$A$2:$A$401,$A75,'Player Rounds'!$B$2:$B$401,$B75,'Player Rounds'!$C$2:$C$401,$D75)-_xlfn.MINIFS('Player Rounds'!$AQ$2:$AQ$401,'Player Rounds'!$A$2:$A$401,$A75,'Player Rounds'!$B$2:$B$401,$B75,'Player Rounds'!$C$2:$C$401,$C75))))</f>
      </c>
      <c r="AD75" t="e">
        <f>IF($A75="","",SUM($L75:L75))</f>
      </c>
      <c r="AE75" t="e">
        <f>IF($A75="","",SUM($L75:M75))</f>
      </c>
      <c r="AF75" t="e">
        <f>IF($A75="","",SUM($L75:N75))</f>
      </c>
      <c r="AG75" t="e">
        <f>IF($A75="","",SUM($L75:O75))</f>
      </c>
      <c r="AH75" t="e">
        <f>IF($A75="","",SUM($L75:P75))</f>
      </c>
      <c r="AI75" t="e">
        <f>IF($A75="","",SUM($L75:Q75))</f>
      </c>
      <c r="AJ75" t="e">
        <f>IF($A75="","",SUM($L75:R75))</f>
      </c>
      <c r="AK75" t="e">
        <f>IF($A75="","",SUM($L75:S75))</f>
      </c>
      <c r="AL75" t="e">
        <f>IF($A75="","",SUM($L75:T75))</f>
      </c>
      <c r="AM75" t="e">
        <f>IF($A75="","",SUM($L75:U75))</f>
      </c>
      <c r="AN75" t="e">
        <f>IF($A75="","",SUM($L75:V75))</f>
      </c>
      <c r="AO75" t="e">
        <f>IF($A75="","",SUM($L75:W75))</f>
      </c>
      <c r="AP75" t="e">
        <f>IF($A75="","",SUM($L75:X75))</f>
      </c>
      <c r="AQ75" t="e">
        <f>IF($A75="","",SUM($L75:Y75))</f>
      </c>
      <c r="AR75" t="e">
        <f>IF($A75="","",SUM($L75:Z75))</f>
      </c>
      <c r="AS75" t="e">
        <f>IF($A75="","",SUM($L75:AA75))</f>
      </c>
      <c r="AT75" t="e">
        <f>IF($A75="","",SUM($L75:AB75))</f>
      </c>
      <c r="AU75" t="e">
        <f>IF($A75="","",SUM($L75:AC75))</f>
      </c>
      <c r="AV75" t="e">
        <f>IF(OR($A75="",L75=""),"",IF(ABS(AD75)&gt;17,1,""))</f>
      </c>
      <c r="AW75" t="e">
        <f>IF(OR($A75="",M75=""),"",IF(ABS(AE75)&gt;16,2,""))</f>
      </c>
      <c r="AX75" t="e">
        <f>IF(OR($A75="",N75=""),"",IF(ABS(AF75)&gt;15,3,""))</f>
      </c>
      <c r="AY75" t="e">
        <f>IF(OR($A75="",O75=""),"",IF(ABS(AG75)&gt;14,4,""))</f>
      </c>
      <c r="AZ75" t="e">
        <f>IF(OR($A75="",P75=""),"",IF(ABS(AH75)&gt;13,5,""))</f>
      </c>
      <c r="BA75" t="e">
        <f>IF(OR($A75="",Q75=""),"",IF(ABS(AI75)&gt;12,6,""))</f>
      </c>
      <c r="BB75" t="e">
        <f>IF(OR($A75="",R75=""),"",IF(ABS(AJ75)&gt;11,7,""))</f>
      </c>
      <c r="BC75" t="e">
        <f>IF(OR($A75="",S75=""),"",IF(ABS(AK75)&gt;10,8,""))</f>
      </c>
      <c r="BD75" t="e">
        <f>IF(OR($A75="",T75=""),"",IF(ABS(AL75)&gt;9,9,""))</f>
      </c>
      <c r="BE75" t="e">
        <f>IF(OR($A75="",U75=""),"",IF(ABS(AM75)&gt;8,10,""))</f>
      </c>
      <c r="BF75" t="e">
        <f>IF(OR($A75="",V75=""),"",IF(ABS(AN75)&gt;7,11,""))</f>
      </c>
      <c r="BG75" t="e">
        <f>IF(OR($A75="",W75=""),"",IF(ABS(AO75)&gt;6,12,""))</f>
      </c>
      <c r="BH75" t="e">
        <f>IF(OR($A75="",X75=""),"",IF(ABS(AP75)&gt;5,13,""))</f>
      </c>
      <c r="BI75" t="e">
        <f>IF(OR($A75="",Y75=""),"",IF(ABS(AQ75)&gt;4,14,""))</f>
      </c>
      <c r="BJ75" t="e">
        <f>IF(OR($A75="",Z75=""),"",IF(ABS(AR75)&gt;3,15,""))</f>
      </c>
      <c r="BK75" t="e">
        <f>IF(OR($A75="",AA75=""),"",IF(ABS(AS75)&gt;2,16,""))</f>
      </c>
      <c r="BL75" t="e">
        <f>IF(OR($A75="",AB75=""),"",IF(ABS(AT75)&gt;1,17,""))</f>
      </c>
      <c r="BM75" t="e">
        <f>IF(OR($A75="",AC75=""),"",IF(ABS(AU75)&gt;0,18,""))</f>
      </c>
    </row>
    <row r="76">
      <c r="C76" t="str">
        <f>IF($A76="","",INDEX('Tournament Setup'!$J:$J,MATCH($A76,'Tournament Setup'!$A:$A,0)))</f>
        <v/>
      </c>
      <c r="D76" t="str">
        <f>IF($A76="","",INDEX('Tournament Setup'!$K:$K,MATCH($A76,'Tournament Setup'!$A:$A,0)))</f>
        <v/>
      </c>
      <c r="E76" t="str">
        <f>IF($A76="","",IF(COUNT(L76:AC76)=0,"Not played",IF(AND($K76&gt;0,$K76&lt;18),IF(INDEX(AD76:AU76,1,$K76)&gt;0,$C76,$D76)&amp;" "&amp;ABS(INDEX(AD76:AU76,1,$K76))&amp;"&amp;"&amp;(18-$K76),IF($J76=0,"Halved (AS)",IF($J76&gt;0,$C76,$D76)&amp;" "&amp;ABS($J76)&amp;" UP"))))</f>
        <v/>
      </c>
      <c r="F76" t="e">
        <f>IF(OR($A76="",COUNT(L76:AC76)=0),"",INDEX('Tournament Setup'!$I:$I,MATCH($A76,'Tournament Setup'!$A:$A,0))*IF(INDEX('Tournament Setup'!$H:$H,MATCH($A76,'Tournament Setup'!$A:$A,0))="Yes",IF($H76&gt;0,1,IF($H76=0,0.5,0))+IF($I76&gt;0,1,IF($I76=0,0.5,0))+IF($J76&gt;0,1,IF($J76=0,0.5,0)),IF(IF(AND($K76&gt;0,$K76&lt;18),INDEX(AD76:AU76,1,$K76),$J76)&gt;0,1,IF(IF(AND($K76&gt;0,$K76&lt;18),INDEX(AD76:AU76,1,$K76),$J76)=0,0.5,0))))</f>
      </c>
      <c r="G76" t="e">
        <f>IF(OR($A76="",COUNT(L76:AC76)=0),"",INDEX('Tournament Setup'!$I:$I,MATCH($A76,'Tournament Setup'!$A:$A,0))*IF(INDEX('Tournament Setup'!$H:$H,MATCH($A76,'Tournament Setup'!$A:$A,0))="Yes",IF($H76&lt;0,1,IF($H76=0,0.5,0))+IF($I76&lt;0,1,IF($I76=0,0.5,0))+IF($J76&lt;0,1,IF($J76=0,0.5,0)),IF(IF(AND($K76&gt;0,$K76&lt;18),INDEX(AD76:AU76,1,$K76),$J76)&lt;0,1,IF(IF(AND($K76&gt;0,$K76&lt;18),INDEX(AD76:AU76,1,$K76),$J76)=0,0.5,0))))</f>
      </c>
      <c r="H76" t="e">
        <f>IF($A76="","",SUM(L76:T76))</f>
      </c>
      <c r="I76" t="e">
        <f>IF($A76="","",SUM(U76:AC76))</f>
      </c>
      <c r="J76" t="e">
        <f>IF($A76="","",SUM(L76:AC76))</f>
      </c>
      <c r="K76" t="e">
        <f>IF($A76="","",MIN(AV76:BM76))</f>
      </c>
      <c r="L76" t="e">
        <f>IF($A76="","",IF(COUNTIFS('Player Rounds'!$A$2:$A$401,$A76,'Player Rounds'!$B$2:$B$401,$B76,'Player Rounds'!$F$2:$F$401,"&gt;0")=0,"",SIGN(_xlfn.MINIFS('Player Rounds'!$Z$2:$Z$401,'Player Rounds'!$A$2:$A$401,$A76,'Player Rounds'!$B$2:$B$401,$B76,'Player Rounds'!$C$2:$C$401,$D76)-_xlfn.MINIFS('Player Rounds'!$Z$2:$Z$401,'Player Rounds'!$A$2:$A$401,$A76,'Player Rounds'!$B$2:$B$401,$B76,'Player Rounds'!$C$2:$C$401,$C76))))</f>
      </c>
      <c r="M76" t="e">
        <f>IF($A76="","",IF(COUNTIFS('Player Rounds'!$A$2:$A$401,$A76,'Player Rounds'!$B$2:$B$401,$B76,'Player Rounds'!$G$2:$G$401,"&gt;0")=0,"",SIGN(_xlfn.MINIFS('Player Rounds'!$AA$2:$AA$401,'Player Rounds'!$A$2:$A$401,$A76,'Player Rounds'!$B$2:$B$401,$B76,'Player Rounds'!$C$2:$C$401,$D76)-_xlfn.MINIFS('Player Rounds'!$AA$2:$AA$401,'Player Rounds'!$A$2:$A$401,$A76,'Player Rounds'!$B$2:$B$401,$B76,'Player Rounds'!$C$2:$C$401,$C76))))</f>
      </c>
      <c r="N76" t="e">
        <f>IF($A76="","",IF(COUNTIFS('Player Rounds'!$A$2:$A$401,$A76,'Player Rounds'!$B$2:$B$401,$B76,'Player Rounds'!$H$2:$H$401,"&gt;0")=0,"",SIGN(_xlfn.MINIFS('Player Rounds'!$AB$2:$AB$401,'Player Rounds'!$A$2:$A$401,$A76,'Player Rounds'!$B$2:$B$401,$B76,'Player Rounds'!$C$2:$C$401,$D76)-_xlfn.MINIFS('Player Rounds'!$AB$2:$AB$401,'Player Rounds'!$A$2:$A$401,$A76,'Player Rounds'!$B$2:$B$401,$B76,'Player Rounds'!$C$2:$C$401,$C76))))</f>
      </c>
      <c r="O76" t="e">
        <f>IF($A76="","",IF(COUNTIFS('Player Rounds'!$A$2:$A$401,$A76,'Player Rounds'!$B$2:$B$401,$B76,'Player Rounds'!$I$2:$I$401,"&gt;0")=0,"",SIGN(_xlfn.MINIFS('Player Rounds'!$AC$2:$AC$401,'Player Rounds'!$A$2:$A$401,$A76,'Player Rounds'!$B$2:$B$401,$B76,'Player Rounds'!$C$2:$C$401,$D76)-_xlfn.MINIFS('Player Rounds'!$AC$2:$AC$401,'Player Rounds'!$A$2:$A$401,$A76,'Player Rounds'!$B$2:$B$401,$B76,'Player Rounds'!$C$2:$C$401,$C76))))</f>
      </c>
      <c r="P76" t="e">
        <f>IF($A76="","",IF(COUNTIFS('Player Rounds'!$A$2:$A$401,$A76,'Player Rounds'!$B$2:$B$401,$B76,'Player Rounds'!$J$2:$J$401,"&gt;0")=0,"",SIGN(_xlfn.MINIFS('Player Rounds'!$AD$2:$AD$401,'Player Rounds'!$A$2:$A$401,$A76,'Player Rounds'!$B$2:$B$401,$B76,'Player Rounds'!$C$2:$C$401,$D76)-_xlfn.MINIFS('Player Rounds'!$AD$2:$AD$401,'Player Rounds'!$A$2:$A$401,$A76,'Player Rounds'!$B$2:$B$401,$B76,'Player Rounds'!$C$2:$C$401,$C76))))</f>
      </c>
      <c r="Q76" t="e">
        <f>IF($A76="","",IF(COUNTIFS('Player Rounds'!$A$2:$A$401,$A76,'Player Rounds'!$B$2:$B$401,$B76,'Player Rounds'!$K$2:$K$401,"&gt;0")=0,"",SIGN(_xlfn.MINIFS('Player Rounds'!$AE$2:$AE$401,'Player Rounds'!$A$2:$A$401,$A76,'Player Rounds'!$B$2:$B$401,$B76,'Player Rounds'!$C$2:$C$401,$D76)-_xlfn.MINIFS('Player Rounds'!$AE$2:$AE$401,'Player Rounds'!$A$2:$A$401,$A76,'Player Rounds'!$B$2:$B$401,$B76,'Player Rounds'!$C$2:$C$401,$C76))))</f>
      </c>
      <c r="R76" t="e">
        <f>IF($A76="","",IF(COUNTIFS('Player Rounds'!$A$2:$A$401,$A76,'Player Rounds'!$B$2:$B$401,$B76,'Player Rounds'!$L$2:$L$401,"&gt;0")=0,"",SIGN(_xlfn.MINIFS('Player Rounds'!$AF$2:$AF$401,'Player Rounds'!$A$2:$A$401,$A76,'Player Rounds'!$B$2:$B$401,$B76,'Player Rounds'!$C$2:$C$401,$D76)-_xlfn.MINIFS('Player Rounds'!$AF$2:$AF$401,'Player Rounds'!$A$2:$A$401,$A76,'Player Rounds'!$B$2:$B$401,$B76,'Player Rounds'!$C$2:$C$401,$C76))))</f>
      </c>
      <c r="S76" t="e">
        <f>IF($A76="","",IF(COUNTIFS('Player Rounds'!$A$2:$A$401,$A76,'Player Rounds'!$B$2:$B$401,$B76,'Player Rounds'!$M$2:$M$401,"&gt;0")=0,"",SIGN(_xlfn.MINIFS('Player Rounds'!$AG$2:$AG$401,'Player Rounds'!$A$2:$A$401,$A76,'Player Rounds'!$B$2:$B$401,$B76,'Player Rounds'!$C$2:$C$401,$D76)-_xlfn.MINIFS('Player Rounds'!$AG$2:$AG$401,'Player Rounds'!$A$2:$A$401,$A76,'Player Rounds'!$B$2:$B$401,$B76,'Player Rounds'!$C$2:$C$401,$C76))))</f>
      </c>
      <c r="T76" t="e">
        <f>IF($A76="","",IF(COUNTIFS('Player Rounds'!$A$2:$A$401,$A76,'Player Rounds'!$B$2:$B$401,$B76,'Player Rounds'!$N$2:$N$401,"&gt;0")=0,"",SIGN(_xlfn.MINIFS('Player Rounds'!$AH$2:$AH$401,'Player Rounds'!$A$2:$A$401,$A76,'Player Rounds'!$B$2:$B$401,$B76,'Player Rounds'!$C$2:$C$401,$D76)-_xlfn.MINIFS('Player Rounds'!$AH$2:$AH$401,'Player Rounds'!$A$2:$A$401,$A76,'Player Rounds'!$B$2:$B$401,$B76,'Player Rounds'!$C$2:$C$401,$C76))))</f>
      </c>
      <c r="U76" t="e">
        <f>IF($A76="","",IF(COUNTIFS('Player Rounds'!$A$2:$A$401,$A76,'Player Rounds'!$B$2:$B$401,$B76,'Player Rounds'!$O$2:$O$401,"&gt;0")=0,"",SIGN(_xlfn.MINIFS('Player Rounds'!$AI$2:$AI$401,'Player Rounds'!$A$2:$A$401,$A76,'Player Rounds'!$B$2:$B$401,$B76,'Player Rounds'!$C$2:$C$401,$D76)-_xlfn.MINIFS('Player Rounds'!$AI$2:$AI$401,'Player Rounds'!$A$2:$A$401,$A76,'Player Rounds'!$B$2:$B$401,$B76,'Player Rounds'!$C$2:$C$401,$C76))))</f>
      </c>
      <c r="V76" t="e">
        <f>IF($A76="","",IF(COUNTIFS('Player Rounds'!$A$2:$A$401,$A76,'Player Rounds'!$B$2:$B$401,$B76,'Player Rounds'!$P$2:$P$401,"&gt;0")=0,"",SIGN(_xlfn.MINIFS('Player Rounds'!$AJ$2:$AJ$401,'Player Rounds'!$A$2:$A$401,$A76,'Player Rounds'!$B$2:$B$401,$B76,'Player Rounds'!$C$2:$C$401,$D76)-_xlfn.MINIFS('Player Rounds'!$AJ$2:$AJ$401,'Player Rounds'!$A$2:$A$401,$A76,'Player Rounds'!$B$2:$B$401,$B76,'Player Rounds'!$C$2:$C$401,$C76))))</f>
      </c>
      <c r="W76" t="e">
        <f>IF($A76="","",IF(COUNTIFS('Player Rounds'!$A$2:$A$401,$A76,'Player Rounds'!$B$2:$B$401,$B76,'Player Rounds'!$Q$2:$Q$401,"&gt;0")=0,"",SIGN(_xlfn.MINIFS('Player Rounds'!$AK$2:$AK$401,'Player Rounds'!$A$2:$A$401,$A76,'Player Rounds'!$B$2:$B$401,$B76,'Player Rounds'!$C$2:$C$401,$D76)-_xlfn.MINIFS('Player Rounds'!$AK$2:$AK$401,'Player Rounds'!$A$2:$A$401,$A76,'Player Rounds'!$B$2:$B$401,$B76,'Player Rounds'!$C$2:$C$401,$C76))))</f>
      </c>
      <c r="X76" t="e">
        <f>IF($A76="","",IF(COUNTIFS('Player Rounds'!$A$2:$A$401,$A76,'Player Rounds'!$B$2:$B$401,$B76,'Player Rounds'!$R$2:$R$401,"&gt;0")=0,"",SIGN(_xlfn.MINIFS('Player Rounds'!$AL$2:$AL$401,'Player Rounds'!$A$2:$A$401,$A76,'Player Rounds'!$B$2:$B$401,$B76,'Player Rounds'!$C$2:$C$401,$D76)-_xlfn.MINIFS('Player Rounds'!$AL$2:$AL$401,'Player Rounds'!$A$2:$A$401,$A76,'Player Rounds'!$B$2:$B$401,$B76,'Player Rounds'!$C$2:$C$401,$C76))))</f>
      </c>
      <c r="Y76" t="e">
        <f>IF($A76="","",IF(COUNTIFS('Player Rounds'!$A$2:$A$401,$A76,'Player Rounds'!$B$2:$B$401,$B76,'Player Rounds'!$S$2:$S$401,"&gt;0")=0,"",SIGN(_xlfn.MINIFS('Player Rounds'!$AM$2:$AM$401,'Player Rounds'!$A$2:$A$401,$A76,'Player Rounds'!$B$2:$B$401,$B76,'Player Rounds'!$C$2:$C$401,$D76)-_xlfn.MINIFS('Player Rounds'!$AM$2:$AM$401,'Player Rounds'!$A$2:$A$401,$A76,'Player Rounds'!$B$2:$B$401,$B76,'Player Rounds'!$C$2:$C$401,$C76))))</f>
      </c>
      <c r="Z76" t="e">
        <f>IF($A76="","",IF(COUNTIFS('Player Rounds'!$A$2:$A$401,$A76,'Player Rounds'!$B$2:$B$401,$B76,'Player Rounds'!$T$2:$T$401,"&gt;0")=0,"",SIGN(_xlfn.MINIFS('Player Rounds'!$AN$2:$AN$401,'Player Rounds'!$A$2:$A$401,$A76,'Player Rounds'!$B$2:$B$401,$B76,'Player Rounds'!$C$2:$C$401,$D76)-_xlfn.MINIFS('Player Rounds'!$AN$2:$AN$401,'Player Rounds'!$A$2:$A$401,$A76,'Player Rounds'!$B$2:$B$401,$B76,'Player Rounds'!$C$2:$C$401,$C76))))</f>
      </c>
      <c r="AA76" t="e">
        <f>IF($A76="","",IF(COUNTIFS('Player Rounds'!$A$2:$A$401,$A76,'Player Rounds'!$B$2:$B$401,$B76,'Player Rounds'!$U$2:$U$401,"&gt;0")=0,"",SIGN(_xlfn.MINIFS('Player Rounds'!$AO$2:$AO$401,'Player Rounds'!$A$2:$A$401,$A76,'Player Rounds'!$B$2:$B$401,$B76,'Player Rounds'!$C$2:$C$401,$D76)-_xlfn.MINIFS('Player Rounds'!$AO$2:$AO$401,'Player Rounds'!$A$2:$A$401,$A76,'Player Rounds'!$B$2:$B$401,$B76,'Player Rounds'!$C$2:$C$401,$C76))))</f>
      </c>
      <c r="AB76" t="e">
        <f>IF($A76="","",IF(COUNTIFS('Player Rounds'!$A$2:$A$401,$A76,'Player Rounds'!$B$2:$B$401,$B76,'Player Rounds'!$V$2:$V$401,"&gt;0")=0,"",SIGN(_xlfn.MINIFS('Player Rounds'!$AP$2:$AP$401,'Player Rounds'!$A$2:$A$401,$A76,'Player Rounds'!$B$2:$B$401,$B76,'Player Rounds'!$C$2:$C$401,$D76)-_xlfn.MINIFS('Player Rounds'!$AP$2:$AP$401,'Player Rounds'!$A$2:$A$401,$A76,'Player Rounds'!$B$2:$B$401,$B76,'Player Rounds'!$C$2:$C$401,$C76))))</f>
      </c>
      <c r="AC76" t="e">
        <f>IF($A76="","",IF(COUNTIFS('Player Rounds'!$A$2:$A$401,$A76,'Player Rounds'!$B$2:$B$401,$B76,'Player Rounds'!$W$2:$W$401,"&gt;0")=0,"",SIGN(_xlfn.MINIFS('Player Rounds'!$AQ$2:$AQ$401,'Player Rounds'!$A$2:$A$401,$A76,'Player Rounds'!$B$2:$B$401,$B76,'Player Rounds'!$C$2:$C$401,$D76)-_xlfn.MINIFS('Player Rounds'!$AQ$2:$AQ$401,'Player Rounds'!$A$2:$A$401,$A76,'Player Rounds'!$B$2:$B$401,$B76,'Player Rounds'!$C$2:$C$401,$C76))))</f>
      </c>
      <c r="AD76" t="e">
        <f>IF($A76="","",SUM($L76:L76))</f>
      </c>
      <c r="AE76" t="e">
        <f>IF($A76="","",SUM($L76:M76))</f>
      </c>
      <c r="AF76" t="e">
        <f>IF($A76="","",SUM($L76:N76))</f>
      </c>
      <c r="AG76" t="e">
        <f>IF($A76="","",SUM($L76:O76))</f>
      </c>
      <c r="AH76" t="e">
        <f>IF($A76="","",SUM($L76:P76))</f>
      </c>
      <c r="AI76" t="e">
        <f>IF($A76="","",SUM($L76:Q76))</f>
      </c>
      <c r="AJ76" t="e">
        <f>IF($A76="","",SUM($L76:R76))</f>
      </c>
      <c r="AK76" t="e">
        <f>IF($A76="","",SUM($L76:S76))</f>
      </c>
      <c r="AL76" t="e">
        <f>IF($A76="","",SUM($L76:T76))</f>
      </c>
      <c r="AM76" t="e">
        <f>IF($A76="","",SUM($L76:U76))</f>
      </c>
      <c r="AN76" t="e">
        <f>IF($A76="","",SUM($L76:V76))</f>
      </c>
      <c r="AO76" t="e">
        <f>IF($A76="","",SUM($L76:W76))</f>
      </c>
      <c r="AP76" t="e">
        <f>IF($A76="","",SUM($L76:X76))</f>
      </c>
      <c r="AQ76" t="e">
        <f>IF($A76="","",SUM($L76:Y76))</f>
      </c>
      <c r="AR76" t="e">
        <f>IF($A76="","",SUM($L76:Z76))</f>
      </c>
      <c r="AS76" t="e">
        <f>IF($A76="","",SUM($L76:AA76))</f>
      </c>
      <c r="AT76" t="e">
        <f>IF($A76="","",SUM($L76:AB76))</f>
      </c>
      <c r="AU76" t="e">
        <f>IF($A76="","",SUM($L76:AC76))</f>
      </c>
      <c r="AV76" t="e">
        <f>IF(OR($A76="",L76=""),"",IF(ABS(AD76)&gt;17,1,""))</f>
      </c>
      <c r="AW76" t="e">
        <f>IF(OR($A76="",M76=""),"",IF(ABS(AE76)&gt;16,2,""))</f>
      </c>
      <c r="AX76" t="e">
        <f>IF(OR($A76="",N76=""),"",IF(ABS(AF76)&gt;15,3,""))</f>
      </c>
      <c r="AY76" t="e">
        <f>IF(OR($A76="",O76=""),"",IF(ABS(AG76)&gt;14,4,""))</f>
      </c>
      <c r="AZ76" t="e">
        <f>IF(OR($A76="",P76=""),"",IF(ABS(AH76)&gt;13,5,""))</f>
      </c>
      <c r="BA76" t="e">
        <f>IF(OR($A76="",Q76=""),"",IF(ABS(AI76)&gt;12,6,""))</f>
      </c>
      <c r="BB76" t="e">
        <f>IF(OR($A76="",R76=""),"",IF(ABS(AJ76)&gt;11,7,""))</f>
      </c>
      <c r="BC76" t="e">
        <f>IF(OR($A76="",S76=""),"",IF(ABS(AK76)&gt;10,8,""))</f>
      </c>
      <c r="BD76" t="e">
        <f>IF(OR($A76="",T76=""),"",IF(ABS(AL76)&gt;9,9,""))</f>
      </c>
      <c r="BE76" t="e">
        <f>IF(OR($A76="",U76=""),"",IF(ABS(AM76)&gt;8,10,""))</f>
      </c>
      <c r="BF76" t="e">
        <f>IF(OR($A76="",V76=""),"",IF(ABS(AN76)&gt;7,11,""))</f>
      </c>
      <c r="BG76" t="e">
        <f>IF(OR($A76="",W76=""),"",IF(ABS(AO76)&gt;6,12,""))</f>
      </c>
      <c r="BH76" t="e">
        <f>IF(OR($A76="",X76=""),"",IF(ABS(AP76)&gt;5,13,""))</f>
      </c>
      <c r="BI76" t="e">
        <f>IF(OR($A76="",Y76=""),"",IF(ABS(AQ76)&gt;4,14,""))</f>
      </c>
      <c r="BJ76" t="e">
        <f>IF(OR($A76="",Z76=""),"",IF(ABS(AR76)&gt;3,15,""))</f>
      </c>
      <c r="BK76" t="e">
        <f>IF(OR($A76="",AA76=""),"",IF(ABS(AS76)&gt;2,16,""))</f>
      </c>
      <c r="BL76" t="e">
        <f>IF(OR($A76="",AB76=""),"",IF(ABS(AT76)&gt;1,17,""))</f>
      </c>
      <c r="BM76" t="e">
        <f>IF(OR($A76="",AC76=""),"",IF(ABS(AU76)&gt;0,18,""))</f>
      </c>
    </row>
    <row r="77">
      <c r="C77" t="str">
        <f>IF($A77="","",INDEX('Tournament Setup'!$J:$J,MATCH($A77,'Tournament Setup'!$A:$A,0)))</f>
        <v/>
      </c>
      <c r="D77" t="str">
        <f>IF($A77="","",INDEX('Tournament Setup'!$K:$K,MATCH($A77,'Tournament Setup'!$A:$A,0)))</f>
        <v/>
      </c>
      <c r="E77" t="str">
        <f>IF($A77="","",IF(COUNT(L77:AC77)=0,"Not played",IF(AND($K77&gt;0,$K77&lt;18),IF(INDEX(AD77:AU77,1,$K77)&gt;0,$C77,$D77)&amp;" "&amp;ABS(INDEX(AD77:AU77,1,$K77))&amp;"&amp;"&amp;(18-$K77),IF($J77=0,"Halved (AS)",IF($J77&gt;0,$C77,$D77)&amp;" "&amp;ABS($J77)&amp;" UP"))))</f>
        <v/>
      </c>
      <c r="F77" t="e">
        <f>IF(OR($A77="",COUNT(L77:AC77)=0),"",INDEX('Tournament Setup'!$I:$I,MATCH($A77,'Tournament Setup'!$A:$A,0))*IF(INDEX('Tournament Setup'!$H:$H,MATCH($A77,'Tournament Setup'!$A:$A,0))="Yes",IF($H77&gt;0,1,IF($H77=0,0.5,0))+IF($I77&gt;0,1,IF($I77=0,0.5,0))+IF($J77&gt;0,1,IF($J77=0,0.5,0)),IF(IF(AND($K77&gt;0,$K77&lt;18),INDEX(AD77:AU77,1,$K77),$J77)&gt;0,1,IF(IF(AND($K77&gt;0,$K77&lt;18),INDEX(AD77:AU77,1,$K77),$J77)=0,0.5,0))))</f>
      </c>
      <c r="G77" t="e">
        <f>IF(OR($A77="",COUNT(L77:AC77)=0),"",INDEX('Tournament Setup'!$I:$I,MATCH($A77,'Tournament Setup'!$A:$A,0))*IF(INDEX('Tournament Setup'!$H:$H,MATCH($A77,'Tournament Setup'!$A:$A,0))="Yes",IF($H77&lt;0,1,IF($H77=0,0.5,0))+IF($I77&lt;0,1,IF($I77=0,0.5,0))+IF($J77&lt;0,1,IF($J77=0,0.5,0)),IF(IF(AND($K77&gt;0,$K77&lt;18),INDEX(AD77:AU77,1,$K77),$J77)&lt;0,1,IF(IF(AND($K77&gt;0,$K77&lt;18),INDEX(AD77:AU77,1,$K77),$J77)=0,0.5,0))))</f>
      </c>
      <c r="H77" t="e">
        <f>IF($A77="","",SUM(L77:T77))</f>
      </c>
      <c r="I77" t="e">
        <f>IF($A77="","",SUM(U77:AC77))</f>
      </c>
      <c r="J77" t="e">
        <f>IF($A77="","",SUM(L77:AC77))</f>
      </c>
      <c r="K77" t="e">
        <f>IF($A77="","",MIN(AV77:BM77))</f>
      </c>
      <c r="L77" t="e">
        <f>IF($A77="","",IF(COUNTIFS('Player Rounds'!$A$2:$A$401,$A77,'Player Rounds'!$B$2:$B$401,$B77,'Player Rounds'!$F$2:$F$401,"&gt;0")=0,"",SIGN(_xlfn.MINIFS('Player Rounds'!$Z$2:$Z$401,'Player Rounds'!$A$2:$A$401,$A77,'Player Rounds'!$B$2:$B$401,$B77,'Player Rounds'!$C$2:$C$401,$D77)-_xlfn.MINIFS('Player Rounds'!$Z$2:$Z$401,'Player Rounds'!$A$2:$A$401,$A77,'Player Rounds'!$B$2:$B$401,$B77,'Player Rounds'!$C$2:$C$401,$C77))))</f>
      </c>
      <c r="M77" t="e">
        <f>IF($A77="","",IF(COUNTIFS('Player Rounds'!$A$2:$A$401,$A77,'Player Rounds'!$B$2:$B$401,$B77,'Player Rounds'!$G$2:$G$401,"&gt;0")=0,"",SIGN(_xlfn.MINIFS('Player Rounds'!$AA$2:$AA$401,'Player Rounds'!$A$2:$A$401,$A77,'Player Rounds'!$B$2:$B$401,$B77,'Player Rounds'!$C$2:$C$401,$D77)-_xlfn.MINIFS('Player Rounds'!$AA$2:$AA$401,'Player Rounds'!$A$2:$A$401,$A77,'Player Rounds'!$B$2:$B$401,$B77,'Player Rounds'!$C$2:$C$401,$C77))))</f>
      </c>
      <c r="N77" t="e">
        <f>IF($A77="","",IF(COUNTIFS('Player Rounds'!$A$2:$A$401,$A77,'Player Rounds'!$B$2:$B$401,$B77,'Player Rounds'!$H$2:$H$401,"&gt;0")=0,"",SIGN(_xlfn.MINIFS('Player Rounds'!$AB$2:$AB$401,'Player Rounds'!$A$2:$A$401,$A77,'Player Rounds'!$B$2:$B$401,$B77,'Player Rounds'!$C$2:$C$401,$D77)-_xlfn.MINIFS('Player Rounds'!$AB$2:$AB$401,'Player Rounds'!$A$2:$A$401,$A77,'Player Rounds'!$B$2:$B$401,$B77,'Player Rounds'!$C$2:$C$401,$C77))))</f>
      </c>
      <c r="O77" t="e">
        <f>IF($A77="","",IF(COUNTIFS('Player Rounds'!$A$2:$A$401,$A77,'Player Rounds'!$B$2:$B$401,$B77,'Player Rounds'!$I$2:$I$401,"&gt;0")=0,"",SIGN(_xlfn.MINIFS('Player Rounds'!$AC$2:$AC$401,'Player Rounds'!$A$2:$A$401,$A77,'Player Rounds'!$B$2:$B$401,$B77,'Player Rounds'!$C$2:$C$401,$D77)-_xlfn.MINIFS('Player Rounds'!$AC$2:$AC$401,'Player Rounds'!$A$2:$A$401,$A77,'Player Rounds'!$B$2:$B$401,$B77,'Player Rounds'!$C$2:$C$401,$C77))))</f>
      </c>
      <c r="P77" t="e">
        <f>IF($A77="","",IF(COUNTIFS('Player Rounds'!$A$2:$A$401,$A77,'Player Rounds'!$B$2:$B$401,$B77,'Player Rounds'!$J$2:$J$401,"&gt;0")=0,"",SIGN(_xlfn.MINIFS('Player Rounds'!$AD$2:$AD$401,'Player Rounds'!$A$2:$A$401,$A77,'Player Rounds'!$B$2:$B$401,$B77,'Player Rounds'!$C$2:$C$401,$D77)-_xlfn.MINIFS('Player Rounds'!$AD$2:$AD$401,'Player Rounds'!$A$2:$A$401,$A77,'Player Rounds'!$B$2:$B$401,$B77,'Player Rounds'!$C$2:$C$401,$C77))))</f>
      </c>
      <c r="Q77" t="e">
        <f>IF($A77="","",IF(COUNTIFS('Player Rounds'!$A$2:$A$401,$A77,'Player Rounds'!$B$2:$B$401,$B77,'Player Rounds'!$K$2:$K$401,"&gt;0")=0,"",SIGN(_xlfn.MINIFS('Player Rounds'!$AE$2:$AE$401,'Player Rounds'!$A$2:$A$401,$A77,'Player Rounds'!$B$2:$B$401,$B77,'Player Rounds'!$C$2:$C$401,$D77)-_xlfn.MINIFS('Player Rounds'!$AE$2:$AE$401,'Player Rounds'!$A$2:$A$401,$A77,'Player Rounds'!$B$2:$B$401,$B77,'Player Rounds'!$C$2:$C$401,$C77))))</f>
      </c>
      <c r="R77" t="e">
        <f>IF($A77="","",IF(COUNTIFS('Player Rounds'!$A$2:$A$401,$A77,'Player Rounds'!$B$2:$B$401,$B77,'Player Rounds'!$L$2:$L$401,"&gt;0")=0,"",SIGN(_xlfn.MINIFS('Player Rounds'!$AF$2:$AF$401,'Player Rounds'!$A$2:$A$401,$A77,'Player Rounds'!$B$2:$B$401,$B77,'Player Rounds'!$C$2:$C$401,$D77)-_xlfn.MINIFS('Player Rounds'!$AF$2:$AF$401,'Player Rounds'!$A$2:$A$401,$A77,'Player Rounds'!$B$2:$B$401,$B77,'Player Rounds'!$C$2:$C$401,$C77))))</f>
      </c>
      <c r="S77" t="e">
        <f>IF($A77="","",IF(COUNTIFS('Player Rounds'!$A$2:$A$401,$A77,'Player Rounds'!$B$2:$B$401,$B77,'Player Rounds'!$M$2:$M$401,"&gt;0")=0,"",SIGN(_xlfn.MINIFS('Player Rounds'!$AG$2:$AG$401,'Player Rounds'!$A$2:$A$401,$A77,'Player Rounds'!$B$2:$B$401,$B77,'Player Rounds'!$C$2:$C$401,$D77)-_xlfn.MINIFS('Player Rounds'!$AG$2:$AG$401,'Player Rounds'!$A$2:$A$401,$A77,'Player Rounds'!$B$2:$B$401,$B77,'Player Rounds'!$C$2:$C$401,$C77))))</f>
      </c>
      <c r="T77" t="e">
        <f>IF($A77="","",IF(COUNTIFS('Player Rounds'!$A$2:$A$401,$A77,'Player Rounds'!$B$2:$B$401,$B77,'Player Rounds'!$N$2:$N$401,"&gt;0")=0,"",SIGN(_xlfn.MINIFS('Player Rounds'!$AH$2:$AH$401,'Player Rounds'!$A$2:$A$401,$A77,'Player Rounds'!$B$2:$B$401,$B77,'Player Rounds'!$C$2:$C$401,$D77)-_xlfn.MINIFS('Player Rounds'!$AH$2:$AH$401,'Player Rounds'!$A$2:$A$401,$A77,'Player Rounds'!$B$2:$B$401,$B77,'Player Rounds'!$C$2:$C$401,$C77))))</f>
      </c>
      <c r="U77" t="e">
        <f>IF($A77="","",IF(COUNTIFS('Player Rounds'!$A$2:$A$401,$A77,'Player Rounds'!$B$2:$B$401,$B77,'Player Rounds'!$O$2:$O$401,"&gt;0")=0,"",SIGN(_xlfn.MINIFS('Player Rounds'!$AI$2:$AI$401,'Player Rounds'!$A$2:$A$401,$A77,'Player Rounds'!$B$2:$B$401,$B77,'Player Rounds'!$C$2:$C$401,$D77)-_xlfn.MINIFS('Player Rounds'!$AI$2:$AI$401,'Player Rounds'!$A$2:$A$401,$A77,'Player Rounds'!$B$2:$B$401,$B77,'Player Rounds'!$C$2:$C$401,$C77))))</f>
      </c>
      <c r="V77" t="e">
        <f>IF($A77="","",IF(COUNTIFS('Player Rounds'!$A$2:$A$401,$A77,'Player Rounds'!$B$2:$B$401,$B77,'Player Rounds'!$P$2:$P$401,"&gt;0")=0,"",SIGN(_xlfn.MINIFS('Player Rounds'!$AJ$2:$AJ$401,'Player Rounds'!$A$2:$A$401,$A77,'Player Rounds'!$B$2:$B$401,$B77,'Player Rounds'!$C$2:$C$401,$D77)-_xlfn.MINIFS('Player Rounds'!$AJ$2:$AJ$401,'Player Rounds'!$A$2:$A$401,$A77,'Player Rounds'!$B$2:$B$401,$B77,'Player Rounds'!$C$2:$C$401,$C77))))</f>
      </c>
      <c r="W77" t="e">
        <f>IF($A77="","",IF(COUNTIFS('Player Rounds'!$A$2:$A$401,$A77,'Player Rounds'!$B$2:$B$401,$B77,'Player Rounds'!$Q$2:$Q$401,"&gt;0")=0,"",SIGN(_xlfn.MINIFS('Player Rounds'!$AK$2:$AK$401,'Player Rounds'!$A$2:$A$401,$A77,'Player Rounds'!$B$2:$B$401,$B77,'Player Rounds'!$C$2:$C$401,$D77)-_xlfn.MINIFS('Player Rounds'!$AK$2:$AK$401,'Player Rounds'!$A$2:$A$401,$A77,'Player Rounds'!$B$2:$B$401,$B77,'Player Rounds'!$C$2:$C$401,$C77))))</f>
      </c>
      <c r="X77" t="e">
        <f>IF($A77="","",IF(COUNTIFS('Player Rounds'!$A$2:$A$401,$A77,'Player Rounds'!$B$2:$B$401,$B77,'Player Rounds'!$R$2:$R$401,"&gt;0")=0,"",SIGN(_xlfn.MINIFS('Player Rounds'!$AL$2:$AL$401,'Player Rounds'!$A$2:$A$401,$A77,'Player Rounds'!$B$2:$B$401,$B77,'Player Rounds'!$C$2:$C$401,$D77)-_xlfn.MINIFS('Player Rounds'!$AL$2:$AL$401,'Player Rounds'!$A$2:$A$401,$A77,'Player Rounds'!$B$2:$B$401,$B77,'Player Rounds'!$C$2:$C$401,$C77))))</f>
      </c>
      <c r="Y77" t="e">
        <f>IF($A77="","",IF(COUNTIFS('Player Rounds'!$A$2:$A$401,$A77,'Player Rounds'!$B$2:$B$401,$B77,'Player Rounds'!$S$2:$S$401,"&gt;0")=0,"",SIGN(_xlfn.MINIFS('Player Rounds'!$AM$2:$AM$401,'Player Rounds'!$A$2:$A$401,$A77,'Player Rounds'!$B$2:$B$401,$B77,'Player Rounds'!$C$2:$C$401,$D77)-_xlfn.MINIFS('Player Rounds'!$AM$2:$AM$401,'Player Rounds'!$A$2:$A$401,$A77,'Player Rounds'!$B$2:$B$401,$B77,'Player Rounds'!$C$2:$C$401,$C77))))</f>
      </c>
      <c r="Z77" t="e">
        <f>IF($A77="","",IF(COUNTIFS('Player Rounds'!$A$2:$A$401,$A77,'Player Rounds'!$B$2:$B$401,$B77,'Player Rounds'!$T$2:$T$401,"&gt;0")=0,"",SIGN(_xlfn.MINIFS('Player Rounds'!$AN$2:$AN$401,'Player Rounds'!$A$2:$A$401,$A77,'Player Rounds'!$B$2:$B$401,$B77,'Player Rounds'!$C$2:$C$401,$D77)-_xlfn.MINIFS('Player Rounds'!$AN$2:$AN$401,'Player Rounds'!$A$2:$A$401,$A77,'Player Rounds'!$B$2:$B$401,$B77,'Player Rounds'!$C$2:$C$401,$C77))))</f>
      </c>
      <c r="AA77" t="e">
        <f>IF($A77="","",IF(COUNTIFS('Player Rounds'!$A$2:$A$401,$A77,'Player Rounds'!$B$2:$B$401,$B77,'Player Rounds'!$U$2:$U$401,"&gt;0")=0,"",SIGN(_xlfn.MINIFS('Player Rounds'!$AO$2:$AO$401,'Player Rounds'!$A$2:$A$401,$A77,'Player Rounds'!$B$2:$B$401,$B77,'Player Rounds'!$C$2:$C$401,$D77)-_xlfn.MINIFS('Player Rounds'!$AO$2:$AO$401,'Player Rounds'!$A$2:$A$401,$A77,'Player Rounds'!$B$2:$B$401,$B77,'Player Rounds'!$C$2:$C$401,$C77))))</f>
      </c>
      <c r="AB77" t="e">
        <f>IF($A77="","",IF(COUNTIFS('Player Rounds'!$A$2:$A$401,$A77,'Player Rounds'!$B$2:$B$401,$B77,'Player Rounds'!$V$2:$V$401,"&gt;0")=0,"",SIGN(_xlfn.MINIFS('Player Rounds'!$AP$2:$AP$401,'Player Rounds'!$A$2:$A$401,$A77,'Player Rounds'!$B$2:$B$401,$B77,'Player Rounds'!$C$2:$C$401,$D77)-_xlfn.MINIFS('Player Rounds'!$AP$2:$AP$401,'Player Rounds'!$A$2:$A$401,$A77,'Player Rounds'!$B$2:$B$401,$B77,'Player Rounds'!$C$2:$C$401,$C77))))</f>
      </c>
      <c r="AC77" t="e">
        <f>IF($A77="","",IF(COUNTIFS('Player Rounds'!$A$2:$A$401,$A77,'Player Rounds'!$B$2:$B$401,$B77,'Player Rounds'!$W$2:$W$401,"&gt;0")=0,"",SIGN(_xlfn.MINIFS('Player Rounds'!$AQ$2:$AQ$401,'Player Rounds'!$A$2:$A$401,$A77,'Player Rounds'!$B$2:$B$401,$B77,'Player Rounds'!$C$2:$C$401,$D77)-_xlfn.MINIFS('Player Rounds'!$AQ$2:$AQ$401,'Player Rounds'!$A$2:$A$401,$A77,'Player Rounds'!$B$2:$B$401,$B77,'Player Rounds'!$C$2:$C$401,$C77))))</f>
      </c>
      <c r="AD77" t="e">
        <f>IF($A77="","",SUM($L77:L77))</f>
      </c>
      <c r="AE77" t="e">
        <f>IF($A77="","",SUM($L77:M77))</f>
      </c>
      <c r="AF77" t="e">
        <f>IF($A77="","",SUM($L77:N77))</f>
      </c>
      <c r="AG77" t="e">
        <f>IF($A77="","",SUM($L77:O77))</f>
      </c>
      <c r="AH77" t="e">
        <f>IF($A77="","",SUM($L77:P77))</f>
      </c>
      <c r="AI77" t="e">
        <f>IF($A77="","",SUM($L77:Q77))</f>
      </c>
      <c r="AJ77" t="e">
        <f>IF($A77="","",SUM($L77:R77))</f>
      </c>
      <c r="AK77" t="e">
        <f>IF($A77="","",SUM($L77:S77))</f>
      </c>
      <c r="AL77" t="e">
        <f>IF($A77="","",SUM($L77:T77))</f>
      </c>
      <c r="AM77" t="e">
        <f>IF($A77="","",SUM($L77:U77))</f>
      </c>
      <c r="AN77" t="e">
        <f>IF($A77="","",SUM($L77:V77))</f>
      </c>
      <c r="AO77" t="e">
        <f>IF($A77="","",SUM($L77:W77))</f>
      </c>
      <c r="AP77" t="e">
        <f>IF($A77="","",SUM($L77:X77))</f>
      </c>
      <c r="AQ77" t="e">
        <f>IF($A77="","",SUM($L77:Y77))</f>
      </c>
      <c r="AR77" t="e">
        <f>IF($A77="","",SUM($L77:Z77))</f>
      </c>
      <c r="AS77" t="e">
        <f>IF($A77="","",SUM($L77:AA77))</f>
      </c>
      <c r="AT77" t="e">
        <f>IF($A77="","",SUM($L77:AB77))</f>
      </c>
      <c r="AU77" t="e">
        <f>IF($A77="","",SUM($L77:AC77))</f>
      </c>
      <c r="AV77" t="e">
        <f>IF(OR($A77="",L77=""),"",IF(ABS(AD77)&gt;17,1,""))</f>
      </c>
      <c r="AW77" t="e">
        <f>IF(OR($A77="",M77=""),"",IF(ABS(AE77)&gt;16,2,""))</f>
      </c>
      <c r="AX77" t="e">
        <f>IF(OR($A77="",N77=""),"",IF(ABS(AF77)&gt;15,3,""))</f>
      </c>
      <c r="AY77" t="e">
        <f>IF(OR($A77="",O77=""),"",IF(ABS(AG77)&gt;14,4,""))</f>
      </c>
      <c r="AZ77" t="e">
        <f>IF(OR($A77="",P77=""),"",IF(ABS(AH77)&gt;13,5,""))</f>
      </c>
      <c r="BA77" t="e">
        <f>IF(OR($A77="",Q77=""),"",IF(ABS(AI77)&gt;12,6,""))</f>
      </c>
      <c r="BB77" t="e">
        <f>IF(OR($A77="",R77=""),"",IF(ABS(AJ77)&gt;11,7,""))</f>
      </c>
      <c r="BC77" t="e">
        <f>IF(OR($A77="",S77=""),"",IF(ABS(AK77)&gt;10,8,""))</f>
      </c>
      <c r="BD77" t="e">
        <f>IF(OR($A77="",T77=""),"",IF(ABS(AL77)&gt;9,9,""))</f>
      </c>
      <c r="BE77" t="e">
        <f>IF(OR($A77="",U77=""),"",IF(ABS(AM77)&gt;8,10,""))</f>
      </c>
      <c r="BF77" t="e">
        <f>IF(OR($A77="",V77=""),"",IF(ABS(AN77)&gt;7,11,""))</f>
      </c>
      <c r="BG77" t="e">
        <f>IF(OR($A77="",W77=""),"",IF(ABS(AO77)&gt;6,12,""))</f>
      </c>
      <c r="BH77" t="e">
        <f>IF(OR($A77="",X77=""),"",IF(ABS(AP77)&gt;5,13,""))</f>
      </c>
      <c r="BI77" t="e">
        <f>IF(OR($A77="",Y77=""),"",IF(ABS(AQ77)&gt;4,14,""))</f>
      </c>
      <c r="BJ77" t="e">
        <f>IF(OR($A77="",Z77=""),"",IF(ABS(AR77)&gt;3,15,""))</f>
      </c>
      <c r="BK77" t="e">
        <f>IF(OR($A77="",AA77=""),"",IF(ABS(AS77)&gt;2,16,""))</f>
      </c>
      <c r="BL77" t="e">
        <f>IF(OR($A77="",AB77=""),"",IF(ABS(AT77)&gt;1,17,""))</f>
      </c>
      <c r="BM77" t="e">
        <f>IF(OR($A77="",AC77=""),"",IF(ABS(AU77)&gt;0,18,""))</f>
      </c>
    </row>
    <row r="78">
      <c r="C78" t="str">
        <f>IF($A78="","",INDEX('Tournament Setup'!$J:$J,MATCH($A78,'Tournament Setup'!$A:$A,0)))</f>
        <v/>
      </c>
      <c r="D78" t="str">
        <f>IF($A78="","",INDEX('Tournament Setup'!$K:$K,MATCH($A78,'Tournament Setup'!$A:$A,0)))</f>
        <v/>
      </c>
      <c r="E78" t="str">
        <f>IF($A78="","",IF(COUNT(L78:AC78)=0,"Not played",IF(AND($K78&gt;0,$K78&lt;18),IF(INDEX(AD78:AU78,1,$K78)&gt;0,$C78,$D78)&amp;" "&amp;ABS(INDEX(AD78:AU78,1,$K78))&amp;"&amp;"&amp;(18-$K78),IF($J78=0,"Halved (AS)",IF($J78&gt;0,$C78,$D78)&amp;" "&amp;ABS($J78)&amp;" UP"))))</f>
        <v/>
      </c>
      <c r="F78" t="e">
        <f>IF(OR($A78="",COUNT(L78:AC78)=0),"",INDEX('Tournament Setup'!$I:$I,MATCH($A78,'Tournament Setup'!$A:$A,0))*IF(INDEX('Tournament Setup'!$H:$H,MATCH($A78,'Tournament Setup'!$A:$A,0))="Yes",IF($H78&gt;0,1,IF($H78=0,0.5,0))+IF($I78&gt;0,1,IF($I78=0,0.5,0))+IF($J78&gt;0,1,IF($J78=0,0.5,0)),IF(IF(AND($K78&gt;0,$K78&lt;18),INDEX(AD78:AU78,1,$K78),$J78)&gt;0,1,IF(IF(AND($K78&gt;0,$K78&lt;18),INDEX(AD78:AU78,1,$K78),$J78)=0,0.5,0))))</f>
      </c>
      <c r="G78" t="e">
        <f>IF(OR($A78="",COUNT(L78:AC78)=0),"",INDEX('Tournament Setup'!$I:$I,MATCH($A78,'Tournament Setup'!$A:$A,0))*IF(INDEX('Tournament Setup'!$H:$H,MATCH($A78,'Tournament Setup'!$A:$A,0))="Yes",IF($H78&lt;0,1,IF($H78=0,0.5,0))+IF($I78&lt;0,1,IF($I78=0,0.5,0))+IF($J78&lt;0,1,IF($J78=0,0.5,0)),IF(IF(AND($K78&gt;0,$K78&lt;18),INDEX(AD78:AU78,1,$K78),$J78)&lt;0,1,IF(IF(AND($K78&gt;0,$K78&lt;18),INDEX(AD78:AU78,1,$K78),$J78)=0,0.5,0))))</f>
      </c>
      <c r="H78" t="e">
        <f>IF($A78="","",SUM(L78:T78))</f>
      </c>
      <c r="I78" t="e">
        <f>IF($A78="","",SUM(U78:AC78))</f>
      </c>
      <c r="J78" t="e">
        <f>IF($A78="","",SUM(L78:AC78))</f>
      </c>
      <c r="K78" t="e">
        <f>IF($A78="","",MIN(AV78:BM78))</f>
      </c>
      <c r="L78" t="e">
        <f>IF($A78="","",IF(COUNTIFS('Player Rounds'!$A$2:$A$401,$A78,'Player Rounds'!$B$2:$B$401,$B78,'Player Rounds'!$F$2:$F$401,"&gt;0")=0,"",SIGN(_xlfn.MINIFS('Player Rounds'!$Z$2:$Z$401,'Player Rounds'!$A$2:$A$401,$A78,'Player Rounds'!$B$2:$B$401,$B78,'Player Rounds'!$C$2:$C$401,$D78)-_xlfn.MINIFS('Player Rounds'!$Z$2:$Z$401,'Player Rounds'!$A$2:$A$401,$A78,'Player Rounds'!$B$2:$B$401,$B78,'Player Rounds'!$C$2:$C$401,$C78))))</f>
      </c>
      <c r="M78" t="e">
        <f>IF($A78="","",IF(COUNTIFS('Player Rounds'!$A$2:$A$401,$A78,'Player Rounds'!$B$2:$B$401,$B78,'Player Rounds'!$G$2:$G$401,"&gt;0")=0,"",SIGN(_xlfn.MINIFS('Player Rounds'!$AA$2:$AA$401,'Player Rounds'!$A$2:$A$401,$A78,'Player Rounds'!$B$2:$B$401,$B78,'Player Rounds'!$C$2:$C$401,$D78)-_xlfn.MINIFS('Player Rounds'!$AA$2:$AA$401,'Player Rounds'!$A$2:$A$401,$A78,'Player Rounds'!$B$2:$B$401,$B78,'Player Rounds'!$C$2:$C$401,$C78))))</f>
      </c>
      <c r="N78" t="e">
        <f>IF($A78="","",IF(COUNTIFS('Player Rounds'!$A$2:$A$401,$A78,'Player Rounds'!$B$2:$B$401,$B78,'Player Rounds'!$H$2:$H$401,"&gt;0")=0,"",SIGN(_xlfn.MINIFS('Player Rounds'!$AB$2:$AB$401,'Player Rounds'!$A$2:$A$401,$A78,'Player Rounds'!$B$2:$B$401,$B78,'Player Rounds'!$C$2:$C$401,$D78)-_xlfn.MINIFS('Player Rounds'!$AB$2:$AB$401,'Player Rounds'!$A$2:$A$401,$A78,'Player Rounds'!$B$2:$B$401,$B78,'Player Rounds'!$C$2:$C$401,$C78))))</f>
      </c>
      <c r="O78" t="e">
        <f>IF($A78="","",IF(COUNTIFS('Player Rounds'!$A$2:$A$401,$A78,'Player Rounds'!$B$2:$B$401,$B78,'Player Rounds'!$I$2:$I$401,"&gt;0")=0,"",SIGN(_xlfn.MINIFS('Player Rounds'!$AC$2:$AC$401,'Player Rounds'!$A$2:$A$401,$A78,'Player Rounds'!$B$2:$B$401,$B78,'Player Rounds'!$C$2:$C$401,$D78)-_xlfn.MINIFS('Player Rounds'!$AC$2:$AC$401,'Player Rounds'!$A$2:$A$401,$A78,'Player Rounds'!$B$2:$B$401,$B78,'Player Rounds'!$C$2:$C$401,$C78))))</f>
      </c>
      <c r="P78" t="e">
        <f>IF($A78="","",IF(COUNTIFS('Player Rounds'!$A$2:$A$401,$A78,'Player Rounds'!$B$2:$B$401,$B78,'Player Rounds'!$J$2:$J$401,"&gt;0")=0,"",SIGN(_xlfn.MINIFS('Player Rounds'!$AD$2:$AD$401,'Player Rounds'!$A$2:$A$401,$A78,'Player Rounds'!$B$2:$B$401,$B78,'Player Rounds'!$C$2:$C$401,$D78)-_xlfn.MINIFS('Player Rounds'!$AD$2:$AD$401,'Player Rounds'!$A$2:$A$401,$A78,'Player Rounds'!$B$2:$B$401,$B78,'Player Rounds'!$C$2:$C$401,$C78))))</f>
      </c>
      <c r="Q78" t="e">
        <f>IF($A78="","",IF(COUNTIFS('Player Rounds'!$A$2:$A$401,$A78,'Player Rounds'!$B$2:$B$401,$B78,'Player Rounds'!$K$2:$K$401,"&gt;0")=0,"",SIGN(_xlfn.MINIFS('Player Rounds'!$AE$2:$AE$401,'Player Rounds'!$A$2:$A$401,$A78,'Player Rounds'!$B$2:$B$401,$B78,'Player Rounds'!$C$2:$C$401,$D78)-_xlfn.MINIFS('Player Rounds'!$AE$2:$AE$401,'Player Rounds'!$A$2:$A$401,$A78,'Player Rounds'!$B$2:$B$401,$B78,'Player Rounds'!$C$2:$C$401,$C78))))</f>
      </c>
      <c r="R78" t="e">
        <f>IF($A78="","",IF(COUNTIFS('Player Rounds'!$A$2:$A$401,$A78,'Player Rounds'!$B$2:$B$401,$B78,'Player Rounds'!$L$2:$L$401,"&gt;0")=0,"",SIGN(_xlfn.MINIFS('Player Rounds'!$AF$2:$AF$401,'Player Rounds'!$A$2:$A$401,$A78,'Player Rounds'!$B$2:$B$401,$B78,'Player Rounds'!$C$2:$C$401,$D78)-_xlfn.MINIFS('Player Rounds'!$AF$2:$AF$401,'Player Rounds'!$A$2:$A$401,$A78,'Player Rounds'!$B$2:$B$401,$B78,'Player Rounds'!$C$2:$C$401,$C78))))</f>
      </c>
      <c r="S78" t="e">
        <f>IF($A78="","",IF(COUNTIFS('Player Rounds'!$A$2:$A$401,$A78,'Player Rounds'!$B$2:$B$401,$B78,'Player Rounds'!$M$2:$M$401,"&gt;0")=0,"",SIGN(_xlfn.MINIFS('Player Rounds'!$AG$2:$AG$401,'Player Rounds'!$A$2:$A$401,$A78,'Player Rounds'!$B$2:$B$401,$B78,'Player Rounds'!$C$2:$C$401,$D78)-_xlfn.MINIFS('Player Rounds'!$AG$2:$AG$401,'Player Rounds'!$A$2:$A$401,$A78,'Player Rounds'!$B$2:$B$401,$B78,'Player Rounds'!$C$2:$C$401,$C78))))</f>
      </c>
      <c r="T78" t="e">
        <f>IF($A78="","",IF(COUNTIFS('Player Rounds'!$A$2:$A$401,$A78,'Player Rounds'!$B$2:$B$401,$B78,'Player Rounds'!$N$2:$N$401,"&gt;0")=0,"",SIGN(_xlfn.MINIFS('Player Rounds'!$AH$2:$AH$401,'Player Rounds'!$A$2:$A$401,$A78,'Player Rounds'!$B$2:$B$401,$B78,'Player Rounds'!$C$2:$C$401,$D78)-_xlfn.MINIFS('Player Rounds'!$AH$2:$AH$401,'Player Rounds'!$A$2:$A$401,$A78,'Player Rounds'!$B$2:$B$401,$B78,'Player Rounds'!$C$2:$C$401,$C78))))</f>
      </c>
      <c r="U78" t="e">
        <f>IF($A78="","",IF(COUNTIFS('Player Rounds'!$A$2:$A$401,$A78,'Player Rounds'!$B$2:$B$401,$B78,'Player Rounds'!$O$2:$O$401,"&gt;0")=0,"",SIGN(_xlfn.MINIFS('Player Rounds'!$AI$2:$AI$401,'Player Rounds'!$A$2:$A$401,$A78,'Player Rounds'!$B$2:$B$401,$B78,'Player Rounds'!$C$2:$C$401,$D78)-_xlfn.MINIFS('Player Rounds'!$AI$2:$AI$401,'Player Rounds'!$A$2:$A$401,$A78,'Player Rounds'!$B$2:$B$401,$B78,'Player Rounds'!$C$2:$C$401,$C78))))</f>
      </c>
      <c r="V78" t="e">
        <f>IF($A78="","",IF(COUNTIFS('Player Rounds'!$A$2:$A$401,$A78,'Player Rounds'!$B$2:$B$401,$B78,'Player Rounds'!$P$2:$P$401,"&gt;0")=0,"",SIGN(_xlfn.MINIFS('Player Rounds'!$AJ$2:$AJ$401,'Player Rounds'!$A$2:$A$401,$A78,'Player Rounds'!$B$2:$B$401,$B78,'Player Rounds'!$C$2:$C$401,$D78)-_xlfn.MINIFS('Player Rounds'!$AJ$2:$AJ$401,'Player Rounds'!$A$2:$A$401,$A78,'Player Rounds'!$B$2:$B$401,$B78,'Player Rounds'!$C$2:$C$401,$C78))))</f>
      </c>
      <c r="W78" t="e">
        <f>IF($A78="","",IF(COUNTIFS('Player Rounds'!$A$2:$A$401,$A78,'Player Rounds'!$B$2:$B$401,$B78,'Player Rounds'!$Q$2:$Q$401,"&gt;0")=0,"",SIGN(_xlfn.MINIFS('Player Rounds'!$AK$2:$AK$401,'Player Rounds'!$A$2:$A$401,$A78,'Player Rounds'!$B$2:$B$401,$B78,'Player Rounds'!$C$2:$C$401,$D78)-_xlfn.MINIFS('Player Rounds'!$AK$2:$AK$401,'Player Rounds'!$A$2:$A$401,$A78,'Player Rounds'!$B$2:$B$401,$B78,'Player Rounds'!$C$2:$C$401,$C78))))</f>
      </c>
      <c r="X78" t="e">
        <f>IF($A78="","",IF(COUNTIFS('Player Rounds'!$A$2:$A$401,$A78,'Player Rounds'!$B$2:$B$401,$B78,'Player Rounds'!$R$2:$R$401,"&gt;0")=0,"",SIGN(_xlfn.MINIFS('Player Rounds'!$AL$2:$AL$401,'Player Rounds'!$A$2:$A$401,$A78,'Player Rounds'!$B$2:$B$401,$B78,'Player Rounds'!$C$2:$C$401,$D78)-_xlfn.MINIFS('Player Rounds'!$AL$2:$AL$401,'Player Rounds'!$A$2:$A$401,$A78,'Player Rounds'!$B$2:$B$401,$B78,'Player Rounds'!$C$2:$C$401,$C78))))</f>
      </c>
      <c r="Y78" t="e">
        <f>IF($A78="","",IF(COUNTIFS('Player Rounds'!$A$2:$A$401,$A78,'Player Rounds'!$B$2:$B$401,$B78,'Player Rounds'!$S$2:$S$401,"&gt;0")=0,"",SIGN(_xlfn.MINIFS('Player Rounds'!$AM$2:$AM$401,'Player Rounds'!$A$2:$A$401,$A78,'Player Rounds'!$B$2:$B$401,$B78,'Player Rounds'!$C$2:$C$401,$D78)-_xlfn.MINIFS('Player Rounds'!$AM$2:$AM$401,'Player Rounds'!$A$2:$A$401,$A78,'Player Rounds'!$B$2:$B$401,$B78,'Player Rounds'!$C$2:$C$401,$C78))))</f>
      </c>
      <c r="Z78" t="e">
        <f>IF($A78="","",IF(COUNTIFS('Player Rounds'!$A$2:$A$401,$A78,'Player Rounds'!$B$2:$B$401,$B78,'Player Rounds'!$T$2:$T$401,"&gt;0")=0,"",SIGN(_xlfn.MINIFS('Player Rounds'!$AN$2:$AN$401,'Player Rounds'!$A$2:$A$401,$A78,'Player Rounds'!$B$2:$B$401,$B78,'Player Rounds'!$C$2:$C$401,$D78)-_xlfn.MINIFS('Player Rounds'!$AN$2:$AN$401,'Player Rounds'!$A$2:$A$401,$A78,'Player Rounds'!$B$2:$B$401,$B78,'Player Rounds'!$C$2:$C$401,$C78))))</f>
      </c>
      <c r="AA78" t="e">
        <f>IF($A78="","",IF(COUNTIFS('Player Rounds'!$A$2:$A$401,$A78,'Player Rounds'!$B$2:$B$401,$B78,'Player Rounds'!$U$2:$U$401,"&gt;0")=0,"",SIGN(_xlfn.MINIFS('Player Rounds'!$AO$2:$AO$401,'Player Rounds'!$A$2:$A$401,$A78,'Player Rounds'!$B$2:$B$401,$B78,'Player Rounds'!$C$2:$C$401,$D78)-_xlfn.MINIFS('Player Rounds'!$AO$2:$AO$401,'Player Rounds'!$A$2:$A$401,$A78,'Player Rounds'!$B$2:$B$401,$B78,'Player Rounds'!$C$2:$C$401,$C78))))</f>
      </c>
      <c r="AB78" t="e">
        <f>IF($A78="","",IF(COUNTIFS('Player Rounds'!$A$2:$A$401,$A78,'Player Rounds'!$B$2:$B$401,$B78,'Player Rounds'!$V$2:$V$401,"&gt;0")=0,"",SIGN(_xlfn.MINIFS('Player Rounds'!$AP$2:$AP$401,'Player Rounds'!$A$2:$A$401,$A78,'Player Rounds'!$B$2:$B$401,$B78,'Player Rounds'!$C$2:$C$401,$D78)-_xlfn.MINIFS('Player Rounds'!$AP$2:$AP$401,'Player Rounds'!$A$2:$A$401,$A78,'Player Rounds'!$B$2:$B$401,$B78,'Player Rounds'!$C$2:$C$401,$C78))))</f>
      </c>
      <c r="AC78" t="e">
        <f>IF($A78="","",IF(COUNTIFS('Player Rounds'!$A$2:$A$401,$A78,'Player Rounds'!$B$2:$B$401,$B78,'Player Rounds'!$W$2:$W$401,"&gt;0")=0,"",SIGN(_xlfn.MINIFS('Player Rounds'!$AQ$2:$AQ$401,'Player Rounds'!$A$2:$A$401,$A78,'Player Rounds'!$B$2:$B$401,$B78,'Player Rounds'!$C$2:$C$401,$D78)-_xlfn.MINIFS('Player Rounds'!$AQ$2:$AQ$401,'Player Rounds'!$A$2:$A$401,$A78,'Player Rounds'!$B$2:$B$401,$B78,'Player Rounds'!$C$2:$C$401,$C78))))</f>
      </c>
      <c r="AD78" t="e">
        <f>IF($A78="","",SUM($L78:L78))</f>
      </c>
      <c r="AE78" t="e">
        <f>IF($A78="","",SUM($L78:M78))</f>
      </c>
      <c r="AF78" t="e">
        <f>IF($A78="","",SUM($L78:N78))</f>
      </c>
      <c r="AG78" t="e">
        <f>IF($A78="","",SUM($L78:O78))</f>
      </c>
      <c r="AH78" t="e">
        <f>IF($A78="","",SUM($L78:P78))</f>
      </c>
      <c r="AI78" t="e">
        <f>IF($A78="","",SUM($L78:Q78))</f>
      </c>
      <c r="AJ78" t="e">
        <f>IF($A78="","",SUM($L78:R78))</f>
      </c>
      <c r="AK78" t="e">
        <f>IF($A78="","",SUM($L78:S78))</f>
      </c>
      <c r="AL78" t="e">
        <f>IF($A78="","",SUM($L78:T78))</f>
      </c>
      <c r="AM78" t="e">
        <f>IF($A78="","",SUM($L78:U78))</f>
      </c>
      <c r="AN78" t="e">
        <f>IF($A78="","",SUM($L78:V78))</f>
      </c>
      <c r="AO78" t="e">
        <f>IF($A78="","",SUM($L78:W78))</f>
      </c>
      <c r="AP78" t="e">
        <f>IF($A78="","",SUM($L78:X78))</f>
      </c>
      <c r="AQ78" t="e">
        <f>IF($A78="","",SUM($L78:Y78))</f>
      </c>
      <c r="AR78" t="e">
        <f>IF($A78="","",SUM($L78:Z78))</f>
      </c>
      <c r="AS78" t="e">
        <f>IF($A78="","",SUM($L78:AA78))</f>
      </c>
      <c r="AT78" t="e">
        <f>IF($A78="","",SUM($L78:AB78))</f>
      </c>
      <c r="AU78" t="e">
        <f>IF($A78="","",SUM($L78:AC78))</f>
      </c>
      <c r="AV78" t="e">
        <f>IF(OR($A78="",L78=""),"",IF(ABS(AD78)&gt;17,1,""))</f>
      </c>
      <c r="AW78" t="e">
        <f>IF(OR($A78="",M78=""),"",IF(ABS(AE78)&gt;16,2,""))</f>
      </c>
      <c r="AX78" t="e">
        <f>IF(OR($A78="",N78=""),"",IF(ABS(AF78)&gt;15,3,""))</f>
      </c>
      <c r="AY78" t="e">
        <f>IF(OR($A78="",O78=""),"",IF(ABS(AG78)&gt;14,4,""))</f>
      </c>
      <c r="AZ78" t="e">
        <f>IF(OR($A78="",P78=""),"",IF(ABS(AH78)&gt;13,5,""))</f>
      </c>
      <c r="BA78" t="e">
        <f>IF(OR($A78="",Q78=""),"",IF(ABS(AI78)&gt;12,6,""))</f>
      </c>
      <c r="BB78" t="e">
        <f>IF(OR($A78="",R78=""),"",IF(ABS(AJ78)&gt;11,7,""))</f>
      </c>
      <c r="BC78" t="e">
        <f>IF(OR($A78="",S78=""),"",IF(ABS(AK78)&gt;10,8,""))</f>
      </c>
      <c r="BD78" t="e">
        <f>IF(OR($A78="",T78=""),"",IF(ABS(AL78)&gt;9,9,""))</f>
      </c>
      <c r="BE78" t="e">
        <f>IF(OR($A78="",U78=""),"",IF(ABS(AM78)&gt;8,10,""))</f>
      </c>
      <c r="BF78" t="e">
        <f>IF(OR($A78="",V78=""),"",IF(ABS(AN78)&gt;7,11,""))</f>
      </c>
      <c r="BG78" t="e">
        <f>IF(OR($A78="",W78=""),"",IF(ABS(AO78)&gt;6,12,""))</f>
      </c>
      <c r="BH78" t="e">
        <f>IF(OR($A78="",X78=""),"",IF(ABS(AP78)&gt;5,13,""))</f>
      </c>
      <c r="BI78" t="e">
        <f>IF(OR($A78="",Y78=""),"",IF(ABS(AQ78)&gt;4,14,""))</f>
      </c>
      <c r="BJ78" t="e">
        <f>IF(OR($A78="",Z78=""),"",IF(ABS(AR78)&gt;3,15,""))</f>
      </c>
      <c r="BK78" t="e">
        <f>IF(OR($A78="",AA78=""),"",IF(ABS(AS78)&gt;2,16,""))</f>
      </c>
      <c r="BL78" t="e">
        <f>IF(OR($A78="",AB78=""),"",IF(ABS(AT78)&gt;1,17,""))</f>
      </c>
      <c r="BM78" t="e">
        <f>IF(OR($A78="",AC78=""),"",IF(ABS(AU78)&gt;0,18,""))</f>
      </c>
    </row>
    <row r="79">
      <c r="C79" t="str">
        <f>IF($A79="","",INDEX('Tournament Setup'!$J:$J,MATCH($A79,'Tournament Setup'!$A:$A,0)))</f>
        <v/>
      </c>
      <c r="D79" t="str">
        <f>IF($A79="","",INDEX('Tournament Setup'!$K:$K,MATCH($A79,'Tournament Setup'!$A:$A,0)))</f>
        <v/>
      </c>
      <c r="E79" t="str">
        <f>IF($A79="","",IF(COUNT(L79:AC79)=0,"Not played",IF(AND($K79&gt;0,$K79&lt;18),IF(INDEX(AD79:AU79,1,$K79)&gt;0,$C79,$D79)&amp;" "&amp;ABS(INDEX(AD79:AU79,1,$K79))&amp;"&amp;"&amp;(18-$K79),IF($J79=0,"Halved (AS)",IF($J79&gt;0,$C79,$D79)&amp;" "&amp;ABS($J79)&amp;" UP"))))</f>
        <v/>
      </c>
      <c r="F79" t="e">
        <f>IF(OR($A79="",COUNT(L79:AC79)=0),"",INDEX('Tournament Setup'!$I:$I,MATCH($A79,'Tournament Setup'!$A:$A,0))*IF(INDEX('Tournament Setup'!$H:$H,MATCH($A79,'Tournament Setup'!$A:$A,0))="Yes",IF($H79&gt;0,1,IF($H79=0,0.5,0))+IF($I79&gt;0,1,IF($I79=0,0.5,0))+IF($J79&gt;0,1,IF($J79=0,0.5,0)),IF(IF(AND($K79&gt;0,$K79&lt;18),INDEX(AD79:AU79,1,$K79),$J79)&gt;0,1,IF(IF(AND($K79&gt;0,$K79&lt;18),INDEX(AD79:AU79,1,$K79),$J79)=0,0.5,0))))</f>
      </c>
      <c r="G79" t="e">
        <f>IF(OR($A79="",COUNT(L79:AC79)=0),"",INDEX('Tournament Setup'!$I:$I,MATCH($A79,'Tournament Setup'!$A:$A,0))*IF(INDEX('Tournament Setup'!$H:$H,MATCH($A79,'Tournament Setup'!$A:$A,0))="Yes",IF($H79&lt;0,1,IF($H79=0,0.5,0))+IF($I79&lt;0,1,IF($I79=0,0.5,0))+IF($J79&lt;0,1,IF($J79=0,0.5,0)),IF(IF(AND($K79&gt;0,$K79&lt;18),INDEX(AD79:AU79,1,$K79),$J79)&lt;0,1,IF(IF(AND($K79&gt;0,$K79&lt;18),INDEX(AD79:AU79,1,$K79),$J79)=0,0.5,0))))</f>
      </c>
      <c r="H79" t="e">
        <f>IF($A79="","",SUM(L79:T79))</f>
      </c>
      <c r="I79" t="e">
        <f>IF($A79="","",SUM(U79:AC79))</f>
      </c>
      <c r="J79" t="e">
        <f>IF($A79="","",SUM(L79:AC79))</f>
      </c>
      <c r="K79" t="e">
        <f>IF($A79="","",MIN(AV79:BM79))</f>
      </c>
      <c r="L79" t="e">
        <f>IF($A79="","",IF(COUNTIFS('Player Rounds'!$A$2:$A$401,$A79,'Player Rounds'!$B$2:$B$401,$B79,'Player Rounds'!$F$2:$F$401,"&gt;0")=0,"",SIGN(_xlfn.MINIFS('Player Rounds'!$Z$2:$Z$401,'Player Rounds'!$A$2:$A$401,$A79,'Player Rounds'!$B$2:$B$401,$B79,'Player Rounds'!$C$2:$C$401,$D79)-_xlfn.MINIFS('Player Rounds'!$Z$2:$Z$401,'Player Rounds'!$A$2:$A$401,$A79,'Player Rounds'!$B$2:$B$401,$B79,'Player Rounds'!$C$2:$C$401,$C79))))</f>
      </c>
      <c r="M79" t="e">
        <f>IF($A79="","",IF(COUNTIFS('Player Rounds'!$A$2:$A$401,$A79,'Player Rounds'!$B$2:$B$401,$B79,'Player Rounds'!$G$2:$G$401,"&gt;0")=0,"",SIGN(_xlfn.MINIFS('Player Rounds'!$AA$2:$AA$401,'Player Rounds'!$A$2:$A$401,$A79,'Player Rounds'!$B$2:$B$401,$B79,'Player Rounds'!$C$2:$C$401,$D79)-_xlfn.MINIFS('Player Rounds'!$AA$2:$AA$401,'Player Rounds'!$A$2:$A$401,$A79,'Player Rounds'!$B$2:$B$401,$B79,'Player Rounds'!$C$2:$C$401,$C79))))</f>
      </c>
      <c r="N79" t="e">
        <f>IF($A79="","",IF(COUNTIFS('Player Rounds'!$A$2:$A$401,$A79,'Player Rounds'!$B$2:$B$401,$B79,'Player Rounds'!$H$2:$H$401,"&gt;0")=0,"",SIGN(_xlfn.MINIFS('Player Rounds'!$AB$2:$AB$401,'Player Rounds'!$A$2:$A$401,$A79,'Player Rounds'!$B$2:$B$401,$B79,'Player Rounds'!$C$2:$C$401,$D79)-_xlfn.MINIFS('Player Rounds'!$AB$2:$AB$401,'Player Rounds'!$A$2:$A$401,$A79,'Player Rounds'!$B$2:$B$401,$B79,'Player Rounds'!$C$2:$C$401,$C79))))</f>
      </c>
      <c r="O79" t="e">
        <f>IF($A79="","",IF(COUNTIFS('Player Rounds'!$A$2:$A$401,$A79,'Player Rounds'!$B$2:$B$401,$B79,'Player Rounds'!$I$2:$I$401,"&gt;0")=0,"",SIGN(_xlfn.MINIFS('Player Rounds'!$AC$2:$AC$401,'Player Rounds'!$A$2:$A$401,$A79,'Player Rounds'!$B$2:$B$401,$B79,'Player Rounds'!$C$2:$C$401,$D79)-_xlfn.MINIFS('Player Rounds'!$AC$2:$AC$401,'Player Rounds'!$A$2:$A$401,$A79,'Player Rounds'!$B$2:$B$401,$B79,'Player Rounds'!$C$2:$C$401,$C79))))</f>
      </c>
      <c r="P79" t="e">
        <f>IF($A79="","",IF(COUNTIFS('Player Rounds'!$A$2:$A$401,$A79,'Player Rounds'!$B$2:$B$401,$B79,'Player Rounds'!$J$2:$J$401,"&gt;0")=0,"",SIGN(_xlfn.MINIFS('Player Rounds'!$AD$2:$AD$401,'Player Rounds'!$A$2:$A$401,$A79,'Player Rounds'!$B$2:$B$401,$B79,'Player Rounds'!$C$2:$C$401,$D79)-_xlfn.MINIFS('Player Rounds'!$AD$2:$AD$401,'Player Rounds'!$A$2:$A$401,$A79,'Player Rounds'!$B$2:$B$401,$B79,'Player Rounds'!$C$2:$C$401,$C79))))</f>
      </c>
      <c r="Q79" t="e">
        <f>IF($A79="","",IF(COUNTIFS('Player Rounds'!$A$2:$A$401,$A79,'Player Rounds'!$B$2:$B$401,$B79,'Player Rounds'!$K$2:$K$401,"&gt;0")=0,"",SIGN(_xlfn.MINIFS('Player Rounds'!$AE$2:$AE$401,'Player Rounds'!$A$2:$A$401,$A79,'Player Rounds'!$B$2:$B$401,$B79,'Player Rounds'!$C$2:$C$401,$D79)-_xlfn.MINIFS('Player Rounds'!$AE$2:$AE$401,'Player Rounds'!$A$2:$A$401,$A79,'Player Rounds'!$B$2:$B$401,$B79,'Player Rounds'!$C$2:$C$401,$C79))))</f>
      </c>
      <c r="R79" t="e">
        <f>IF($A79="","",IF(COUNTIFS('Player Rounds'!$A$2:$A$401,$A79,'Player Rounds'!$B$2:$B$401,$B79,'Player Rounds'!$L$2:$L$401,"&gt;0")=0,"",SIGN(_xlfn.MINIFS('Player Rounds'!$AF$2:$AF$401,'Player Rounds'!$A$2:$A$401,$A79,'Player Rounds'!$B$2:$B$401,$B79,'Player Rounds'!$C$2:$C$401,$D79)-_xlfn.MINIFS('Player Rounds'!$AF$2:$AF$401,'Player Rounds'!$A$2:$A$401,$A79,'Player Rounds'!$B$2:$B$401,$B79,'Player Rounds'!$C$2:$C$401,$C79))))</f>
      </c>
      <c r="S79" t="e">
        <f>IF($A79="","",IF(COUNTIFS('Player Rounds'!$A$2:$A$401,$A79,'Player Rounds'!$B$2:$B$401,$B79,'Player Rounds'!$M$2:$M$401,"&gt;0")=0,"",SIGN(_xlfn.MINIFS('Player Rounds'!$AG$2:$AG$401,'Player Rounds'!$A$2:$A$401,$A79,'Player Rounds'!$B$2:$B$401,$B79,'Player Rounds'!$C$2:$C$401,$D79)-_xlfn.MINIFS('Player Rounds'!$AG$2:$AG$401,'Player Rounds'!$A$2:$A$401,$A79,'Player Rounds'!$B$2:$B$401,$B79,'Player Rounds'!$C$2:$C$401,$C79))))</f>
      </c>
      <c r="T79" t="e">
        <f>IF($A79="","",IF(COUNTIFS('Player Rounds'!$A$2:$A$401,$A79,'Player Rounds'!$B$2:$B$401,$B79,'Player Rounds'!$N$2:$N$401,"&gt;0")=0,"",SIGN(_xlfn.MINIFS('Player Rounds'!$AH$2:$AH$401,'Player Rounds'!$A$2:$A$401,$A79,'Player Rounds'!$B$2:$B$401,$B79,'Player Rounds'!$C$2:$C$401,$D79)-_xlfn.MINIFS('Player Rounds'!$AH$2:$AH$401,'Player Rounds'!$A$2:$A$401,$A79,'Player Rounds'!$B$2:$B$401,$B79,'Player Rounds'!$C$2:$C$401,$C79))))</f>
      </c>
      <c r="U79" t="e">
        <f>IF($A79="","",IF(COUNTIFS('Player Rounds'!$A$2:$A$401,$A79,'Player Rounds'!$B$2:$B$401,$B79,'Player Rounds'!$O$2:$O$401,"&gt;0")=0,"",SIGN(_xlfn.MINIFS('Player Rounds'!$AI$2:$AI$401,'Player Rounds'!$A$2:$A$401,$A79,'Player Rounds'!$B$2:$B$401,$B79,'Player Rounds'!$C$2:$C$401,$D79)-_xlfn.MINIFS('Player Rounds'!$AI$2:$AI$401,'Player Rounds'!$A$2:$A$401,$A79,'Player Rounds'!$B$2:$B$401,$B79,'Player Rounds'!$C$2:$C$401,$C79))))</f>
      </c>
      <c r="V79" t="e">
        <f>IF($A79="","",IF(COUNTIFS('Player Rounds'!$A$2:$A$401,$A79,'Player Rounds'!$B$2:$B$401,$B79,'Player Rounds'!$P$2:$P$401,"&gt;0")=0,"",SIGN(_xlfn.MINIFS('Player Rounds'!$AJ$2:$AJ$401,'Player Rounds'!$A$2:$A$401,$A79,'Player Rounds'!$B$2:$B$401,$B79,'Player Rounds'!$C$2:$C$401,$D79)-_xlfn.MINIFS('Player Rounds'!$AJ$2:$AJ$401,'Player Rounds'!$A$2:$A$401,$A79,'Player Rounds'!$B$2:$B$401,$B79,'Player Rounds'!$C$2:$C$401,$C79))))</f>
      </c>
      <c r="W79" t="e">
        <f>IF($A79="","",IF(COUNTIFS('Player Rounds'!$A$2:$A$401,$A79,'Player Rounds'!$B$2:$B$401,$B79,'Player Rounds'!$Q$2:$Q$401,"&gt;0")=0,"",SIGN(_xlfn.MINIFS('Player Rounds'!$AK$2:$AK$401,'Player Rounds'!$A$2:$A$401,$A79,'Player Rounds'!$B$2:$B$401,$B79,'Player Rounds'!$C$2:$C$401,$D79)-_xlfn.MINIFS('Player Rounds'!$AK$2:$AK$401,'Player Rounds'!$A$2:$A$401,$A79,'Player Rounds'!$B$2:$B$401,$B79,'Player Rounds'!$C$2:$C$401,$C79))))</f>
      </c>
      <c r="X79" t="e">
        <f>IF($A79="","",IF(COUNTIFS('Player Rounds'!$A$2:$A$401,$A79,'Player Rounds'!$B$2:$B$401,$B79,'Player Rounds'!$R$2:$R$401,"&gt;0")=0,"",SIGN(_xlfn.MINIFS('Player Rounds'!$AL$2:$AL$401,'Player Rounds'!$A$2:$A$401,$A79,'Player Rounds'!$B$2:$B$401,$B79,'Player Rounds'!$C$2:$C$401,$D79)-_xlfn.MINIFS('Player Rounds'!$AL$2:$AL$401,'Player Rounds'!$A$2:$A$401,$A79,'Player Rounds'!$B$2:$B$401,$B79,'Player Rounds'!$C$2:$C$401,$C79))))</f>
      </c>
      <c r="Y79" t="e">
        <f>IF($A79="","",IF(COUNTIFS('Player Rounds'!$A$2:$A$401,$A79,'Player Rounds'!$B$2:$B$401,$B79,'Player Rounds'!$S$2:$S$401,"&gt;0")=0,"",SIGN(_xlfn.MINIFS('Player Rounds'!$AM$2:$AM$401,'Player Rounds'!$A$2:$A$401,$A79,'Player Rounds'!$B$2:$B$401,$B79,'Player Rounds'!$C$2:$C$401,$D79)-_xlfn.MINIFS('Player Rounds'!$AM$2:$AM$401,'Player Rounds'!$A$2:$A$401,$A79,'Player Rounds'!$B$2:$B$401,$B79,'Player Rounds'!$C$2:$C$401,$C79))))</f>
      </c>
      <c r="Z79" t="e">
        <f>IF($A79="","",IF(COUNTIFS('Player Rounds'!$A$2:$A$401,$A79,'Player Rounds'!$B$2:$B$401,$B79,'Player Rounds'!$T$2:$T$401,"&gt;0")=0,"",SIGN(_xlfn.MINIFS('Player Rounds'!$AN$2:$AN$401,'Player Rounds'!$A$2:$A$401,$A79,'Player Rounds'!$B$2:$B$401,$B79,'Player Rounds'!$C$2:$C$401,$D79)-_xlfn.MINIFS('Player Rounds'!$AN$2:$AN$401,'Player Rounds'!$A$2:$A$401,$A79,'Player Rounds'!$B$2:$B$401,$B79,'Player Rounds'!$C$2:$C$401,$C79))))</f>
      </c>
      <c r="AA79" t="e">
        <f>IF($A79="","",IF(COUNTIFS('Player Rounds'!$A$2:$A$401,$A79,'Player Rounds'!$B$2:$B$401,$B79,'Player Rounds'!$U$2:$U$401,"&gt;0")=0,"",SIGN(_xlfn.MINIFS('Player Rounds'!$AO$2:$AO$401,'Player Rounds'!$A$2:$A$401,$A79,'Player Rounds'!$B$2:$B$401,$B79,'Player Rounds'!$C$2:$C$401,$D79)-_xlfn.MINIFS('Player Rounds'!$AO$2:$AO$401,'Player Rounds'!$A$2:$A$401,$A79,'Player Rounds'!$B$2:$B$401,$B79,'Player Rounds'!$C$2:$C$401,$C79))))</f>
      </c>
      <c r="AB79" t="e">
        <f>IF($A79="","",IF(COUNTIFS('Player Rounds'!$A$2:$A$401,$A79,'Player Rounds'!$B$2:$B$401,$B79,'Player Rounds'!$V$2:$V$401,"&gt;0")=0,"",SIGN(_xlfn.MINIFS('Player Rounds'!$AP$2:$AP$401,'Player Rounds'!$A$2:$A$401,$A79,'Player Rounds'!$B$2:$B$401,$B79,'Player Rounds'!$C$2:$C$401,$D79)-_xlfn.MINIFS('Player Rounds'!$AP$2:$AP$401,'Player Rounds'!$A$2:$A$401,$A79,'Player Rounds'!$B$2:$B$401,$B79,'Player Rounds'!$C$2:$C$401,$C79))))</f>
      </c>
      <c r="AC79" t="e">
        <f>IF($A79="","",IF(COUNTIFS('Player Rounds'!$A$2:$A$401,$A79,'Player Rounds'!$B$2:$B$401,$B79,'Player Rounds'!$W$2:$W$401,"&gt;0")=0,"",SIGN(_xlfn.MINIFS('Player Rounds'!$AQ$2:$AQ$401,'Player Rounds'!$A$2:$A$401,$A79,'Player Rounds'!$B$2:$B$401,$B79,'Player Rounds'!$C$2:$C$401,$D79)-_xlfn.MINIFS('Player Rounds'!$AQ$2:$AQ$401,'Player Rounds'!$A$2:$A$401,$A79,'Player Rounds'!$B$2:$B$401,$B79,'Player Rounds'!$C$2:$C$401,$C79))))</f>
      </c>
      <c r="AD79" t="e">
        <f>IF($A79="","",SUM($L79:L79))</f>
      </c>
      <c r="AE79" t="e">
        <f>IF($A79="","",SUM($L79:M79))</f>
      </c>
      <c r="AF79" t="e">
        <f>IF($A79="","",SUM($L79:N79))</f>
      </c>
      <c r="AG79" t="e">
        <f>IF($A79="","",SUM($L79:O79))</f>
      </c>
      <c r="AH79" t="e">
        <f>IF($A79="","",SUM($L79:P79))</f>
      </c>
      <c r="AI79" t="e">
        <f>IF($A79="","",SUM($L79:Q79))</f>
      </c>
      <c r="AJ79" t="e">
        <f>IF($A79="","",SUM($L79:R79))</f>
      </c>
      <c r="AK79" t="e">
        <f>IF($A79="","",SUM($L79:S79))</f>
      </c>
      <c r="AL79" t="e">
        <f>IF($A79="","",SUM($L79:T79))</f>
      </c>
      <c r="AM79" t="e">
        <f>IF($A79="","",SUM($L79:U79))</f>
      </c>
      <c r="AN79" t="e">
        <f>IF($A79="","",SUM($L79:V79))</f>
      </c>
      <c r="AO79" t="e">
        <f>IF($A79="","",SUM($L79:W79))</f>
      </c>
      <c r="AP79" t="e">
        <f>IF($A79="","",SUM($L79:X79))</f>
      </c>
      <c r="AQ79" t="e">
        <f>IF($A79="","",SUM($L79:Y79))</f>
      </c>
      <c r="AR79" t="e">
        <f>IF($A79="","",SUM($L79:Z79))</f>
      </c>
      <c r="AS79" t="e">
        <f>IF($A79="","",SUM($L79:AA79))</f>
      </c>
      <c r="AT79" t="e">
        <f>IF($A79="","",SUM($L79:AB79))</f>
      </c>
      <c r="AU79" t="e">
        <f>IF($A79="","",SUM($L79:AC79))</f>
      </c>
      <c r="AV79" t="e">
        <f>IF(OR($A79="",L79=""),"",IF(ABS(AD79)&gt;17,1,""))</f>
      </c>
      <c r="AW79" t="e">
        <f>IF(OR($A79="",M79=""),"",IF(ABS(AE79)&gt;16,2,""))</f>
      </c>
      <c r="AX79" t="e">
        <f>IF(OR($A79="",N79=""),"",IF(ABS(AF79)&gt;15,3,""))</f>
      </c>
      <c r="AY79" t="e">
        <f>IF(OR($A79="",O79=""),"",IF(ABS(AG79)&gt;14,4,""))</f>
      </c>
      <c r="AZ79" t="e">
        <f>IF(OR($A79="",P79=""),"",IF(ABS(AH79)&gt;13,5,""))</f>
      </c>
      <c r="BA79" t="e">
        <f>IF(OR($A79="",Q79=""),"",IF(ABS(AI79)&gt;12,6,""))</f>
      </c>
      <c r="BB79" t="e">
        <f>IF(OR($A79="",R79=""),"",IF(ABS(AJ79)&gt;11,7,""))</f>
      </c>
      <c r="BC79" t="e">
        <f>IF(OR($A79="",S79=""),"",IF(ABS(AK79)&gt;10,8,""))</f>
      </c>
      <c r="BD79" t="e">
        <f>IF(OR($A79="",T79=""),"",IF(ABS(AL79)&gt;9,9,""))</f>
      </c>
      <c r="BE79" t="e">
        <f>IF(OR($A79="",U79=""),"",IF(ABS(AM79)&gt;8,10,""))</f>
      </c>
      <c r="BF79" t="e">
        <f>IF(OR($A79="",V79=""),"",IF(ABS(AN79)&gt;7,11,""))</f>
      </c>
      <c r="BG79" t="e">
        <f>IF(OR($A79="",W79=""),"",IF(ABS(AO79)&gt;6,12,""))</f>
      </c>
      <c r="BH79" t="e">
        <f>IF(OR($A79="",X79=""),"",IF(ABS(AP79)&gt;5,13,""))</f>
      </c>
      <c r="BI79" t="e">
        <f>IF(OR($A79="",Y79=""),"",IF(ABS(AQ79)&gt;4,14,""))</f>
      </c>
      <c r="BJ79" t="e">
        <f>IF(OR($A79="",Z79=""),"",IF(ABS(AR79)&gt;3,15,""))</f>
      </c>
      <c r="BK79" t="e">
        <f>IF(OR($A79="",AA79=""),"",IF(ABS(AS79)&gt;2,16,""))</f>
      </c>
      <c r="BL79" t="e">
        <f>IF(OR($A79="",AB79=""),"",IF(ABS(AT79)&gt;1,17,""))</f>
      </c>
      <c r="BM79" t="e">
        <f>IF(OR($A79="",AC79=""),"",IF(ABS(AU79)&gt;0,18,""))</f>
      </c>
    </row>
    <row r="80">
      <c r="C80" t="str">
        <f>IF($A80="","",INDEX('Tournament Setup'!$J:$J,MATCH($A80,'Tournament Setup'!$A:$A,0)))</f>
        <v/>
      </c>
      <c r="D80" t="str">
        <f>IF($A80="","",INDEX('Tournament Setup'!$K:$K,MATCH($A80,'Tournament Setup'!$A:$A,0)))</f>
        <v/>
      </c>
      <c r="E80" t="str">
        <f>IF($A80="","",IF(COUNT(L80:AC80)=0,"Not played",IF(AND($K80&gt;0,$K80&lt;18),IF(INDEX(AD80:AU80,1,$K80)&gt;0,$C80,$D80)&amp;" "&amp;ABS(INDEX(AD80:AU80,1,$K80))&amp;"&amp;"&amp;(18-$K80),IF($J80=0,"Halved (AS)",IF($J80&gt;0,$C80,$D80)&amp;" "&amp;ABS($J80)&amp;" UP"))))</f>
        <v/>
      </c>
      <c r="F80" t="e">
        <f>IF(OR($A80="",COUNT(L80:AC80)=0),"",INDEX('Tournament Setup'!$I:$I,MATCH($A80,'Tournament Setup'!$A:$A,0))*IF(INDEX('Tournament Setup'!$H:$H,MATCH($A80,'Tournament Setup'!$A:$A,0))="Yes",IF($H80&gt;0,1,IF($H80=0,0.5,0))+IF($I80&gt;0,1,IF($I80=0,0.5,0))+IF($J80&gt;0,1,IF($J80=0,0.5,0)),IF(IF(AND($K80&gt;0,$K80&lt;18),INDEX(AD80:AU80,1,$K80),$J80)&gt;0,1,IF(IF(AND($K80&gt;0,$K80&lt;18),INDEX(AD80:AU80,1,$K80),$J80)=0,0.5,0))))</f>
      </c>
      <c r="G80" t="e">
        <f>IF(OR($A80="",COUNT(L80:AC80)=0),"",INDEX('Tournament Setup'!$I:$I,MATCH($A80,'Tournament Setup'!$A:$A,0))*IF(INDEX('Tournament Setup'!$H:$H,MATCH($A80,'Tournament Setup'!$A:$A,0))="Yes",IF($H80&lt;0,1,IF($H80=0,0.5,0))+IF($I80&lt;0,1,IF($I80=0,0.5,0))+IF($J80&lt;0,1,IF($J80=0,0.5,0)),IF(IF(AND($K80&gt;0,$K80&lt;18),INDEX(AD80:AU80,1,$K80),$J80)&lt;0,1,IF(IF(AND($K80&gt;0,$K80&lt;18),INDEX(AD80:AU80,1,$K80),$J80)=0,0.5,0))))</f>
      </c>
      <c r="H80" t="e">
        <f>IF($A80="","",SUM(L80:T80))</f>
      </c>
      <c r="I80" t="e">
        <f>IF($A80="","",SUM(U80:AC80))</f>
      </c>
      <c r="J80" t="e">
        <f>IF($A80="","",SUM(L80:AC80))</f>
      </c>
      <c r="K80" t="e">
        <f>IF($A80="","",MIN(AV80:BM80))</f>
      </c>
      <c r="L80" t="e">
        <f>IF($A80="","",IF(COUNTIFS('Player Rounds'!$A$2:$A$401,$A80,'Player Rounds'!$B$2:$B$401,$B80,'Player Rounds'!$F$2:$F$401,"&gt;0")=0,"",SIGN(_xlfn.MINIFS('Player Rounds'!$Z$2:$Z$401,'Player Rounds'!$A$2:$A$401,$A80,'Player Rounds'!$B$2:$B$401,$B80,'Player Rounds'!$C$2:$C$401,$D80)-_xlfn.MINIFS('Player Rounds'!$Z$2:$Z$401,'Player Rounds'!$A$2:$A$401,$A80,'Player Rounds'!$B$2:$B$401,$B80,'Player Rounds'!$C$2:$C$401,$C80))))</f>
      </c>
      <c r="M80" t="e">
        <f>IF($A80="","",IF(COUNTIFS('Player Rounds'!$A$2:$A$401,$A80,'Player Rounds'!$B$2:$B$401,$B80,'Player Rounds'!$G$2:$G$401,"&gt;0")=0,"",SIGN(_xlfn.MINIFS('Player Rounds'!$AA$2:$AA$401,'Player Rounds'!$A$2:$A$401,$A80,'Player Rounds'!$B$2:$B$401,$B80,'Player Rounds'!$C$2:$C$401,$D80)-_xlfn.MINIFS('Player Rounds'!$AA$2:$AA$401,'Player Rounds'!$A$2:$A$401,$A80,'Player Rounds'!$B$2:$B$401,$B80,'Player Rounds'!$C$2:$C$401,$C80))))</f>
      </c>
      <c r="N80" t="e">
        <f>IF($A80="","",IF(COUNTIFS('Player Rounds'!$A$2:$A$401,$A80,'Player Rounds'!$B$2:$B$401,$B80,'Player Rounds'!$H$2:$H$401,"&gt;0")=0,"",SIGN(_xlfn.MINIFS('Player Rounds'!$AB$2:$AB$401,'Player Rounds'!$A$2:$A$401,$A80,'Player Rounds'!$B$2:$B$401,$B80,'Player Rounds'!$C$2:$C$401,$D80)-_xlfn.MINIFS('Player Rounds'!$AB$2:$AB$401,'Player Rounds'!$A$2:$A$401,$A80,'Player Rounds'!$B$2:$B$401,$B80,'Player Rounds'!$C$2:$C$401,$C80))))</f>
      </c>
      <c r="O80" t="e">
        <f>IF($A80="","",IF(COUNTIFS('Player Rounds'!$A$2:$A$401,$A80,'Player Rounds'!$B$2:$B$401,$B80,'Player Rounds'!$I$2:$I$401,"&gt;0")=0,"",SIGN(_xlfn.MINIFS('Player Rounds'!$AC$2:$AC$401,'Player Rounds'!$A$2:$A$401,$A80,'Player Rounds'!$B$2:$B$401,$B80,'Player Rounds'!$C$2:$C$401,$D80)-_xlfn.MINIFS('Player Rounds'!$AC$2:$AC$401,'Player Rounds'!$A$2:$A$401,$A80,'Player Rounds'!$B$2:$B$401,$B80,'Player Rounds'!$C$2:$C$401,$C80))))</f>
      </c>
      <c r="P80" t="e">
        <f>IF($A80="","",IF(COUNTIFS('Player Rounds'!$A$2:$A$401,$A80,'Player Rounds'!$B$2:$B$401,$B80,'Player Rounds'!$J$2:$J$401,"&gt;0")=0,"",SIGN(_xlfn.MINIFS('Player Rounds'!$AD$2:$AD$401,'Player Rounds'!$A$2:$A$401,$A80,'Player Rounds'!$B$2:$B$401,$B80,'Player Rounds'!$C$2:$C$401,$D80)-_xlfn.MINIFS('Player Rounds'!$AD$2:$AD$401,'Player Rounds'!$A$2:$A$401,$A80,'Player Rounds'!$B$2:$B$401,$B80,'Player Rounds'!$C$2:$C$401,$C80))))</f>
      </c>
      <c r="Q80" t="e">
        <f>IF($A80="","",IF(COUNTIFS('Player Rounds'!$A$2:$A$401,$A80,'Player Rounds'!$B$2:$B$401,$B80,'Player Rounds'!$K$2:$K$401,"&gt;0")=0,"",SIGN(_xlfn.MINIFS('Player Rounds'!$AE$2:$AE$401,'Player Rounds'!$A$2:$A$401,$A80,'Player Rounds'!$B$2:$B$401,$B80,'Player Rounds'!$C$2:$C$401,$D80)-_xlfn.MINIFS('Player Rounds'!$AE$2:$AE$401,'Player Rounds'!$A$2:$A$401,$A80,'Player Rounds'!$B$2:$B$401,$B80,'Player Rounds'!$C$2:$C$401,$C80))))</f>
      </c>
      <c r="R80" t="e">
        <f>IF($A80="","",IF(COUNTIFS('Player Rounds'!$A$2:$A$401,$A80,'Player Rounds'!$B$2:$B$401,$B80,'Player Rounds'!$L$2:$L$401,"&gt;0")=0,"",SIGN(_xlfn.MINIFS('Player Rounds'!$AF$2:$AF$401,'Player Rounds'!$A$2:$A$401,$A80,'Player Rounds'!$B$2:$B$401,$B80,'Player Rounds'!$C$2:$C$401,$D80)-_xlfn.MINIFS('Player Rounds'!$AF$2:$AF$401,'Player Rounds'!$A$2:$A$401,$A80,'Player Rounds'!$B$2:$B$401,$B80,'Player Rounds'!$C$2:$C$401,$C80))))</f>
      </c>
      <c r="S80" t="e">
        <f>IF($A80="","",IF(COUNTIFS('Player Rounds'!$A$2:$A$401,$A80,'Player Rounds'!$B$2:$B$401,$B80,'Player Rounds'!$M$2:$M$401,"&gt;0")=0,"",SIGN(_xlfn.MINIFS('Player Rounds'!$AG$2:$AG$401,'Player Rounds'!$A$2:$A$401,$A80,'Player Rounds'!$B$2:$B$401,$B80,'Player Rounds'!$C$2:$C$401,$D80)-_xlfn.MINIFS('Player Rounds'!$AG$2:$AG$401,'Player Rounds'!$A$2:$A$401,$A80,'Player Rounds'!$B$2:$B$401,$B80,'Player Rounds'!$C$2:$C$401,$C80))))</f>
      </c>
      <c r="T80" t="e">
        <f>IF($A80="","",IF(COUNTIFS('Player Rounds'!$A$2:$A$401,$A80,'Player Rounds'!$B$2:$B$401,$B80,'Player Rounds'!$N$2:$N$401,"&gt;0")=0,"",SIGN(_xlfn.MINIFS('Player Rounds'!$AH$2:$AH$401,'Player Rounds'!$A$2:$A$401,$A80,'Player Rounds'!$B$2:$B$401,$B80,'Player Rounds'!$C$2:$C$401,$D80)-_xlfn.MINIFS('Player Rounds'!$AH$2:$AH$401,'Player Rounds'!$A$2:$A$401,$A80,'Player Rounds'!$B$2:$B$401,$B80,'Player Rounds'!$C$2:$C$401,$C80))))</f>
      </c>
      <c r="U80" t="e">
        <f>IF($A80="","",IF(COUNTIFS('Player Rounds'!$A$2:$A$401,$A80,'Player Rounds'!$B$2:$B$401,$B80,'Player Rounds'!$O$2:$O$401,"&gt;0")=0,"",SIGN(_xlfn.MINIFS('Player Rounds'!$AI$2:$AI$401,'Player Rounds'!$A$2:$A$401,$A80,'Player Rounds'!$B$2:$B$401,$B80,'Player Rounds'!$C$2:$C$401,$D80)-_xlfn.MINIFS('Player Rounds'!$AI$2:$AI$401,'Player Rounds'!$A$2:$A$401,$A80,'Player Rounds'!$B$2:$B$401,$B80,'Player Rounds'!$C$2:$C$401,$C80))))</f>
      </c>
      <c r="V80" t="e">
        <f>IF($A80="","",IF(COUNTIFS('Player Rounds'!$A$2:$A$401,$A80,'Player Rounds'!$B$2:$B$401,$B80,'Player Rounds'!$P$2:$P$401,"&gt;0")=0,"",SIGN(_xlfn.MINIFS('Player Rounds'!$AJ$2:$AJ$401,'Player Rounds'!$A$2:$A$401,$A80,'Player Rounds'!$B$2:$B$401,$B80,'Player Rounds'!$C$2:$C$401,$D80)-_xlfn.MINIFS('Player Rounds'!$AJ$2:$AJ$401,'Player Rounds'!$A$2:$A$401,$A80,'Player Rounds'!$B$2:$B$401,$B80,'Player Rounds'!$C$2:$C$401,$C80))))</f>
      </c>
      <c r="W80" t="e">
        <f>IF($A80="","",IF(COUNTIFS('Player Rounds'!$A$2:$A$401,$A80,'Player Rounds'!$B$2:$B$401,$B80,'Player Rounds'!$Q$2:$Q$401,"&gt;0")=0,"",SIGN(_xlfn.MINIFS('Player Rounds'!$AK$2:$AK$401,'Player Rounds'!$A$2:$A$401,$A80,'Player Rounds'!$B$2:$B$401,$B80,'Player Rounds'!$C$2:$C$401,$D80)-_xlfn.MINIFS('Player Rounds'!$AK$2:$AK$401,'Player Rounds'!$A$2:$A$401,$A80,'Player Rounds'!$B$2:$B$401,$B80,'Player Rounds'!$C$2:$C$401,$C80))))</f>
      </c>
      <c r="X80" t="e">
        <f>IF($A80="","",IF(COUNTIFS('Player Rounds'!$A$2:$A$401,$A80,'Player Rounds'!$B$2:$B$401,$B80,'Player Rounds'!$R$2:$R$401,"&gt;0")=0,"",SIGN(_xlfn.MINIFS('Player Rounds'!$AL$2:$AL$401,'Player Rounds'!$A$2:$A$401,$A80,'Player Rounds'!$B$2:$B$401,$B80,'Player Rounds'!$C$2:$C$401,$D80)-_xlfn.MINIFS('Player Rounds'!$AL$2:$AL$401,'Player Rounds'!$A$2:$A$401,$A80,'Player Rounds'!$B$2:$B$401,$B80,'Player Rounds'!$C$2:$C$401,$C80))))</f>
      </c>
      <c r="Y80" t="e">
        <f>IF($A80="","",IF(COUNTIFS('Player Rounds'!$A$2:$A$401,$A80,'Player Rounds'!$B$2:$B$401,$B80,'Player Rounds'!$S$2:$S$401,"&gt;0")=0,"",SIGN(_xlfn.MINIFS('Player Rounds'!$AM$2:$AM$401,'Player Rounds'!$A$2:$A$401,$A80,'Player Rounds'!$B$2:$B$401,$B80,'Player Rounds'!$C$2:$C$401,$D80)-_xlfn.MINIFS('Player Rounds'!$AM$2:$AM$401,'Player Rounds'!$A$2:$A$401,$A80,'Player Rounds'!$B$2:$B$401,$B80,'Player Rounds'!$C$2:$C$401,$C80))))</f>
      </c>
      <c r="Z80" t="e">
        <f>IF($A80="","",IF(COUNTIFS('Player Rounds'!$A$2:$A$401,$A80,'Player Rounds'!$B$2:$B$401,$B80,'Player Rounds'!$T$2:$T$401,"&gt;0")=0,"",SIGN(_xlfn.MINIFS('Player Rounds'!$AN$2:$AN$401,'Player Rounds'!$A$2:$A$401,$A80,'Player Rounds'!$B$2:$B$401,$B80,'Player Rounds'!$C$2:$C$401,$D80)-_xlfn.MINIFS('Player Rounds'!$AN$2:$AN$401,'Player Rounds'!$A$2:$A$401,$A80,'Player Rounds'!$B$2:$B$401,$B80,'Player Rounds'!$C$2:$C$401,$C80))))</f>
      </c>
      <c r="AA80" t="e">
        <f>IF($A80="","",IF(COUNTIFS('Player Rounds'!$A$2:$A$401,$A80,'Player Rounds'!$B$2:$B$401,$B80,'Player Rounds'!$U$2:$U$401,"&gt;0")=0,"",SIGN(_xlfn.MINIFS('Player Rounds'!$AO$2:$AO$401,'Player Rounds'!$A$2:$A$401,$A80,'Player Rounds'!$B$2:$B$401,$B80,'Player Rounds'!$C$2:$C$401,$D80)-_xlfn.MINIFS('Player Rounds'!$AO$2:$AO$401,'Player Rounds'!$A$2:$A$401,$A80,'Player Rounds'!$B$2:$B$401,$B80,'Player Rounds'!$C$2:$C$401,$C80))))</f>
      </c>
      <c r="AB80" t="e">
        <f>IF($A80="","",IF(COUNTIFS('Player Rounds'!$A$2:$A$401,$A80,'Player Rounds'!$B$2:$B$401,$B80,'Player Rounds'!$V$2:$V$401,"&gt;0")=0,"",SIGN(_xlfn.MINIFS('Player Rounds'!$AP$2:$AP$401,'Player Rounds'!$A$2:$A$401,$A80,'Player Rounds'!$B$2:$B$401,$B80,'Player Rounds'!$C$2:$C$401,$D80)-_xlfn.MINIFS('Player Rounds'!$AP$2:$AP$401,'Player Rounds'!$A$2:$A$401,$A80,'Player Rounds'!$B$2:$B$401,$B80,'Player Rounds'!$C$2:$C$401,$C80))))</f>
      </c>
      <c r="AC80" t="e">
        <f>IF($A80="","",IF(COUNTIFS('Player Rounds'!$A$2:$A$401,$A80,'Player Rounds'!$B$2:$B$401,$B80,'Player Rounds'!$W$2:$W$401,"&gt;0")=0,"",SIGN(_xlfn.MINIFS('Player Rounds'!$AQ$2:$AQ$401,'Player Rounds'!$A$2:$A$401,$A80,'Player Rounds'!$B$2:$B$401,$B80,'Player Rounds'!$C$2:$C$401,$D80)-_xlfn.MINIFS('Player Rounds'!$AQ$2:$AQ$401,'Player Rounds'!$A$2:$A$401,$A80,'Player Rounds'!$B$2:$B$401,$B80,'Player Rounds'!$C$2:$C$401,$C80))))</f>
      </c>
      <c r="AD80" t="e">
        <f>IF($A80="","",SUM($L80:L80))</f>
      </c>
      <c r="AE80" t="e">
        <f>IF($A80="","",SUM($L80:M80))</f>
      </c>
      <c r="AF80" t="e">
        <f>IF($A80="","",SUM($L80:N80))</f>
      </c>
      <c r="AG80" t="e">
        <f>IF($A80="","",SUM($L80:O80))</f>
      </c>
      <c r="AH80" t="e">
        <f>IF($A80="","",SUM($L80:P80))</f>
      </c>
      <c r="AI80" t="e">
        <f>IF($A80="","",SUM($L80:Q80))</f>
      </c>
      <c r="AJ80" t="e">
        <f>IF($A80="","",SUM($L80:R80))</f>
      </c>
      <c r="AK80" t="e">
        <f>IF($A80="","",SUM($L80:S80))</f>
      </c>
      <c r="AL80" t="e">
        <f>IF($A80="","",SUM($L80:T80))</f>
      </c>
      <c r="AM80" t="e">
        <f>IF($A80="","",SUM($L80:U80))</f>
      </c>
      <c r="AN80" t="e">
        <f>IF($A80="","",SUM($L80:V80))</f>
      </c>
      <c r="AO80" t="e">
        <f>IF($A80="","",SUM($L80:W80))</f>
      </c>
      <c r="AP80" t="e">
        <f>IF($A80="","",SUM($L80:X80))</f>
      </c>
      <c r="AQ80" t="e">
        <f>IF($A80="","",SUM($L80:Y80))</f>
      </c>
      <c r="AR80" t="e">
        <f>IF($A80="","",SUM($L80:Z80))</f>
      </c>
      <c r="AS80" t="e">
        <f>IF($A80="","",SUM($L80:AA80))</f>
      </c>
      <c r="AT80" t="e">
        <f>IF($A80="","",SUM($L80:AB80))</f>
      </c>
      <c r="AU80" t="e">
        <f>IF($A80="","",SUM($L80:AC80))</f>
      </c>
      <c r="AV80" t="e">
        <f>IF(OR($A80="",L80=""),"",IF(ABS(AD80)&gt;17,1,""))</f>
      </c>
      <c r="AW80" t="e">
        <f>IF(OR($A80="",M80=""),"",IF(ABS(AE80)&gt;16,2,""))</f>
      </c>
      <c r="AX80" t="e">
        <f>IF(OR($A80="",N80=""),"",IF(ABS(AF80)&gt;15,3,""))</f>
      </c>
      <c r="AY80" t="e">
        <f>IF(OR($A80="",O80=""),"",IF(ABS(AG80)&gt;14,4,""))</f>
      </c>
      <c r="AZ80" t="e">
        <f>IF(OR($A80="",P80=""),"",IF(ABS(AH80)&gt;13,5,""))</f>
      </c>
      <c r="BA80" t="e">
        <f>IF(OR($A80="",Q80=""),"",IF(ABS(AI80)&gt;12,6,""))</f>
      </c>
      <c r="BB80" t="e">
        <f>IF(OR($A80="",R80=""),"",IF(ABS(AJ80)&gt;11,7,""))</f>
      </c>
      <c r="BC80" t="e">
        <f>IF(OR($A80="",S80=""),"",IF(ABS(AK80)&gt;10,8,""))</f>
      </c>
      <c r="BD80" t="e">
        <f>IF(OR($A80="",T80=""),"",IF(ABS(AL80)&gt;9,9,""))</f>
      </c>
      <c r="BE80" t="e">
        <f>IF(OR($A80="",U80=""),"",IF(ABS(AM80)&gt;8,10,""))</f>
      </c>
      <c r="BF80" t="e">
        <f>IF(OR($A80="",V80=""),"",IF(ABS(AN80)&gt;7,11,""))</f>
      </c>
      <c r="BG80" t="e">
        <f>IF(OR($A80="",W80=""),"",IF(ABS(AO80)&gt;6,12,""))</f>
      </c>
      <c r="BH80" t="e">
        <f>IF(OR($A80="",X80=""),"",IF(ABS(AP80)&gt;5,13,""))</f>
      </c>
      <c r="BI80" t="e">
        <f>IF(OR($A80="",Y80=""),"",IF(ABS(AQ80)&gt;4,14,""))</f>
      </c>
      <c r="BJ80" t="e">
        <f>IF(OR($A80="",Z80=""),"",IF(ABS(AR80)&gt;3,15,""))</f>
      </c>
      <c r="BK80" t="e">
        <f>IF(OR($A80="",AA80=""),"",IF(ABS(AS80)&gt;2,16,""))</f>
      </c>
      <c r="BL80" t="e">
        <f>IF(OR($A80="",AB80=""),"",IF(ABS(AT80)&gt;1,17,""))</f>
      </c>
      <c r="BM80" t="e">
        <f>IF(OR($A80="",AC80=""),"",IF(ABS(AU80)&gt;0,18,""))</f>
      </c>
    </row>
    <row r="81">
      <c r="C81" t="str">
        <f>IF($A81="","",INDEX('Tournament Setup'!$J:$J,MATCH($A81,'Tournament Setup'!$A:$A,0)))</f>
        <v/>
      </c>
      <c r="D81" t="str">
        <f>IF($A81="","",INDEX('Tournament Setup'!$K:$K,MATCH($A81,'Tournament Setup'!$A:$A,0)))</f>
        <v/>
      </c>
      <c r="E81" t="str">
        <f>IF($A81="","",IF(COUNT(L81:AC81)=0,"Not played",IF(AND($K81&gt;0,$K81&lt;18),IF(INDEX(AD81:AU81,1,$K81)&gt;0,$C81,$D81)&amp;" "&amp;ABS(INDEX(AD81:AU81,1,$K81))&amp;"&amp;"&amp;(18-$K81),IF($J81=0,"Halved (AS)",IF($J81&gt;0,$C81,$D81)&amp;" "&amp;ABS($J81)&amp;" UP"))))</f>
        <v/>
      </c>
      <c r="F81" t="e">
        <f>IF(OR($A81="",COUNT(L81:AC81)=0),"",INDEX('Tournament Setup'!$I:$I,MATCH($A81,'Tournament Setup'!$A:$A,0))*IF(INDEX('Tournament Setup'!$H:$H,MATCH($A81,'Tournament Setup'!$A:$A,0))="Yes",IF($H81&gt;0,1,IF($H81=0,0.5,0))+IF($I81&gt;0,1,IF($I81=0,0.5,0))+IF($J81&gt;0,1,IF($J81=0,0.5,0)),IF(IF(AND($K81&gt;0,$K81&lt;18),INDEX(AD81:AU81,1,$K81),$J81)&gt;0,1,IF(IF(AND($K81&gt;0,$K81&lt;18),INDEX(AD81:AU81,1,$K81),$J81)=0,0.5,0))))</f>
      </c>
      <c r="G81" t="e">
        <f>IF(OR($A81="",COUNT(L81:AC81)=0),"",INDEX('Tournament Setup'!$I:$I,MATCH($A81,'Tournament Setup'!$A:$A,0))*IF(INDEX('Tournament Setup'!$H:$H,MATCH($A81,'Tournament Setup'!$A:$A,0))="Yes",IF($H81&lt;0,1,IF($H81=0,0.5,0))+IF($I81&lt;0,1,IF($I81=0,0.5,0))+IF($J81&lt;0,1,IF($J81=0,0.5,0)),IF(IF(AND($K81&gt;0,$K81&lt;18),INDEX(AD81:AU81,1,$K81),$J81)&lt;0,1,IF(IF(AND($K81&gt;0,$K81&lt;18),INDEX(AD81:AU81,1,$K81),$J81)=0,0.5,0))))</f>
      </c>
      <c r="H81" t="e">
        <f>IF($A81="","",SUM(L81:T81))</f>
      </c>
      <c r="I81" t="e">
        <f>IF($A81="","",SUM(U81:AC81))</f>
      </c>
      <c r="J81" t="e">
        <f>IF($A81="","",SUM(L81:AC81))</f>
      </c>
      <c r="K81" t="e">
        <f>IF($A81="","",MIN(AV81:BM81))</f>
      </c>
      <c r="L81" t="e">
        <f>IF($A81="","",IF(COUNTIFS('Player Rounds'!$A$2:$A$401,$A81,'Player Rounds'!$B$2:$B$401,$B81,'Player Rounds'!$F$2:$F$401,"&gt;0")=0,"",SIGN(_xlfn.MINIFS('Player Rounds'!$Z$2:$Z$401,'Player Rounds'!$A$2:$A$401,$A81,'Player Rounds'!$B$2:$B$401,$B81,'Player Rounds'!$C$2:$C$401,$D81)-_xlfn.MINIFS('Player Rounds'!$Z$2:$Z$401,'Player Rounds'!$A$2:$A$401,$A81,'Player Rounds'!$B$2:$B$401,$B81,'Player Rounds'!$C$2:$C$401,$C81))))</f>
      </c>
      <c r="M81" t="e">
        <f>IF($A81="","",IF(COUNTIFS('Player Rounds'!$A$2:$A$401,$A81,'Player Rounds'!$B$2:$B$401,$B81,'Player Rounds'!$G$2:$G$401,"&gt;0")=0,"",SIGN(_xlfn.MINIFS('Player Rounds'!$AA$2:$AA$401,'Player Rounds'!$A$2:$A$401,$A81,'Player Rounds'!$B$2:$B$401,$B81,'Player Rounds'!$C$2:$C$401,$D81)-_xlfn.MINIFS('Player Rounds'!$AA$2:$AA$401,'Player Rounds'!$A$2:$A$401,$A81,'Player Rounds'!$B$2:$B$401,$B81,'Player Rounds'!$C$2:$C$401,$C81))))</f>
      </c>
      <c r="N81" t="e">
        <f>IF($A81="","",IF(COUNTIFS('Player Rounds'!$A$2:$A$401,$A81,'Player Rounds'!$B$2:$B$401,$B81,'Player Rounds'!$H$2:$H$401,"&gt;0")=0,"",SIGN(_xlfn.MINIFS('Player Rounds'!$AB$2:$AB$401,'Player Rounds'!$A$2:$A$401,$A81,'Player Rounds'!$B$2:$B$401,$B81,'Player Rounds'!$C$2:$C$401,$D81)-_xlfn.MINIFS('Player Rounds'!$AB$2:$AB$401,'Player Rounds'!$A$2:$A$401,$A81,'Player Rounds'!$B$2:$B$401,$B81,'Player Rounds'!$C$2:$C$401,$C81))))</f>
      </c>
      <c r="O81" t="e">
        <f>IF($A81="","",IF(COUNTIFS('Player Rounds'!$A$2:$A$401,$A81,'Player Rounds'!$B$2:$B$401,$B81,'Player Rounds'!$I$2:$I$401,"&gt;0")=0,"",SIGN(_xlfn.MINIFS('Player Rounds'!$AC$2:$AC$401,'Player Rounds'!$A$2:$A$401,$A81,'Player Rounds'!$B$2:$B$401,$B81,'Player Rounds'!$C$2:$C$401,$D81)-_xlfn.MINIFS('Player Rounds'!$AC$2:$AC$401,'Player Rounds'!$A$2:$A$401,$A81,'Player Rounds'!$B$2:$B$401,$B81,'Player Rounds'!$C$2:$C$401,$C81))))</f>
      </c>
      <c r="P81" t="e">
        <f>IF($A81="","",IF(COUNTIFS('Player Rounds'!$A$2:$A$401,$A81,'Player Rounds'!$B$2:$B$401,$B81,'Player Rounds'!$J$2:$J$401,"&gt;0")=0,"",SIGN(_xlfn.MINIFS('Player Rounds'!$AD$2:$AD$401,'Player Rounds'!$A$2:$A$401,$A81,'Player Rounds'!$B$2:$B$401,$B81,'Player Rounds'!$C$2:$C$401,$D81)-_xlfn.MINIFS('Player Rounds'!$AD$2:$AD$401,'Player Rounds'!$A$2:$A$401,$A81,'Player Rounds'!$B$2:$B$401,$B81,'Player Rounds'!$C$2:$C$401,$C81))))</f>
      </c>
      <c r="Q81" t="e">
        <f>IF($A81="","",IF(COUNTIFS('Player Rounds'!$A$2:$A$401,$A81,'Player Rounds'!$B$2:$B$401,$B81,'Player Rounds'!$K$2:$K$401,"&gt;0")=0,"",SIGN(_xlfn.MINIFS('Player Rounds'!$AE$2:$AE$401,'Player Rounds'!$A$2:$A$401,$A81,'Player Rounds'!$B$2:$B$401,$B81,'Player Rounds'!$C$2:$C$401,$D81)-_xlfn.MINIFS('Player Rounds'!$AE$2:$AE$401,'Player Rounds'!$A$2:$A$401,$A81,'Player Rounds'!$B$2:$B$401,$B81,'Player Rounds'!$C$2:$C$401,$C81))))</f>
      </c>
      <c r="R81" t="e">
        <f>IF($A81="","",IF(COUNTIFS('Player Rounds'!$A$2:$A$401,$A81,'Player Rounds'!$B$2:$B$401,$B81,'Player Rounds'!$L$2:$L$401,"&gt;0")=0,"",SIGN(_xlfn.MINIFS('Player Rounds'!$AF$2:$AF$401,'Player Rounds'!$A$2:$A$401,$A81,'Player Rounds'!$B$2:$B$401,$B81,'Player Rounds'!$C$2:$C$401,$D81)-_xlfn.MINIFS('Player Rounds'!$AF$2:$AF$401,'Player Rounds'!$A$2:$A$401,$A81,'Player Rounds'!$B$2:$B$401,$B81,'Player Rounds'!$C$2:$C$401,$C81))))</f>
      </c>
      <c r="S81" t="e">
        <f>IF($A81="","",IF(COUNTIFS('Player Rounds'!$A$2:$A$401,$A81,'Player Rounds'!$B$2:$B$401,$B81,'Player Rounds'!$M$2:$M$401,"&gt;0")=0,"",SIGN(_xlfn.MINIFS('Player Rounds'!$AG$2:$AG$401,'Player Rounds'!$A$2:$A$401,$A81,'Player Rounds'!$B$2:$B$401,$B81,'Player Rounds'!$C$2:$C$401,$D81)-_xlfn.MINIFS('Player Rounds'!$AG$2:$AG$401,'Player Rounds'!$A$2:$A$401,$A81,'Player Rounds'!$B$2:$B$401,$B81,'Player Rounds'!$C$2:$C$401,$C81))))</f>
      </c>
      <c r="T81" t="e">
        <f>IF($A81="","",IF(COUNTIFS('Player Rounds'!$A$2:$A$401,$A81,'Player Rounds'!$B$2:$B$401,$B81,'Player Rounds'!$N$2:$N$401,"&gt;0")=0,"",SIGN(_xlfn.MINIFS('Player Rounds'!$AH$2:$AH$401,'Player Rounds'!$A$2:$A$401,$A81,'Player Rounds'!$B$2:$B$401,$B81,'Player Rounds'!$C$2:$C$401,$D81)-_xlfn.MINIFS('Player Rounds'!$AH$2:$AH$401,'Player Rounds'!$A$2:$A$401,$A81,'Player Rounds'!$B$2:$B$401,$B81,'Player Rounds'!$C$2:$C$401,$C81))))</f>
      </c>
      <c r="U81" t="e">
        <f>IF($A81="","",IF(COUNTIFS('Player Rounds'!$A$2:$A$401,$A81,'Player Rounds'!$B$2:$B$401,$B81,'Player Rounds'!$O$2:$O$401,"&gt;0")=0,"",SIGN(_xlfn.MINIFS('Player Rounds'!$AI$2:$AI$401,'Player Rounds'!$A$2:$A$401,$A81,'Player Rounds'!$B$2:$B$401,$B81,'Player Rounds'!$C$2:$C$401,$D81)-_xlfn.MINIFS('Player Rounds'!$AI$2:$AI$401,'Player Rounds'!$A$2:$A$401,$A81,'Player Rounds'!$B$2:$B$401,$B81,'Player Rounds'!$C$2:$C$401,$C81))))</f>
      </c>
      <c r="V81" t="e">
        <f>IF($A81="","",IF(COUNTIFS('Player Rounds'!$A$2:$A$401,$A81,'Player Rounds'!$B$2:$B$401,$B81,'Player Rounds'!$P$2:$P$401,"&gt;0")=0,"",SIGN(_xlfn.MINIFS('Player Rounds'!$AJ$2:$AJ$401,'Player Rounds'!$A$2:$A$401,$A81,'Player Rounds'!$B$2:$B$401,$B81,'Player Rounds'!$C$2:$C$401,$D81)-_xlfn.MINIFS('Player Rounds'!$AJ$2:$AJ$401,'Player Rounds'!$A$2:$A$401,$A81,'Player Rounds'!$B$2:$B$401,$B81,'Player Rounds'!$C$2:$C$401,$C81))))</f>
      </c>
      <c r="W81" t="e">
        <f>IF($A81="","",IF(COUNTIFS('Player Rounds'!$A$2:$A$401,$A81,'Player Rounds'!$B$2:$B$401,$B81,'Player Rounds'!$Q$2:$Q$401,"&gt;0")=0,"",SIGN(_xlfn.MINIFS('Player Rounds'!$AK$2:$AK$401,'Player Rounds'!$A$2:$A$401,$A81,'Player Rounds'!$B$2:$B$401,$B81,'Player Rounds'!$C$2:$C$401,$D81)-_xlfn.MINIFS('Player Rounds'!$AK$2:$AK$401,'Player Rounds'!$A$2:$A$401,$A81,'Player Rounds'!$B$2:$B$401,$B81,'Player Rounds'!$C$2:$C$401,$C81))))</f>
      </c>
      <c r="X81" t="e">
        <f>IF($A81="","",IF(COUNTIFS('Player Rounds'!$A$2:$A$401,$A81,'Player Rounds'!$B$2:$B$401,$B81,'Player Rounds'!$R$2:$R$401,"&gt;0")=0,"",SIGN(_xlfn.MINIFS('Player Rounds'!$AL$2:$AL$401,'Player Rounds'!$A$2:$A$401,$A81,'Player Rounds'!$B$2:$B$401,$B81,'Player Rounds'!$C$2:$C$401,$D81)-_xlfn.MINIFS('Player Rounds'!$AL$2:$AL$401,'Player Rounds'!$A$2:$A$401,$A81,'Player Rounds'!$B$2:$B$401,$B81,'Player Rounds'!$C$2:$C$401,$C81))))</f>
      </c>
      <c r="Y81" t="e">
        <f>IF($A81="","",IF(COUNTIFS('Player Rounds'!$A$2:$A$401,$A81,'Player Rounds'!$B$2:$B$401,$B81,'Player Rounds'!$S$2:$S$401,"&gt;0")=0,"",SIGN(_xlfn.MINIFS('Player Rounds'!$AM$2:$AM$401,'Player Rounds'!$A$2:$A$401,$A81,'Player Rounds'!$B$2:$B$401,$B81,'Player Rounds'!$C$2:$C$401,$D81)-_xlfn.MINIFS('Player Rounds'!$AM$2:$AM$401,'Player Rounds'!$A$2:$A$401,$A81,'Player Rounds'!$B$2:$B$401,$B81,'Player Rounds'!$C$2:$C$401,$C81))))</f>
      </c>
      <c r="Z81" t="e">
        <f>IF($A81="","",IF(COUNTIFS('Player Rounds'!$A$2:$A$401,$A81,'Player Rounds'!$B$2:$B$401,$B81,'Player Rounds'!$T$2:$T$401,"&gt;0")=0,"",SIGN(_xlfn.MINIFS('Player Rounds'!$AN$2:$AN$401,'Player Rounds'!$A$2:$A$401,$A81,'Player Rounds'!$B$2:$B$401,$B81,'Player Rounds'!$C$2:$C$401,$D81)-_xlfn.MINIFS('Player Rounds'!$AN$2:$AN$401,'Player Rounds'!$A$2:$A$401,$A81,'Player Rounds'!$B$2:$B$401,$B81,'Player Rounds'!$C$2:$C$401,$C81))))</f>
      </c>
      <c r="AA81" t="e">
        <f>IF($A81="","",IF(COUNTIFS('Player Rounds'!$A$2:$A$401,$A81,'Player Rounds'!$B$2:$B$401,$B81,'Player Rounds'!$U$2:$U$401,"&gt;0")=0,"",SIGN(_xlfn.MINIFS('Player Rounds'!$AO$2:$AO$401,'Player Rounds'!$A$2:$A$401,$A81,'Player Rounds'!$B$2:$B$401,$B81,'Player Rounds'!$C$2:$C$401,$D81)-_xlfn.MINIFS('Player Rounds'!$AO$2:$AO$401,'Player Rounds'!$A$2:$A$401,$A81,'Player Rounds'!$B$2:$B$401,$B81,'Player Rounds'!$C$2:$C$401,$C81))))</f>
      </c>
      <c r="AB81" t="e">
        <f>IF($A81="","",IF(COUNTIFS('Player Rounds'!$A$2:$A$401,$A81,'Player Rounds'!$B$2:$B$401,$B81,'Player Rounds'!$V$2:$V$401,"&gt;0")=0,"",SIGN(_xlfn.MINIFS('Player Rounds'!$AP$2:$AP$401,'Player Rounds'!$A$2:$A$401,$A81,'Player Rounds'!$B$2:$B$401,$B81,'Player Rounds'!$C$2:$C$401,$D81)-_xlfn.MINIFS('Player Rounds'!$AP$2:$AP$401,'Player Rounds'!$A$2:$A$401,$A81,'Player Rounds'!$B$2:$B$401,$B81,'Player Rounds'!$C$2:$C$401,$C81))))</f>
      </c>
      <c r="AC81" t="e">
        <f>IF($A81="","",IF(COUNTIFS('Player Rounds'!$A$2:$A$401,$A81,'Player Rounds'!$B$2:$B$401,$B81,'Player Rounds'!$W$2:$W$401,"&gt;0")=0,"",SIGN(_xlfn.MINIFS('Player Rounds'!$AQ$2:$AQ$401,'Player Rounds'!$A$2:$A$401,$A81,'Player Rounds'!$B$2:$B$401,$B81,'Player Rounds'!$C$2:$C$401,$D81)-_xlfn.MINIFS('Player Rounds'!$AQ$2:$AQ$401,'Player Rounds'!$A$2:$A$401,$A81,'Player Rounds'!$B$2:$B$401,$B81,'Player Rounds'!$C$2:$C$401,$C81))))</f>
      </c>
      <c r="AD81" t="e">
        <f>IF($A81="","",SUM($L81:L81))</f>
      </c>
      <c r="AE81" t="e">
        <f>IF($A81="","",SUM($L81:M81))</f>
      </c>
      <c r="AF81" t="e">
        <f>IF($A81="","",SUM($L81:N81))</f>
      </c>
      <c r="AG81" t="e">
        <f>IF($A81="","",SUM($L81:O81))</f>
      </c>
      <c r="AH81" t="e">
        <f>IF($A81="","",SUM($L81:P81))</f>
      </c>
      <c r="AI81" t="e">
        <f>IF($A81="","",SUM($L81:Q81))</f>
      </c>
      <c r="AJ81" t="e">
        <f>IF($A81="","",SUM($L81:R81))</f>
      </c>
      <c r="AK81" t="e">
        <f>IF($A81="","",SUM($L81:S81))</f>
      </c>
      <c r="AL81" t="e">
        <f>IF($A81="","",SUM($L81:T81))</f>
      </c>
      <c r="AM81" t="e">
        <f>IF($A81="","",SUM($L81:U81))</f>
      </c>
      <c r="AN81" t="e">
        <f>IF($A81="","",SUM($L81:V81))</f>
      </c>
      <c r="AO81" t="e">
        <f>IF($A81="","",SUM($L81:W81))</f>
      </c>
      <c r="AP81" t="e">
        <f>IF($A81="","",SUM($L81:X81))</f>
      </c>
      <c r="AQ81" t="e">
        <f>IF($A81="","",SUM($L81:Y81))</f>
      </c>
      <c r="AR81" t="e">
        <f>IF($A81="","",SUM($L81:Z81))</f>
      </c>
      <c r="AS81" t="e">
        <f>IF($A81="","",SUM($L81:AA81))</f>
      </c>
      <c r="AT81" t="e">
        <f>IF($A81="","",SUM($L81:AB81))</f>
      </c>
      <c r="AU81" t="e">
        <f>IF($A81="","",SUM($L81:AC81))</f>
      </c>
      <c r="AV81" t="e">
        <f>IF(OR($A81="",L81=""),"",IF(ABS(AD81)&gt;17,1,""))</f>
      </c>
      <c r="AW81" t="e">
        <f>IF(OR($A81="",M81=""),"",IF(ABS(AE81)&gt;16,2,""))</f>
      </c>
      <c r="AX81" t="e">
        <f>IF(OR($A81="",N81=""),"",IF(ABS(AF81)&gt;15,3,""))</f>
      </c>
      <c r="AY81" t="e">
        <f>IF(OR($A81="",O81=""),"",IF(ABS(AG81)&gt;14,4,""))</f>
      </c>
      <c r="AZ81" t="e">
        <f>IF(OR($A81="",P81=""),"",IF(ABS(AH81)&gt;13,5,""))</f>
      </c>
      <c r="BA81" t="e">
        <f>IF(OR($A81="",Q81=""),"",IF(ABS(AI81)&gt;12,6,""))</f>
      </c>
      <c r="BB81" t="e">
        <f>IF(OR($A81="",R81=""),"",IF(ABS(AJ81)&gt;11,7,""))</f>
      </c>
      <c r="BC81" t="e">
        <f>IF(OR($A81="",S81=""),"",IF(ABS(AK81)&gt;10,8,""))</f>
      </c>
      <c r="BD81" t="e">
        <f>IF(OR($A81="",T81=""),"",IF(ABS(AL81)&gt;9,9,""))</f>
      </c>
      <c r="BE81" t="e">
        <f>IF(OR($A81="",U81=""),"",IF(ABS(AM81)&gt;8,10,""))</f>
      </c>
      <c r="BF81" t="e">
        <f>IF(OR($A81="",V81=""),"",IF(ABS(AN81)&gt;7,11,""))</f>
      </c>
      <c r="BG81" t="e">
        <f>IF(OR($A81="",W81=""),"",IF(ABS(AO81)&gt;6,12,""))</f>
      </c>
      <c r="BH81" t="e">
        <f>IF(OR($A81="",X81=""),"",IF(ABS(AP81)&gt;5,13,""))</f>
      </c>
      <c r="BI81" t="e">
        <f>IF(OR($A81="",Y81=""),"",IF(ABS(AQ81)&gt;4,14,""))</f>
      </c>
      <c r="BJ81" t="e">
        <f>IF(OR($A81="",Z81=""),"",IF(ABS(AR81)&gt;3,15,""))</f>
      </c>
      <c r="BK81" t="e">
        <f>IF(OR($A81="",AA81=""),"",IF(ABS(AS81)&gt;2,16,""))</f>
      </c>
      <c r="BL81" t="e">
        <f>IF(OR($A81="",AB81=""),"",IF(ABS(AT81)&gt;1,17,""))</f>
      </c>
      <c r="BM81" t="e">
        <f>IF(OR($A81="",AC81=""),"",IF(ABS(AU81)&gt;0,18,""))</f>
      </c>
    </row>
  </sheetData>
  <ignoredErrors>
    <ignoredError numberStoredAsText="1" sqref="A1:BM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Round</v>
      </c>
      <c r="B1" t="str">
        <v>Team A</v>
      </c>
      <c r="C1" t="str">
        <v>Team A Points</v>
      </c>
      <c r="D1" t="str">
        <v>Team B</v>
      </c>
      <c r="E1" t="str">
        <v>Team B Points</v>
      </c>
    </row>
    <row r="2">
      <c r="A2" t="e">
        <f>IF('Tournament Setup'!$A2="","",'Tournament Setup'!$A2)</f>
      </c>
      <c r="B2" t="str">
        <f>IF($A2="","",'Tournament Setup'!$J2)</f>
        <v/>
      </c>
      <c r="C2" t="e">
        <f>IF($A2="","",SUMIFS('Results'!$F$2:$F$81,'Results'!$A$2:$A$81,$A2))</f>
      </c>
      <c r="D2" t="str">
        <f>IF($A2="","",'Tournament Setup'!$K2)</f>
        <v/>
      </c>
      <c r="E2" t="e">
        <f>IF($A2="","",SUMIFS('Results'!$G$2:$G$81,'Results'!$A$2:$A$81,$A2))</f>
      </c>
    </row>
    <row r="3">
      <c r="A3" t="e">
        <f>IF('Tournament Setup'!$A3="","",'Tournament Setup'!$A3)</f>
      </c>
      <c r="B3" t="str">
        <f>IF($A3="","",'Tournament Setup'!$J3)</f>
        <v/>
      </c>
      <c r="C3" t="e">
        <f>IF($A3="","",SUMIFS('Results'!$F$2:$F$81,'Results'!$A$2:$A$81,$A3))</f>
      </c>
      <c r="D3" t="str">
        <f>IF($A3="","",'Tournament Setup'!$K3)</f>
        <v/>
      </c>
      <c r="E3" t="e">
        <f>IF($A3="","",SUMIFS('Results'!$G$2:$G$81,'Results'!$A$2:$A$81,$A3))</f>
      </c>
    </row>
    <row r="4">
      <c r="A4" t="e">
        <f>IF('Tournament Setup'!$A4="","",'Tournament Setup'!$A4)</f>
      </c>
      <c r="B4" t="str">
        <f>IF($A4="","",'Tournament Setup'!$J4)</f>
        <v/>
      </c>
      <c r="C4" t="e">
        <f>IF($A4="","",SUMIFS('Results'!$F$2:$F$81,'Results'!$A$2:$A$81,$A4))</f>
      </c>
      <c r="D4" t="str">
        <f>IF($A4="","",'Tournament Setup'!$K4)</f>
        <v/>
      </c>
      <c r="E4" t="e">
        <f>IF($A4="","",SUMIFS('Results'!$G$2:$G$81,'Results'!$A$2:$A$81,$A4))</f>
      </c>
    </row>
    <row r="5">
      <c r="A5" t="e">
        <f>IF('Tournament Setup'!$A5="","",'Tournament Setup'!$A5)</f>
      </c>
      <c r="B5" t="str">
        <f>IF($A5="","",'Tournament Setup'!$J5)</f>
        <v/>
      </c>
      <c r="C5" t="e">
        <f>IF($A5="","",SUMIFS('Results'!$F$2:$F$81,'Results'!$A$2:$A$81,$A5))</f>
      </c>
      <c r="D5" t="str">
        <f>IF($A5="","",'Tournament Setup'!$K5)</f>
        <v/>
      </c>
      <c r="E5" t="e">
        <f>IF($A5="","",SUMIFS('Results'!$G$2:$G$81,'Results'!$A$2:$A$81,$A5))</f>
      </c>
    </row>
    <row r="6">
      <c r="A6" t="e">
        <f>IF('Tournament Setup'!$A6="","",'Tournament Setup'!$A6)</f>
      </c>
      <c r="B6" t="str">
        <f>IF($A6="","",'Tournament Setup'!$J6)</f>
        <v/>
      </c>
      <c r="C6" t="e">
        <f>IF($A6="","",SUMIFS('Results'!$F$2:$F$81,'Results'!$A$2:$A$81,$A6))</f>
      </c>
      <c r="D6" t="str">
        <f>IF($A6="","",'Tournament Setup'!$K6)</f>
        <v/>
      </c>
      <c r="E6" t="e">
        <f>IF($A6="","",SUMIFS('Results'!$G$2:$G$81,'Results'!$A$2:$A$81,$A6))</f>
      </c>
    </row>
    <row r="7">
      <c r="A7" t="e">
        <f>IF('Tournament Setup'!$A7="","",'Tournament Setup'!$A7)</f>
      </c>
      <c r="B7" t="str">
        <f>IF($A7="","",'Tournament Setup'!$J7)</f>
        <v/>
      </c>
      <c r="C7" t="e">
        <f>IF($A7="","",SUMIFS('Results'!$F$2:$F$81,'Results'!$A$2:$A$81,$A7))</f>
      </c>
      <c r="D7" t="str">
        <f>IF($A7="","",'Tournament Setup'!$K7)</f>
        <v/>
      </c>
      <c r="E7" t="e">
        <f>IF($A7="","",SUMIFS('Results'!$G$2:$G$81,'Results'!$A$2:$A$81,$A7))</f>
      </c>
    </row>
    <row r="8">
      <c r="A8" t="e">
        <f>IF('Tournament Setup'!$A8="","",'Tournament Setup'!$A8)</f>
      </c>
      <c r="B8" t="str">
        <f>IF($A8="","",'Tournament Setup'!$J8)</f>
        <v/>
      </c>
      <c r="C8" t="e">
        <f>IF($A8="","",SUMIFS('Results'!$F$2:$F$81,'Results'!$A$2:$A$81,$A8))</f>
      </c>
      <c r="D8" t="str">
        <f>IF($A8="","",'Tournament Setup'!$K8)</f>
        <v/>
      </c>
      <c r="E8" t="e">
        <f>IF($A8="","",SUMIFS('Results'!$G$2:$G$81,'Results'!$A$2:$A$81,$A8))</f>
      </c>
    </row>
    <row r="9">
      <c r="A9" t="e">
        <f>IF('Tournament Setup'!$A9="","",'Tournament Setup'!$A9)</f>
      </c>
      <c r="B9" t="str">
        <f>IF($A9="","",'Tournament Setup'!$J9)</f>
        <v/>
      </c>
      <c r="C9" t="e">
        <f>IF($A9="","",SUMIFS('Results'!$F$2:$F$81,'Results'!$A$2:$A$81,$A9))</f>
      </c>
      <c r="D9" t="str">
        <f>IF($A9="","",'Tournament Setup'!$K9)</f>
        <v/>
      </c>
      <c r="E9" t="e">
        <f>IF($A9="","",SUMIFS('Results'!$G$2:$G$81,'Results'!$A$2:$A$81,$A9))</f>
      </c>
    </row>
    <row r="10">
      <c r="A10" t="e">
        <f>IF('Tournament Setup'!$A10="","",'Tournament Setup'!$A10)</f>
      </c>
      <c r="B10" t="str">
        <f>IF($A10="","",'Tournament Setup'!$J10)</f>
        <v/>
      </c>
      <c r="C10" t="e">
        <f>IF($A10="","",SUMIFS('Results'!$F$2:$F$81,'Results'!$A$2:$A$81,$A10))</f>
      </c>
      <c r="D10" t="str">
        <f>IF($A10="","",'Tournament Setup'!$K10)</f>
        <v/>
      </c>
      <c r="E10" t="e">
        <f>IF($A10="","",SUMIFS('Results'!$G$2:$G$81,'Results'!$A$2:$A$81,$A10))</f>
      </c>
    </row>
    <row r="11">
      <c r="A11" t="e">
        <f>IF('Tournament Setup'!$A11="","",'Tournament Setup'!$A11)</f>
      </c>
      <c r="B11" t="str">
        <f>IF($A11="","",'Tournament Setup'!$J11)</f>
        <v/>
      </c>
      <c r="C11" t="e">
        <f>IF($A11="","",SUMIFS('Results'!$F$2:$F$81,'Results'!$A$2:$A$81,$A11))</f>
      </c>
      <c r="D11" t="str">
        <f>IF($A11="","",'Tournament Setup'!$K11)</f>
        <v/>
      </c>
      <c r="E11" t="e">
        <f>IF($A11="","",SUMIFS('Results'!$G$2:$G$81,'Results'!$A$2:$A$81,$A11))</f>
      </c>
    </row>
    <row r="12">
      <c r="A12" t="e">
        <f>IF('Tournament Setup'!$A12="","",'Tournament Setup'!$A12)</f>
      </c>
      <c r="B12" t="str">
        <f>IF($A12="","",'Tournament Setup'!$J12)</f>
        <v/>
      </c>
      <c r="C12" t="e">
        <f>IF($A12="","",SUMIFS('Results'!$F$2:$F$81,'Results'!$A$2:$A$81,$A12))</f>
      </c>
      <c r="D12" t="str">
        <f>IF($A12="","",'Tournament Setup'!$K12)</f>
        <v/>
      </c>
      <c r="E12" t="e">
        <f>IF($A12="","",SUMIFS('Results'!$G$2:$G$81,'Results'!$A$2:$A$81,$A12))</f>
      </c>
    </row>
    <row r="13">
      <c r="A13" t="e">
        <f>IF('Tournament Setup'!$A13="","",'Tournament Setup'!$A13)</f>
      </c>
      <c r="B13" t="str">
        <f>IF($A13="","",'Tournament Setup'!$J13)</f>
        <v/>
      </c>
      <c r="C13" t="e">
        <f>IF($A13="","",SUMIFS('Results'!$F$2:$F$81,'Results'!$A$2:$A$81,$A13))</f>
      </c>
      <c r="D13" t="str">
        <f>IF($A13="","",'Tournament Setup'!$K13)</f>
        <v/>
      </c>
      <c r="E13" t="e">
        <f>IF($A13="","",SUMIFS('Results'!$G$2:$G$81,'Results'!$A$2:$A$81,$A13))</f>
      </c>
    </row>
    <row r="14">
      <c r="A14" t="e">
        <f>IF('Tournament Setup'!$A14="","",'Tournament Setup'!$A14)</f>
      </c>
      <c r="B14" t="str">
        <f>IF($A14="","",'Tournament Setup'!$J14)</f>
        <v/>
      </c>
      <c r="C14" t="e">
        <f>IF($A14="","",SUMIFS('Results'!$F$2:$F$81,'Results'!$A$2:$A$81,$A14))</f>
      </c>
      <c r="D14" t="str">
        <f>IF($A14="","",'Tournament Setup'!$K14)</f>
        <v/>
      </c>
      <c r="E14" t="e">
        <f>IF($A14="","",SUMIFS('Results'!$G$2:$G$81,'Results'!$A$2:$A$81,$A14))</f>
      </c>
    </row>
    <row r="15">
      <c r="A15" t="e">
        <f>IF('Tournament Setup'!$A15="","",'Tournament Setup'!$A15)</f>
      </c>
      <c r="B15" t="str">
        <f>IF($A15="","",'Tournament Setup'!$J15)</f>
        <v/>
      </c>
      <c r="C15" t="e">
        <f>IF($A15="","",SUMIFS('Results'!$F$2:$F$81,'Results'!$A$2:$A$81,$A15))</f>
      </c>
      <c r="D15" t="str">
        <f>IF($A15="","",'Tournament Setup'!$K15)</f>
        <v/>
      </c>
      <c r="E15" t="e">
        <f>IF($A15="","",SUMIFS('Results'!$G$2:$G$81,'Results'!$A$2:$A$81,$A15))</f>
      </c>
    </row>
    <row r="16">
      <c r="A16" t="e">
        <f>IF('Tournament Setup'!$A16="","",'Tournament Setup'!$A16)</f>
      </c>
      <c r="B16" t="str">
        <f>IF($A16="","",'Tournament Setup'!$J16)</f>
        <v/>
      </c>
      <c r="C16" t="e">
        <f>IF($A16="","",SUMIFS('Results'!$F$2:$F$81,'Results'!$A$2:$A$81,$A16))</f>
      </c>
      <c r="D16" t="str">
        <f>IF($A16="","",'Tournament Setup'!$K16)</f>
        <v/>
      </c>
      <c r="E16" t="e">
        <f>IF($A16="","",SUMIFS('Results'!$G$2:$G$81,'Results'!$A$2:$A$81,$A16))</f>
      </c>
    </row>
    <row r="17">
      <c r="A17" t="e">
        <f>IF('Tournament Setup'!$A17="","",'Tournament Setup'!$A17)</f>
      </c>
      <c r="B17" t="str">
        <f>IF($A17="","",'Tournament Setup'!$J17)</f>
        <v/>
      </c>
      <c r="C17" t="e">
        <f>IF($A17="","",SUMIFS('Results'!$F$2:$F$81,'Results'!$A$2:$A$81,$A17))</f>
      </c>
      <c r="D17" t="str">
        <f>IF($A17="","",'Tournament Setup'!$K17)</f>
        <v/>
      </c>
      <c r="E17" t="e">
        <f>IF($A17="","",SUMIFS('Results'!$G$2:$G$81,'Results'!$A$2:$A$81,$A17))</f>
      </c>
    </row>
    <row r="18">
      <c r="A18" t="e">
        <f>IF('Tournament Setup'!$A18="","",'Tournament Setup'!$A18)</f>
      </c>
      <c r="B18" t="str">
        <f>IF($A18="","",'Tournament Setup'!$J18)</f>
        <v/>
      </c>
      <c r="C18" t="e">
        <f>IF($A18="","",SUMIFS('Results'!$F$2:$F$81,'Results'!$A$2:$A$81,$A18))</f>
      </c>
      <c r="D18" t="str">
        <f>IF($A18="","",'Tournament Setup'!$K18)</f>
        <v/>
      </c>
      <c r="E18" t="e">
        <f>IF($A18="","",SUMIFS('Results'!$G$2:$G$81,'Results'!$A$2:$A$81,$A18))</f>
      </c>
    </row>
    <row r="19">
      <c r="A19" t="e">
        <f>IF('Tournament Setup'!$A19="","",'Tournament Setup'!$A19)</f>
      </c>
      <c r="B19" t="str">
        <f>IF($A19="","",'Tournament Setup'!$J19)</f>
        <v/>
      </c>
      <c r="C19" t="e">
        <f>IF($A19="","",SUMIFS('Results'!$F$2:$F$81,'Results'!$A$2:$A$81,$A19))</f>
      </c>
      <c r="D19" t="str">
        <f>IF($A19="","",'Tournament Setup'!$K19)</f>
        <v/>
      </c>
      <c r="E19" t="e">
        <f>IF($A19="","",SUMIFS('Results'!$G$2:$G$81,'Results'!$A$2:$A$81,$A19))</f>
      </c>
    </row>
    <row r="20">
      <c r="A20" t="e">
        <f>IF('Tournament Setup'!$A20="","",'Tournament Setup'!$A20)</f>
      </c>
      <c r="B20" t="str">
        <f>IF($A20="","",'Tournament Setup'!$J20)</f>
        <v/>
      </c>
      <c r="C20" t="e">
        <f>IF($A20="","",SUMIFS('Results'!$F$2:$F$81,'Results'!$A$2:$A$81,$A20))</f>
      </c>
      <c r="D20" t="str">
        <f>IF($A20="","",'Tournament Setup'!$K20)</f>
        <v/>
      </c>
      <c r="E20" t="e">
        <f>IF($A20="","",SUMIFS('Results'!$G$2:$G$81,'Results'!$A$2:$A$81,$A20))</f>
      </c>
    </row>
    <row r="21">
      <c r="A21" t="e">
        <f>IF('Tournament Setup'!$A21="","",'Tournament Setup'!$A21)</f>
      </c>
      <c r="B21" t="str">
        <f>IF($A21="","",'Tournament Setup'!$J21)</f>
        <v/>
      </c>
      <c r="C21" t="e">
        <f>IF($A21="","",SUMIFS('Results'!$F$2:$F$81,'Results'!$A$2:$A$81,$A21))</f>
      </c>
      <c r="D21" t="str">
        <f>IF($A21="","",'Tournament Setup'!$K21)</f>
        <v/>
      </c>
      <c r="E21" t="e">
        <f>IF($A21="","",SUMIFS('Results'!$G$2:$G$81,'Results'!$A$2:$A$81,$A21))</f>
      </c>
    </row>
    <row r="23">
      <c r="A23" t="str">
        <v>Total</v>
      </c>
      <c r="B23" t="str">
        <f>'Tournament Setup'!$J$2</f>
        <v/>
      </c>
      <c r="C23" t="e">
        <f>SUM(C2:C21)</f>
      </c>
      <c r="D23" t="str">
        <f>'Tournament Setup'!$K$2</f>
        <v/>
      </c>
      <c r="E23" t="e">
        <f>SUM(E2:E21)</f>
      </c>
    </row>
    <row r="24">
      <c r="A24" t="str">
        <v>Winner</v>
      </c>
      <c r="B24" t="str">
        <f>IF(C23&gt;E23,B23,IF(E23&gt;C23,D23,"Tied"))</f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Tournament Setup</vt:lpstr>
      <vt:lpstr>Player Rounds</vt:lpstr>
      <vt:lpstr>Results</vt:lpstr>
      <vt:lpstr>Standings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